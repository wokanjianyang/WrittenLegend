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攻击技能
2 召唤技能
3 场景技能
4 回复技能
5 盾类技能
6 专精技能
7 野蛮
8 被动</t>
        </r>
      </text>
    </comment>
    <comment ref="I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是否排斥
设定大于为0的数值，则排斥同样的数值</t>
        </r>
      </text>
    </comment>
    <comment ref="K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越大越优先</t>
        </r>
      </text>
    </comment>
    <comment ref="O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单体
2 范围
</t>
        </r>
      </text>
    </comment>
    <comment ref="P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</t>
        </r>
      </text>
    </comment>
    <comment ref="V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以自己为圆心
1 距离1格</t>
        </r>
      </text>
    </comment>
    <comment ref="W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Self 自身
Enemy 敌人
Team 队友</t>
        </r>
      </text>
    </comment>
    <comment ref="X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FrontRow 直线
FullBox 十字
Square 矩形
Diamond 菱形
FullBox 全图</t>
        </r>
      </text>
    </comment>
    <comment ref="A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攻击力系数（百分比），额外附加固定伤害值</t>
        </r>
      </text>
    </comment>
    <comment ref="AJ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效果id,持续时间，叠加层数，百分比系数</t>
        </r>
      </text>
    </comment>
  </commentList>
</comments>
</file>

<file path=xl/sharedStrings.xml><?xml version="1.0" encoding="utf-8"?>
<sst xmlns="http://schemas.openxmlformats.org/spreadsheetml/2006/main" count="444" uniqueCount="204">
  <si>
    <t>_ID</t>
  </si>
  <si>
    <t>技能ID</t>
  </si>
  <si>
    <t>SkillLayer</t>
  </si>
  <si>
    <t>技能名字</t>
  </si>
  <si>
    <t>模型类型</t>
  </si>
  <si>
    <t>类型</t>
  </si>
  <si>
    <t>互斥技能</t>
  </si>
  <si>
    <t>来源技能</t>
  </si>
  <si>
    <t>优先度</t>
  </si>
  <si>
    <t>技能描述</t>
  </si>
  <si>
    <t>Rate</t>
  </si>
  <si>
    <t>冷却时间</t>
  </si>
  <si>
    <t>施法类型</t>
  </si>
  <si>
    <t>职业</t>
  </si>
  <si>
    <t>技能等级</t>
  </si>
  <si>
    <t>RiseMaxLevel</t>
  </si>
  <si>
    <t>MythRate</t>
  </si>
  <si>
    <t>等级成长</t>
  </si>
  <si>
    <t>攻击距离</t>
  </si>
  <si>
    <t>中心目标</t>
  </si>
  <si>
    <t>攻击区域</t>
  </si>
  <si>
    <t>持续时间</t>
  </si>
  <si>
    <t>最大敌人数量</t>
  </si>
  <si>
    <t>行</t>
  </si>
  <si>
    <t>列</t>
  </si>
  <si>
    <t>伤害比例</t>
  </si>
  <si>
    <t>固定伤害</t>
  </si>
  <si>
    <t>无视防御</t>
  </si>
  <si>
    <t>暴击率</t>
  </si>
  <si>
    <t>暴击倍率</t>
  </si>
  <si>
    <t>伤害加成</t>
  </si>
  <si>
    <t>继承加成</t>
  </si>
  <si>
    <t>附带效果</t>
  </si>
  <si>
    <t>升级经验</t>
  </si>
  <si>
    <t>UpItemId</t>
  </si>
  <si>
    <t>#</t>
  </si>
  <si>
    <t>Id</t>
  </si>
  <si>
    <t>SkillId</t>
  </si>
  <si>
    <t>Name</t>
  </si>
  <si>
    <t>ModelName</t>
  </si>
  <si>
    <t>Type</t>
  </si>
  <si>
    <t>Repet</t>
  </si>
  <si>
    <t>FromId</t>
  </si>
  <si>
    <t>Priority</t>
  </si>
  <si>
    <t>Des</t>
  </si>
  <si>
    <t>CD</t>
  </si>
  <si>
    <t>CastType</t>
  </si>
  <si>
    <t>Role</t>
  </si>
  <si>
    <t>MaxLevel</t>
  </si>
  <si>
    <t>LevelPercent</t>
  </si>
  <si>
    <t>LevelDamage</t>
  </si>
  <si>
    <t>Dis</t>
  </si>
  <si>
    <t>Center</t>
  </si>
  <si>
    <t>Area</t>
  </si>
  <si>
    <t>Duration</t>
  </si>
  <si>
    <t>EnemyMax</t>
  </si>
  <si>
    <t>Row</t>
  </si>
  <si>
    <t>Column</t>
  </si>
  <si>
    <t>Percent</t>
  </si>
  <si>
    <t>Damage</t>
  </si>
  <si>
    <t>IgnoreDef</t>
  </si>
  <si>
    <t>CritRate</t>
  </si>
  <si>
    <t>CritDamage</t>
  </si>
  <si>
    <t>DamageIncrea</t>
  </si>
  <si>
    <t>InheritIncrea</t>
  </si>
  <si>
    <t>EffectList</t>
  </si>
  <si>
    <t>Exp</t>
  </si>
  <si>
    <t>int</t>
  </si>
  <si>
    <t>string</t>
  </si>
  <si>
    <t>double</t>
  </si>
  <si>
    <t>string[]</t>
  </si>
  <si>
    <t>基础剑术</t>
  </si>
  <si>
    <t>对{0}个敌人造成{1}%物攻伤害</t>
  </si>
  <si>
    <t>Self</t>
  </si>
  <si>
    <t>FrontRow</t>
  </si>
  <si>
    <t>流光剑法</t>
  </si>
  <si>
    <t>刺杀</t>
  </si>
  <si>
    <t>对直线内的敌人造成{1}%物攻伤害,忽视敌方50%防御</t>
  </si>
  <si>
    <t>旋风斩</t>
  </si>
  <si>
    <t>半月弯刀</t>
  </si>
  <si>
    <t>对周围的{0}个敌人造成{1}%物攻伤害</t>
  </si>
  <si>
    <t>Arc</t>
  </si>
  <si>
    <t>"14,60,3,10"</t>
  </si>
  <si>
    <t>腾空斩</t>
  </si>
  <si>
    <t>野蛮撞击</t>
  </si>
  <si>
    <t>对{0}个敌人造成{1}%物攻伤害，并且晕眩2秒</t>
  </si>
  <si>
    <t>Enemy</t>
  </si>
  <si>
    <t>Chase</t>
  </si>
  <si>
    <t>"306,2,0,0"</t>
  </si>
  <si>
    <t>武神盾</t>
  </si>
  <si>
    <t>武力盾</t>
  </si>
  <si>
    <t>持续{2}秒</t>
  </si>
  <si>
    <t>Square</t>
  </si>
  <si>
    <t>"14,0,0,10","4,0,0,0","5,0,0,0"</t>
  </si>
  <si>
    <t>武力精通</t>
  </si>
  <si>
    <t>战士技能增加{1}%技能系数</t>
  </si>
  <si>
    <t>FullBox</t>
  </si>
  <si>
    <t>烈焰斩</t>
  </si>
  <si>
    <t>烈火</t>
  </si>
  <si>
    <t>对{0}个敌人造成{1}%物攻伤害,忽视敌方50%防御</t>
  </si>
  <si>
    <t>"103,4,0,25","101,0,0,10"</t>
  </si>
  <si>
    <t>战吼</t>
  </si>
  <si>
    <t>免疫{2}秒控制</t>
  </si>
  <si>
    <t>"401,20,0,0","6,360,3,1","9,360,3,0"</t>
  </si>
  <si>
    <t>裂天斩</t>
  </si>
  <si>
    <t>开天斩</t>
  </si>
  <si>
    <t>"109,0,0,5"</t>
  </si>
  <si>
    <t>裂地斩</t>
  </si>
  <si>
    <t>彻地钉</t>
  </si>
  <si>
    <t>释放战士攻击技能后，有20%概率触发，对周围2格范围内，造原技能伤害*20%*{1}%的真实伤害</t>
  </si>
  <si>
    <t>Circle</t>
  </si>
  <si>
    <t>战士之魂</t>
  </si>
  <si>
    <t>上阵后，提高人物{1}%的生命倍率和{5}%的物攻倍率（分身和宠物享受）</t>
  </si>
  <si>
    <t>剑二十三</t>
  </si>
  <si>
    <t>对{0}个敌人，造成流光剑法*{1}%的伤害，并且计算流光剑法的最远距离伤害</t>
  </si>
  <si>
    <t>火球术</t>
  </si>
  <si>
    <t>小火球</t>
  </si>
  <si>
    <t>对{0}个敌人敌人造成{1}%魔法伤害</t>
  </si>
  <si>
    <t>落雷术</t>
  </si>
  <si>
    <t>雷电术</t>
  </si>
  <si>
    <t>对{0}个敌人敌人造成{1}%魔法伤害,忽视敌方50%防御</t>
  </si>
  <si>
    <t>火焰墙</t>
  </si>
  <si>
    <t>火墙</t>
  </si>
  <si>
    <t>施展{3}*{4}范围的火墙，持续{2}s，对其内的敌人每秒造成{1}%魔法伤害</t>
  </si>
  <si>
    <t>烈焰环</t>
  </si>
  <si>
    <t>抗拒火环</t>
  </si>
  <si>
    <t>对{3}*{4}范围内的敌人造成{1}%魔法伤害</t>
  </si>
  <si>
    <t>"12,60,3,10"</t>
  </si>
  <si>
    <t>法力盾</t>
  </si>
  <si>
    <t>魔法盾</t>
  </si>
  <si>
    <t>法术精通</t>
  </si>
  <si>
    <t>法师技能增加{1}%技能系数</t>
  </si>
  <si>
    <t>冰爆术</t>
  </si>
  <si>
    <t>冰咆哮</t>
  </si>
  <si>
    <t>"305,1,1,0"</t>
  </si>
  <si>
    <t>心灵传送</t>
  </si>
  <si>
    <t>瞬息移动</t>
  </si>
  <si>
    <t>随机到一个空位</t>
  </si>
  <si>
    <t>"10,360,3,0"</t>
  </si>
  <si>
    <t>毁灭流星</t>
  </si>
  <si>
    <t>流星火雨</t>
  </si>
  <si>
    <t>施展{3}*{4}范围的火雨，持续{2}s，对其内的敌人每秒造成{1}%魔法伤害</t>
  </si>
  <si>
    <t>"103,5,1,100"</t>
  </si>
  <si>
    <t>分身术</t>
  </si>
  <si>
    <t>创造一个{2}秒的分身，继承其他技能(除此技能和召唤技能)，魔攻为*{1}%，物攻道攻为继承一半，其他属性完全继承。</t>
  </si>
  <si>
    <t>法师之魂</t>
  </si>
  <si>
    <t>上阵后，提高人物{1}%的生命倍率和{5}%的魔攻倍率（分身和宠物享受）</t>
  </si>
  <si>
    <t>魔法大炮</t>
  </si>
  <si>
    <t>每次释放技能之后，增加{1}%攻击倍率和{5}%生命倍率，最高叠加{2}次</t>
  </si>
  <si>
    <t>疗伤术</t>
  </si>
  <si>
    <t>治疗术</t>
  </si>
  <si>
    <t>回复自己或者队友{1}%道术的生命</t>
  </si>
  <si>
    <t>驱魔符</t>
  </si>
  <si>
    <t>火符术</t>
  </si>
  <si>
    <t>对{0}个敌人造成{1}%道术伤害</t>
  </si>
  <si>
    <t>毒咒术</t>
  </si>
  <si>
    <t>施毒术</t>
  </si>
  <si>
    <t>对{0}个敌人造成每秒{1}%道术持续伤害，无视60%防御</t>
  </si>
  <si>
    <t>"104,5,0,35"</t>
  </si>
  <si>
    <t>召唤小兵</t>
  </si>
  <si>
    <t>召唤骷髅</t>
  </si>
  <si>
    <t>召唤{0}只骷髅战斗，额外继承{1}%人物属性</t>
  </si>
  <si>
    <t>道力盾</t>
  </si>
  <si>
    <t>道力精通</t>
  </si>
  <si>
    <t>道士技能增加{1}%技能系数</t>
  </si>
  <si>
    <t>召唤魔兽</t>
  </si>
  <si>
    <t>召唤神兽</t>
  </si>
  <si>
    <t>召唤{0}只神兽战斗，额外继承{1}%人物属性</t>
  </si>
  <si>
    <t>隐身道法</t>
  </si>
  <si>
    <t>隐身术</t>
  </si>
  <si>
    <t>隐身持续{2}s</t>
  </si>
  <si>
    <t>"8,360,3,0"</t>
  </si>
  <si>
    <t>召唤月神</t>
  </si>
  <si>
    <t>召唤月灵</t>
  </si>
  <si>
    <t>召唤{0}只月灵战斗，额外继承{1}%人物属性</t>
  </si>
  <si>
    <t>无极道体</t>
  </si>
  <si>
    <t>提高召唤物的{1}%特殊继承,并且额外增加{5}%的生命</t>
  </si>
  <si>
    <t>道士之魂</t>
  </si>
  <si>
    <t>上阵后，提高人物{1}%的生命倍率和{5}%的道攻倍率（分身和宠物享受）</t>
  </si>
  <si>
    <t>召唤白虎</t>
  </si>
  <si>
    <t>召唤{0}只白虎战斗，攻击和生命为人物的{1}%,其他所有属性为100%</t>
  </si>
  <si>
    <t>定身指环</t>
  </si>
  <si>
    <t>定身神戒</t>
  </si>
  <si>
    <t>麻痹敌人{2}S，CD30S</t>
  </si>
  <si>
    <t>"307,2,0,0"</t>
  </si>
  <si>
    <t>神盾指环</t>
  </si>
  <si>
    <t>护体神戒</t>
  </si>
  <si>
    <t>附加一个面板生命*{1}%盾，CD60S</t>
  </si>
  <si>
    <t>复生指环</t>
  </si>
  <si>
    <t>重生神戒</t>
  </si>
  <si>
    <t>复活自己并且免疫2S所有伤害，CD60S</t>
  </si>
  <si>
    <t>"18,3,0,100"</t>
  </si>
  <si>
    <t>普攻</t>
  </si>
  <si>
    <t>远程普通</t>
  </si>
  <si>
    <t>怪物雷电</t>
  </si>
  <si>
    <t>默认</t>
  </si>
  <si>
    <t>怪物治疗术</t>
  </si>
  <si>
    <t>怪物治疗</t>
  </si>
  <si>
    <t>群体地刺</t>
  </si>
  <si>
    <t>怪物群疗</t>
  </si>
  <si>
    <t>Team</t>
  </si>
  <si>
    <t>怪物刺杀</t>
  </si>
  <si>
    <t>"306,1,0,0"</t>
  </si>
  <si>
    <t>"101,0,0,20"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</si>
</sst>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1" fillId="3" borderId="0" xfId="0" applyFont="1" applyFill="1"/>
    <xf numFmtId="3" fontId="1" fillId="0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AN80"/>
  <sheetViews>
    <sheetView tabSelected="1" workbookViewId="0">
      <pane ySplit="5" topLeftCell="A15" activePane="bottomLeft" state="frozen"/>
      <selection/>
      <selection pane="bottomLeft" activeCell="L44" sqref="L44"/>
    </sheetView>
  </sheetViews>
  <sheetFormatPr defaultColWidth="9" defaultRowHeight="12.35"/>
  <cols>
    <col min="1" max="1" width="5.6283185840708" style="2" customWidth="1"/>
    <col min="2" max="2" width="3.50442477876106" style="2" customWidth="1"/>
    <col min="3" max="5" width="9" style="2"/>
    <col min="6" max="6" width="11.5044247787611" style="2" customWidth="1"/>
    <col min="7" max="7" width="9" style="2" customWidth="1"/>
    <col min="8" max="8" width="6.3716814159292" style="2" customWidth="1"/>
    <col min="9" max="10" width="9.3716814159292" style="2" customWidth="1"/>
    <col min="11" max="11" width="5.24778761061947" style="2" customWidth="1"/>
    <col min="12" max="12" width="74.8761061946903" style="2" customWidth="1"/>
    <col min="13" max="13" width="10.5044247787611" style="2" customWidth="1"/>
    <col min="14" max="14" width="5.87610619469027" style="2" customWidth="1"/>
    <col min="15" max="15" width="8.3716814159292" style="2" customWidth="1"/>
    <col min="16" max="16" width="5.87610619469027" style="2" customWidth="1"/>
    <col min="17" max="17" width="7.50442477876106" style="2" customWidth="1"/>
    <col min="18" max="19" width="12.8761061946903" style="2" customWidth="1"/>
    <col min="20" max="21" width="13.5044247787611" style="2" customWidth="1"/>
    <col min="22" max="22" width="7.3716814159292" style="2" customWidth="1"/>
    <col min="23" max="23" width="7.50442477876106" style="2" customWidth="1"/>
    <col min="24" max="24" width="8.24778761061947" style="2" customWidth="1"/>
    <col min="25" max="25" width="6.50442477876106" style="2" customWidth="1"/>
    <col min="26" max="28" width="7.6283185840708" style="2" customWidth="1"/>
    <col min="29" max="30" width="7.87610619469027" style="2" customWidth="1"/>
    <col min="31" max="31" width="9.6283185840708" style="2" customWidth="1"/>
    <col min="32" max="33" width="7.87610619469027" style="2" customWidth="1"/>
    <col min="34" max="34" width="12.6283185840708" style="2" customWidth="1"/>
    <col min="35" max="35" width="9.6283185840708" style="2" customWidth="1"/>
    <col min="36" max="36" width="27.6283185840708" style="2" customWidth="1"/>
    <col min="37" max="37" width="17.8761061946903" style="2" customWidth="1"/>
    <col min="38" max="38" width="19.7522123893805" style="2" customWidth="1"/>
    <col min="39" max="39" width="9" style="2"/>
    <col min="40" max="40" width="19.2477876106195" style="2" customWidth="1"/>
    <col min="41" max="16384" width="9" style="2"/>
  </cols>
  <sheetData>
    <row r="3" spans="3:40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17</v>
      </c>
      <c r="V3" s="3" t="s">
        <v>18</v>
      </c>
      <c r="W3" s="3" t="s">
        <v>19</v>
      </c>
      <c r="X3" s="3" t="s">
        <v>20</v>
      </c>
      <c r="Y3" s="3" t="s">
        <v>21</v>
      </c>
      <c r="Z3" s="3" t="s">
        <v>22</v>
      </c>
      <c r="AA3" s="3" t="s">
        <v>23</v>
      </c>
      <c r="AB3" s="3" t="s">
        <v>24</v>
      </c>
      <c r="AC3" s="3" t="s">
        <v>25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2" t="s">
        <v>35</v>
      </c>
      <c r="AN3" s="2" t="s">
        <v>35</v>
      </c>
    </row>
    <row r="4" spans="3:38">
      <c r="C4" s="3" t="s">
        <v>36</v>
      </c>
      <c r="D4" s="3" t="s">
        <v>37</v>
      </c>
      <c r="E4" s="3" t="s">
        <v>2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10</v>
      </c>
      <c r="N4" s="3" t="s">
        <v>45</v>
      </c>
      <c r="O4" s="3" t="s">
        <v>46</v>
      </c>
      <c r="P4" s="3" t="s">
        <v>47</v>
      </c>
      <c r="Q4" s="3" t="s">
        <v>48</v>
      </c>
      <c r="R4" s="3" t="s">
        <v>15</v>
      </c>
      <c r="S4" s="3" t="s">
        <v>16</v>
      </c>
      <c r="T4" s="3" t="s">
        <v>49</v>
      </c>
      <c r="U4" s="3" t="s">
        <v>50</v>
      </c>
      <c r="V4" s="3" t="s">
        <v>51</v>
      </c>
      <c r="W4" s="3" t="s">
        <v>52</v>
      </c>
      <c r="X4" s="3" t="s">
        <v>53</v>
      </c>
      <c r="Y4" s="3" t="s">
        <v>54</v>
      </c>
      <c r="Z4" s="3" t="s">
        <v>55</v>
      </c>
      <c r="AA4" s="3" t="s">
        <v>56</v>
      </c>
      <c r="AB4" s="3" t="s">
        <v>57</v>
      </c>
      <c r="AC4" s="3" t="s">
        <v>58</v>
      </c>
      <c r="AD4" s="3" t="s">
        <v>59</v>
      </c>
      <c r="AE4" s="3" t="s">
        <v>60</v>
      </c>
      <c r="AF4" s="3" t="s">
        <v>61</v>
      </c>
      <c r="AG4" s="3" t="s">
        <v>62</v>
      </c>
      <c r="AH4" s="3" t="s">
        <v>63</v>
      </c>
      <c r="AI4" s="3" t="s">
        <v>64</v>
      </c>
      <c r="AJ4" s="3" t="s">
        <v>65</v>
      </c>
      <c r="AK4" s="3" t="s">
        <v>66</v>
      </c>
      <c r="AL4" s="3" t="s">
        <v>34</v>
      </c>
    </row>
    <row r="5" spans="3:38">
      <c r="C5" s="3" t="s">
        <v>67</v>
      </c>
      <c r="D5" s="3" t="s">
        <v>67</v>
      </c>
      <c r="E5" s="3" t="s">
        <v>67</v>
      </c>
      <c r="F5" s="3" t="s">
        <v>68</v>
      </c>
      <c r="G5" s="3" t="s">
        <v>68</v>
      </c>
      <c r="H5" s="3" t="s">
        <v>67</v>
      </c>
      <c r="I5" s="3" t="s">
        <v>67</v>
      </c>
      <c r="J5" s="3" t="s">
        <v>67</v>
      </c>
      <c r="K5" s="3" t="s">
        <v>67</v>
      </c>
      <c r="L5" s="3" t="s">
        <v>68</v>
      </c>
      <c r="M5" s="3" t="s">
        <v>67</v>
      </c>
      <c r="N5" s="3" t="s">
        <v>67</v>
      </c>
      <c r="O5" s="3" t="s">
        <v>67</v>
      </c>
      <c r="P5" s="3" t="s">
        <v>67</v>
      </c>
      <c r="Q5" s="3" t="s">
        <v>67</v>
      </c>
      <c r="R5" s="3" t="s">
        <v>69</v>
      </c>
      <c r="S5" s="3" t="s">
        <v>67</v>
      </c>
      <c r="T5" s="3" t="s">
        <v>67</v>
      </c>
      <c r="U5" s="3" t="s">
        <v>67</v>
      </c>
      <c r="V5" s="3" t="s">
        <v>67</v>
      </c>
      <c r="W5" s="3" t="s">
        <v>68</v>
      </c>
      <c r="X5" s="3" t="s">
        <v>68</v>
      </c>
      <c r="Y5" s="3" t="s">
        <v>67</v>
      </c>
      <c r="Z5" s="3" t="s">
        <v>67</v>
      </c>
      <c r="AA5" s="3" t="s">
        <v>67</v>
      </c>
      <c r="AB5" s="3" t="s">
        <v>67</v>
      </c>
      <c r="AC5" s="3" t="s">
        <v>67</v>
      </c>
      <c r="AD5" s="3" t="s">
        <v>67</v>
      </c>
      <c r="AE5" s="3" t="s">
        <v>67</v>
      </c>
      <c r="AF5" s="3" t="s">
        <v>67</v>
      </c>
      <c r="AG5" s="3" t="s">
        <v>67</v>
      </c>
      <c r="AH5" s="3" t="s">
        <v>67</v>
      </c>
      <c r="AI5" s="3" t="s">
        <v>67</v>
      </c>
      <c r="AJ5" s="3" t="s">
        <v>70</v>
      </c>
      <c r="AK5" s="3" t="s">
        <v>67</v>
      </c>
      <c r="AL5" s="3" t="s">
        <v>67</v>
      </c>
    </row>
    <row r="6" s="1" customFormat="1" spans="3:38">
      <c r="C6" s="1">
        <v>1001</v>
      </c>
      <c r="D6" s="1">
        <v>1001</v>
      </c>
      <c r="E6" s="1">
        <v>1</v>
      </c>
      <c r="F6" s="1" t="s">
        <v>71</v>
      </c>
      <c r="G6" s="1" t="s">
        <v>71</v>
      </c>
      <c r="H6" s="1">
        <v>1</v>
      </c>
      <c r="I6" s="1">
        <v>0</v>
      </c>
      <c r="J6" s="1">
        <v>0</v>
      </c>
      <c r="K6" s="1">
        <v>10</v>
      </c>
      <c r="L6" s="1" t="s">
        <v>72</v>
      </c>
      <c r="M6" s="1">
        <v>0</v>
      </c>
      <c r="N6" s="1">
        <v>0</v>
      </c>
      <c r="O6" s="1">
        <v>1</v>
      </c>
      <c r="P6" s="1">
        <v>1</v>
      </c>
      <c r="Q6" s="1">
        <v>600</v>
      </c>
      <c r="R6" s="1">
        <v>60</v>
      </c>
      <c r="S6" s="1">
        <f t="shared" ref="S6:S17" si="0">Q6*5</f>
        <v>3000</v>
      </c>
      <c r="T6" s="1">
        <v>1</v>
      </c>
      <c r="U6" s="1">
        <v>0</v>
      </c>
      <c r="V6" s="1">
        <v>1</v>
      </c>
      <c r="W6" s="1" t="s">
        <v>73</v>
      </c>
      <c r="X6" s="1" t="s">
        <v>74</v>
      </c>
      <c r="Y6" s="1">
        <v>0</v>
      </c>
      <c r="Z6" s="1">
        <v>1</v>
      </c>
      <c r="AA6" s="1">
        <v>0</v>
      </c>
      <c r="AB6" s="1">
        <v>0</v>
      </c>
      <c r="AC6" s="1">
        <v>120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K6" s="1">
        <v>50</v>
      </c>
      <c r="AL6" s="1">
        <v>4006</v>
      </c>
    </row>
    <row r="7" s="1" customFormat="1" spans="3:38">
      <c r="C7" s="1">
        <v>1002</v>
      </c>
      <c r="D7" s="1">
        <v>1002</v>
      </c>
      <c r="E7" s="1">
        <v>2</v>
      </c>
      <c r="F7" s="1" t="s">
        <v>75</v>
      </c>
      <c r="G7" s="2" t="s">
        <v>76</v>
      </c>
      <c r="H7" s="1">
        <v>1</v>
      </c>
      <c r="I7" s="1">
        <v>0</v>
      </c>
      <c r="J7" s="1">
        <v>0</v>
      </c>
      <c r="K7" s="1">
        <v>10</v>
      </c>
      <c r="L7" s="1" t="s">
        <v>77</v>
      </c>
      <c r="M7" s="1">
        <v>0</v>
      </c>
      <c r="N7" s="1">
        <v>0</v>
      </c>
      <c r="O7" s="1">
        <v>2</v>
      </c>
      <c r="P7" s="1">
        <v>1</v>
      </c>
      <c r="Q7" s="1">
        <v>600</v>
      </c>
      <c r="R7" s="1">
        <v>60</v>
      </c>
      <c r="S7" s="1">
        <f t="shared" si="0"/>
        <v>3000</v>
      </c>
      <c r="T7" s="1">
        <v>2</v>
      </c>
      <c r="U7" s="1">
        <v>0</v>
      </c>
      <c r="V7" s="1">
        <v>2</v>
      </c>
      <c r="W7" s="1" t="s">
        <v>73</v>
      </c>
      <c r="X7" s="1" t="s">
        <v>74</v>
      </c>
      <c r="Y7" s="1">
        <v>0</v>
      </c>
      <c r="Z7" s="1">
        <v>2</v>
      </c>
      <c r="AA7" s="1">
        <v>0</v>
      </c>
      <c r="AB7" s="1">
        <v>0</v>
      </c>
      <c r="AC7" s="1">
        <v>150</v>
      </c>
      <c r="AD7" s="1">
        <v>0</v>
      </c>
      <c r="AE7" s="1">
        <v>50</v>
      </c>
      <c r="AF7" s="1">
        <v>0</v>
      </c>
      <c r="AG7" s="1">
        <v>0</v>
      </c>
      <c r="AH7" s="1">
        <v>0</v>
      </c>
      <c r="AI7" s="1">
        <v>0</v>
      </c>
      <c r="AK7" s="1">
        <v>50</v>
      </c>
      <c r="AL7" s="1">
        <v>4006</v>
      </c>
    </row>
    <row r="8" s="1" customFormat="1" spans="3:38">
      <c r="C8" s="1">
        <v>1003</v>
      </c>
      <c r="D8" s="1">
        <v>1003</v>
      </c>
      <c r="E8" s="1">
        <v>3</v>
      </c>
      <c r="F8" s="1" t="s">
        <v>78</v>
      </c>
      <c r="G8" s="2" t="s">
        <v>79</v>
      </c>
      <c r="H8" s="1">
        <v>1</v>
      </c>
      <c r="I8" s="1">
        <v>0</v>
      </c>
      <c r="J8" s="1">
        <v>0</v>
      </c>
      <c r="K8" s="1">
        <v>10</v>
      </c>
      <c r="L8" s="1" t="s">
        <v>80</v>
      </c>
      <c r="M8" s="1">
        <v>0</v>
      </c>
      <c r="N8" s="1">
        <v>5</v>
      </c>
      <c r="O8" s="1">
        <v>2</v>
      </c>
      <c r="P8" s="1">
        <v>1</v>
      </c>
      <c r="Q8" s="1">
        <v>600</v>
      </c>
      <c r="R8" s="1">
        <v>60</v>
      </c>
      <c r="S8" s="1">
        <f t="shared" si="0"/>
        <v>3000</v>
      </c>
      <c r="T8" s="1">
        <v>1</v>
      </c>
      <c r="U8" s="1">
        <v>0</v>
      </c>
      <c r="V8" s="1">
        <v>1</v>
      </c>
      <c r="W8" s="1" t="s">
        <v>73</v>
      </c>
      <c r="X8" s="1" t="s">
        <v>81</v>
      </c>
      <c r="Y8" s="1">
        <v>0</v>
      </c>
      <c r="Z8" s="1">
        <v>5</v>
      </c>
      <c r="AA8" s="1">
        <v>0</v>
      </c>
      <c r="AB8" s="1">
        <v>0</v>
      </c>
      <c r="AC8" s="1">
        <v>100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 t="s">
        <v>82</v>
      </c>
      <c r="AK8" s="1">
        <v>50</v>
      </c>
      <c r="AL8" s="1">
        <v>4006</v>
      </c>
    </row>
    <row r="9" s="1" customFormat="1" spans="3:38">
      <c r="C9" s="1">
        <v>1004</v>
      </c>
      <c r="D9" s="1">
        <v>1004</v>
      </c>
      <c r="E9" s="1">
        <v>4</v>
      </c>
      <c r="F9" s="1" t="s">
        <v>83</v>
      </c>
      <c r="G9" s="1" t="s">
        <v>84</v>
      </c>
      <c r="H9" s="1">
        <v>7</v>
      </c>
      <c r="I9" s="1">
        <v>0</v>
      </c>
      <c r="J9" s="1">
        <v>0</v>
      </c>
      <c r="K9" s="1">
        <v>10</v>
      </c>
      <c r="L9" s="1" t="s">
        <v>85</v>
      </c>
      <c r="M9" s="1">
        <v>0</v>
      </c>
      <c r="N9" s="1">
        <v>10</v>
      </c>
      <c r="O9" s="1">
        <v>1</v>
      </c>
      <c r="P9" s="1">
        <v>1</v>
      </c>
      <c r="Q9" s="1">
        <v>600</v>
      </c>
      <c r="R9" s="1">
        <v>60</v>
      </c>
      <c r="S9" s="1">
        <f t="shared" si="0"/>
        <v>3000</v>
      </c>
      <c r="T9" s="1">
        <v>4</v>
      </c>
      <c r="U9" s="1">
        <v>0</v>
      </c>
      <c r="V9" s="1">
        <v>5</v>
      </c>
      <c r="W9" s="1" t="s">
        <v>86</v>
      </c>
      <c r="X9" s="1" t="s">
        <v>87</v>
      </c>
      <c r="Y9" s="1">
        <v>2</v>
      </c>
      <c r="Z9" s="1">
        <v>1</v>
      </c>
      <c r="AA9" s="1">
        <v>0</v>
      </c>
      <c r="AB9" s="1">
        <v>0</v>
      </c>
      <c r="AC9" s="1">
        <v>200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 t="s">
        <v>88</v>
      </c>
      <c r="AK9" s="1">
        <v>50</v>
      </c>
      <c r="AL9" s="1">
        <v>4006</v>
      </c>
    </row>
    <row r="10" s="1" customFormat="1" spans="3:38">
      <c r="C10" s="1">
        <v>1005</v>
      </c>
      <c r="D10" s="1">
        <v>1005</v>
      </c>
      <c r="E10" s="1">
        <v>5</v>
      </c>
      <c r="F10" s="1" t="s">
        <v>89</v>
      </c>
      <c r="G10" s="2" t="s">
        <v>90</v>
      </c>
      <c r="H10" s="1">
        <v>5</v>
      </c>
      <c r="I10" s="1">
        <v>5</v>
      </c>
      <c r="J10" s="1">
        <v>0</v>
      </c>
      <c r="K10" s="1">
        <v>50</v>
      </c>
      <c r="L10" s="1" t="s">
        <v>91</v>
      </c>
      <c r="M10" s="1">
        <v>0</v>
      </c>
      <c r="N10" s="1">
        <v>55</v>
      </c>
      <c r="O10" s="1">
        <v>1</v>
      </c>
      <c r="P10" s="1">
        <v>1</v>
      </c>
      <c r="Q10" s="1">
        <v>200</v>
      </c>
      <c r="R10" s="1">
        <v>20</v>
      </c>
      <c r="S10" s="1">
        <f t="shared" si="0"/>
        <v>1000</v>
      </c>
      <c r="T10" s="1">
        <v>1</v>
      </c>
      <c r="U10" s="1">
        <v>0</v>
      </c>
      <c r="V10" s="1">
        <v>0</v>
      </c>
      <c r="W10" s="1" t="s">
        <v>73</v>
      </c>
      <c r="X10" s="1" t="s">
        <v>92</v>
      </c>
      <c r="Y10" s="1">
        <v>30</v>
      </c>
      <c r="Z10" s="1">
        <v>0</v>
      </c>
      <c r="AA10" s="1">
        <v>0</v>
      </c>
      <c r="AB10" s="1">
        <v>0</v>
      </c>
      <c r="AC10" s="1">
        <v>100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7" t="s">
        <v>93</v>
      </c>
      <c r="AK10" s="1">
        <v>50</v>
      </c>
      <c r="AL10" s="1">
        <v>4006</v>
      </c>
    </row>
    <row r="11" s="1" customFormat="1" spans="3:38">
      <c r="C11" s="1">
        <v>1006</v>
      </c>
      <c r="D11" s="1">
        <v>1006</v>
      </c>
      <c r="E11" s="1">
        <v>6</v>
      </c>
      <c r="F11" s="1" t="s">
        <v>94</v>
      </c>
      <c r="G11" s="2" t="s">
        <v>94</v>
      </c>
      <c r="H11" s="1">
        <v>6</v>
      </c>
      <c r="I11" s="1">
        <v>0</v>
      </c>
      <c r="J11" s="1">
        <v>0</v>
      </c>
      <c r="K11" s="1">
        <v>10</v>
      </c>
      <c r="L11" s="1" t="s">
        <v>95</v>
      </c>
      <c r="M11" s="1">
        <v>0</v>
      </c>
      <c r="N11" s="1">
        <v>0</v>
      </c>
      <c r="O11" s="1">
        <v>1</v>
      </c>
      <c r="P11" s="1">
        <v>1</v>
      </c>
      <c r="Q11" s="1">
        <v>200</v>
      </c>
      <c r="R11" s="1">
        <v>20</v>
      </c>
      <c r="S11" s="1">
        <f t="shared" si="0"/>
        <v>1000</v>
      </c>
      <c r="T11" s="1">
        <v>1</v>
      </c>
      <c r="U11" s="1">
        <v>0</v>
      </c>
      <c r="V11" s="1">
        <v>0</v>
      </c>
      <c r="W11" s="1" t="s">
        <v>73</v>
      </c>
      <c r="X11" s="1" t="s">
        <v>96</v>
      </c>
      <c r="Y11" s="1">
        <v>0</v>
      </c>
      <c r="Z11" s="1">
        <v>0</v>
      </c>
      <c r="AA11" s="1">
        <v>0</v>
      </c>
      <c r="AB11" s="1">
        <v>0</v>
      </c>
      <c r="AC11" s="1">
        <v>50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K11" s="1">
        <v>50</v>
      </c>
      <c r="AL11" s="1">
        <v>4006</v>
      </c>
    </row>
    <row r="12" s="1" customFormat="1" spans="3:38">
      <c r="C12" s="1">
        <v>1007</v>
      </c>
      <c r="D12" s="1">
        <v>1007</v>
      </c>
      <c r="E12" s="1">
        <v>7</v>
      </c>
      <c r="F12" s="1" t="s">
        <v>97</v>
      </c>
      <c r="G12" s="2" t="s">
        <v>98</v>
      </c>
      <c r="H12" s="1">
        <v>1</v>
      </c>
      <c r="I12" s="1">
        <v>0</v>
      </c>
      <c r="J12" s="1">
        <v>0</v>
      </c>
      <c r="K12" s="1">
        <v>10</v>
      </c>
      <c r="L12" s="1" t="s">
        <v>99</v>
      </c>
      <c r="M12" s="1">
        <v>0</v>
      </c>
      <c r="N12" s="6">
        <v>5</v>
      </c>
      <c r="O12" s="1">
        <v>1</v>
      </c>
      <c r="P12" s="1">
        <v>1</v>
      </c>
      <c r="Q12" s="1">
        <v>600</v>
      </c>
      <c r="R12" s="1">
        <v>60</v>
      </c>
      <c r="S12" s="1">
        <f t="shared" si="0"/>
        <v>3000</v>
      </c>
      <c r="T12" s="6">
        <v>10</v>
      </c>
      <c r="U12" s="1">
        <v>0</v>
      </c>
      <c r="V12" s="1">
        <v>1</v>
      </c>
      <c r="W12" s="1" t="s">
        <v>73</v>
      </c>
      <c r="X12" s="1" t="s">
        <v>74</v>
      </c>
      <c r="Y12" s="1">
        <v>0</v>
      </c>
      <c r="Z12" s="1">
        <v>1</v>
      </c>
      <c r="AA12" s="1">
        <v>0</v>
      </c>
      <c r="AB12" s="1">
        <v>0</v>
      </c>
      <c r="AC12" s="6">
        <v>500</v>
      </c>
      <c r="AD12" s="1">
        <v>0</v>
      </c>
      <c r="AE12" s="1">
        <v>50</v>
      </c>
      <c r="AF12" s="1">
        <v>0</v>
      </c>
      <c r="AG12" s="1">
        <v>0</v>
      </c>
      <c r="AH12" s="1">
        <v>0</v>
      </c>
      <c r="AI12" s="1">
        <v>0</v>
      </c>
      <c r="AJ12" s="6" t="s">
        <v>100</v>
      </c>
      <c r="AK12" s="1">
        <v>50</v>
      </c>
      <c r="AL12" s="1">
        <v>4006</v>
      </c>
    </row>
    <row r="13" s="1" customFormat="1" spans="3:38">
      <c r="C13" s="1">
        <v>1008</v>
      </c>
      <c r="D13" s="1">
        <v>1008</v>
      </c>
      <c r="E13" s="1">
        <v>8</v>
      </c>
      <c r="F13" s="1" t="s">
        <v>101</v>
      </c>
      <c r="G13" s="2" t="s">
        <v>90</v>
      </c>
      <c r="H13" s="1">
        <v>1008</v>
      </c>
      <c r="I13" s="1">
        <v>0</v>
      </c>
      <c r="J13" s="1">
        <v>0</v>
      </c>
      <c r="K13" s="1">
        <v>200</v>
      </c>
      <c r="L13" s="1" t="s">
        <v>102</v>
      </c>
      <c r="M13" s="1">
        <v>0</v>
      </c>
      <c r="N13" s="1">
        <v>30</v>
      </c>
      <c r="O13" s="1">
        <v>1</v>
      </c>
      <c r="P13" s="1">
        <v>1</v>
      </c>
      <c r="Q13" s="1">
        <v>30</v>
      </c>
      <c r="R13" s="1">
        <v>3</v>
      </c>
      <c r="S13" s="1">
        <f t="shared" si="0"/>
        <v>150</v>
      </c>
      <c r="T13" s="1">
        <v>1</v>
      </c>
      <c r="U13" s="1">
        <v>0</v>
      </c>
      <c r="V13" s="1">
        <v>0</v>
      </c>
      <c r="W13" s="1" t="s">
        <v>73</v>
      </c>
      <c r="X13" s="1" t="s">
        <v>96</v>
      </c>
      <c r="Y13" s="1">
        <v>20</v>
      </c>
      <c r="Z13" s="1">
        <v>0</v>
      </c>
      <c r="AA13" s="1">
        <v>0</v>
      </c>
      <c r="AB13" s="1">
        <v>0</v>
      </c>
      <c r="AC13" s="1">
        <v>30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 t="s">
        <v>103</v>
      </c>
      <c r="AK13" s="1">
        <v>50</v>
      </c>
      <c r="AL13" s="1">
        <v>4006</v>
      </c>
    </row>
    <row r="14" s="1" customFormat="1" spans="3:38">
      <c r="C14" s="1">
        <v>1009</v>
      </c>
      <c r="D14" s="1">
        <v>1009</v>
      </c>
      <c r="E14" s="1">
        <v>9</v>
      </c>
      <c r="F14" s="1" t="s">
        <v>104</v>
      </c>
      <c r="G14" s="2" t="s">
        <v>105</v>
      </c>
      <c r="H14" s="1">
        <v>1</v>
      </c>
      <c r="I14" s="1">
        <v>0</v>
      </c>
      <c r="J14" s="1">
        <v>0</v>
      </c>
      <c r="K14" s="1">
        <v>10</v>
      </c>
      <c r="L14" s="1" t="s">
        <v>77</v>
      </c>
      <c r="M14" s="1">
        <v>0</v>
      </c>
      <c r="N14" s="1">
        <v>15</v>
      </c>
      <c r="O14" s="1">
        <v>2</v>
      </c>
      <c r="P14" s="1">
        <v>1</v>
      </c>
      <c r="Q14" s="1">
        <v>300</v>
      </c>
      <c r="R14" s="1">
        <v>30</v>
      </c>
      <c r="S14" s="1">
        <f t="shared" si="0"/>
        <v>1500</v>
      </c>
      <c r="T14" s="1">
        <v>12</v>
      </c>
      <c r="U14" s="1">
        <v>0</v>
      </c>
      <c r="V14" s="1">
        <v>5</v>
      </c>
      <c r="W14" s="1" t="s">
        <v>73</v>
      </c>
      <c r="X14" s="1" t="s">
        <v>74</v>
      </c>
      <c r="Y14" s="1">
        <v>0</v>
      </c>
      <c r="Z14" s="1">
        <v>4</v>
      </c>
      <c r="AA14" s="1">
        <v>0</v>
      </c>
      <c r="AB14" s="1">
        <v>0</v>
      </c>
      <c r="AC14" s="1">
        <v>600</v>
      </c>
      <c r="AD14" s="1">
        <v>0</v>
      </c>
      <c r="AE14" s="1">
        <v>50</v>
      </c>
      <c r="AF14" s="1">
        <v>0</v>
      </c>
      <c r="AG14" s="1">
        <v>0</v>
      </c>
      <c r="AH14" s="1">
        <v>0</v>
      </c>
      <c r="AI14" s="1">
        <v>0</v>
      </c>
      <c r="AJ14" s="1" t="s">
        <v>106</v>
      </c>
      <c r="AK14" s="1">
        <v>50</v>
      </c>
      <c r="AL14" s="1">
        <v>4006</v>
      </c>
    </row>
    <row r="15" s="1" customFormat="1" spans="3:38">
      <c r="C15" s="1">
        <v>1010</v>
      </c>
      <c r="D15" s="1">
        <v>1010</v>
      </c>
      <c r="E15" s="1">
        <v>10</v>
      </c>
      <c r="F15" s="1" t="s">
        <v>107</v>
      </c>
      <c r="G15" s="2" t="s">
        <v>108</v>
      </c>
      <c r="H15" s="1">
        <v>1</v>
      </c>
      <c r="I15" s="1">
        <v>0</v>
      </c>
      <c r="J15" s="1">
        <v>0</v>
      </c>
      <c r="K15" s="1">
        <v>10</v>
      </c>
      <c r="L15" s="1" t="s">
        <v>109</v>
      </c>
      <c r="M15" s="1">
        <v>20</v>
      </c>
      <c r="N15" s="1">
        <v>0</v>
      </c>
      <c r="O15" s="1">
        <v>2</v>
      </c>
      <c r="P15" s="1">
        <v>1</v>
      </c>
      <c r="Q15" s="1">
        <v>10</v>
      </c>
      <c r="R15" s="1">
        <v>1</v>
      </c>
      <c r="S15" s="1">
        <v>250</v>
      </c>
      <c r="T15" s="1">
        <v>10</v>
      </c>
      <c r="U15" s="1">
        <v>0</v>
      </c>
      <c r="V15" s="1">
        <v>2</v>
      </c>
      <c r="W15" s="1" t="s">
        <v>86</v>
      </c>
      <c r="X15" s="1" t="s">
        <v>110</v>
      </c>
      <c r="Y15" s="1">
        <v>0</v>
      </c>
      <c r="Z15" s="1">
        <v>0</v>
      </c>
      <c r="AA15" s="1">
        <v>0</v>
      </c>
      <c r="AB15" s="1">
        <v>0</v>
      </c>
      <c r="AC15" s="1">
        <v>200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K15" s="1">
        <v>50</v>
      </c>
      <c r="AL15" s="1">
        <v>4102</v>
      </c>
    </row>
    <row r="16" s="1" customFormat="1" spans="3:38">
      <c r="C16" s="1">
        <v>1011</v>
      </c>
      <c r="D16" s="1">
        <v>1011</v>
      </c>
      <c r="E16" s="1">
        <v>11</v>
      </c>
      <c r="F16" s="1" t="s">
        <v>111</v>
      </c>
      <c r="G16" s="2" t="s">
        <v>111</v>
      </c>
      <c r="H16" s="1">
        <v>8</v>
      </c>
      <c r="I16" s="1">
        <v>11</v>
      </c>
      <c r="J16" s="1">
        <v>0</v>
      </c>
      <c r="K16" s="1">
        <v>0</v>
      </c>
      <c r="L16" s="2" t="s">
        <v>112</v>
      </c>
      <c r="M16" s="1">
        <v>0</v>
      </c>
      <c r="N16" s="1">
        <v>30</v>
      </c>
      <c r="O16" s="1">
        <v>2</v>
      </c>
      <c r="P16" s="1">
        <v>1</v>
      </c>
      <c r="Q16" s="1">
        <v>10</v>
      </c>
      <c r="R16" s="1">
        <v>1</v>
      </c>
      <c r="S16" s="1">
        <f t="shared" si="0"/>
        <v>50</v>
      </c>
      <c r="T16" s="1">
        <v>50</v>
      </c>
      <c r="U16" s="1">
        <v>10</v>
      </c>
      <c r="V16" s="1">
        <v>3</v>
      </c>
      <c r="W16" s="1" t="s">
        <v>86</v>
      </c>
      <c r="X16" s="1" t="s">
        <v>92</v>
      </c>
      <c r="Y16" s="1">
        <v>15</v>
      </c>
      <c r="Z16" s="1">
        <v>5</v>
      </c>
      <c r="AA16" s="1">
        <v>4</v>
      </c>
      <c r="AB16" s="1">
        <v>4</v>
      </c>
      <c r="AC16" s="1">
        <v>500</v>
      </c>
      <c r="AD16" s="1">
        <v>100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K16" s="1">
        <v>50</v>
      </c>
      <c r="AL16" s="1">
        <v>0</v>
      </c>
    </row>
    <row r="17" s="1" customFormat="1" spans="3:38">
      <c r="C17" s="1">
        <v>1012</v>
      </c>
      <c r="D17" s="1">
        <v>1012</v>
      </c>
      <c r="E17" s="1">
        <v>12</v>
      </c>
      <c r="F17" s="1" t="s">
        <v>113</v>
      </c>
      <c r="G17" s="1" t="s">
        <v>113</v>
      </c>
      <c r="H17" s="1">
        <v>1</v>
      </c>
      <c r="I17" s="1">
        <v>0</v>
      </c>
      <c r="J17" s="1">
        <v>1002</v>
      </c>
      <c r="K17" s="1">
        <v>10</v>
      </c>
      <c r="L17" s="2" t="s">
        <v>114</v>
      </c>
      <c r="M17" s="1">
        <v>0</v>
      </c>
      <c r="N17" s="1">
        <v>0</v>
      </c>
      <c r="O17" s="1">
        <v>1</v>
      </c>
      <c r="P17" s="1">
        <v>1</v>
      </c>
      <c r="Q17" s="1">
        <v>10</v>
      </c>
      <c r="R17" s="1">
        <v>0.1</v>
      </c>
      <c r="S17" s="1">
        <v>500</v>
      </c>
      <c r="T17" s="1">
        <v>500</v>
      </c>
      <c r="U17" s="1">
        <v>0</v>
      </c>
      <c r="V17" s="1">
        <v>3</v>
      </c>
      <c r="W17" s="1" t="s">
        <v>86</v>
      </c>
      <c r="X17" s="1" t="s">
        <v>110</v>
      </c>
      <c r="Y17" s="1">
        <v>0</v>
      </c>
      <c r="Z17" s="1">
        <v>3</v>
      </c>
      <c r="AA17" s="1">
        <v>3</v>
      </c>
      <c r="AB17" s="1">
        <v>3</v>
      </c>
      <c r="AC17" s="1">
        <v>500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K17" s="1">
        <v>50</v>
      </c>
      <c r="AL17" s="1">
        <v>0</v>
      </c>
    </row>
    <row r="18" s="1" customFormat="1" spans="7:7">
      <c r="G18" s="2"/>
    </row>
    <row r="19" s="1" customFormat="1" spans="3:38">
      <c r="C19" s="1">
        <v>2001</v>
      </c>
      <c r="D19" s="1">
        <v>2001</v>
      </c>
      <c r="E19" s="1">
        <v>1</v>
      </c>
      <c r="F19" s="1" t="s">
        <v>115</v>
      </c>
      <c r="G19" s="1" t="s">
        <v>116</v>
      </c>
      <c r="H19" s="1">
        <v>1</v>
      </c>
      <c r="I19" s="1">
        <v>0</v>
      </c>
      <c r="J19" s="1">
        <v>0</v>
      </c>
      <c r="K19" s="1">
        <v>10</v>
      </c>
      <c r="L19" s="1" t="s">
        <v>117</v>
      </c>
      <c r="M19" s="1">
        <v>0</v>
      </c>
      <c r="N19" s="1">
        <v>0</v>
      </c>
      <c r="O19" s="1">
        <v>1</v>
      </c>
      <c r="P19" s="1">
        <v>2</v>
      </c>
      <c r="Q19" s="1">
        <v>600</v>
      </c>
      <c r="R19" s="1">
        <v>60</v>
      </c>
      <c r="S19" s="1">
        <f t="shared" ref="S19:S30" si="1">Q19*5</f>
        <v>3000</v>
      </c>
      <c r="T19" s="1">
        <v>2</v>
      </c>
      <c r="U19" s="1">
        <v>0</v>
      </c>
      <c r="V19" s="1">
        <v>2</v>
      </c>
      <c r="W19" s="1" t="s">
        <v>86</v>
      </c>
      <c r="X19" s="1" t="s">
        <v>110</v>
      </c>
      <c r="Y19" s="1">
        <v>0</v>
      </c>
      <c r="Z19" s="1">
        <v>1</v>
      </c>
      <c r="AA19" s="1">
        <v>0</v>
      </c>
      <c r="AB19" s="1">
        <v>0</v>
      </c>
      <c r="AC19" s="1">
        <v>120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K19" s="1">
        <v>50</v>
      </c>
      <c r="AL19" s="1">
        <v>4006</v>
      </c>
    </row>
    <row r="20" s="1" customFormat="1" spans="3:38">
      <c r="C20" s="1">
        <v>2002</v>
      </c>
      <c r="D20" s="1">
        <v>2002</v>
      </c>
      <c r="E20" s="1">
        <v>2</v>
      </c>
      <c r="F20" s="1" t="s">
        <v>118</v>
      </c>
      <c r="G20" s="2" t="s">
        <v>119</v>
      </c>
      <c r="H20" s="1">
        <v>1</v>
      </c>
      <c r="I20" s="1">
        <v>0</v>
      </c>
      <c r="J20" s="1">
        <v>0</v>
      </c>
      <c r="K20" s="1">
        <v>10</v>
      </c>
      <c r="L20" s="1" t="s">
        <v>120</v>
      </c>
      <c r="M20" s="1">
        <v>0</v>
      </c>
      <c r="N20" s="1">
        <v>0</v>
      </c>
      <c r="O20" s="1">
        <v>1</v>
      </c>
      <c r="P20" s="1">
        <v>2</v>
      </c>
      <c r="Q20" s="1">
        <v>600</v>
      </c>
      <c r="R20" s="1">
        <v>60</v>
      </c>
      <c r="S20" s="1">
        <f>Q20*2.5</f>
        <v>1500</v>
      </c>
      <c r="T20" s="1">
        <v>3</v>
      </c>
      <c r="U20" s="1">
        <v>0</v>
      </c>
      <c r="V20" s="1">
        <v>3</v>
      </c>
      <c r="W20" s="1" t="s">
        <v>86</v>
      </c>
      <c r="X20" s="1" t="s">
        <v>110</v>
      </c>
      <c r="Y20" s="1">
        <v>0</v>
      </c>
      <c r="Z20" s="1">
        <v>1</v>
      </c>
      <c r="AA20" s="1">
        <v>0</v>
      </c>
      <c r="AB20" s="1">
        <v>0</v>
      </c>
      <c r="AC20" s="1">
        <v>150</v>
      </c>
      <c r="AD20" s="1">
        <v>0</v>
      </c>
      <c r="AE20" s="1">
        <v>50</v>
      </c>
      <c r="AF20" s="1">
        <v>0</v>
      </c>
      <c r="AG20" s="1">
        <v>0</v>
      </c>
      <c r="AH20" s="1">
        <v>0</v>
      </c>
      <c r="AI20" s="1">
        <v>0</v>
      </c>
      <c r="AK20" s="1">
        <v>50</v>
      </c>
      <c r="AL20" s="1">
        <v>4006</v>
      </c>
    </row>
    <row r="21" s="1" customFormat="1" spans="3:38">
      <c r="C21" s="1">
        <v>2003</v>
      </c>
      <c r="D21" s="1">
        <v>2003</v>
      </c>
      <c r="E21" s="1">
        <v>3</v>
      </c>
      <c r="F21" s="1" t="s">
        <v>121</v>
      </c>
      <c r="G21" s="2" t="s">
        <v>122</v>
      </c>
      <c r="H21" s="1">
        <v>3</v>
      </c>
      <c r="I21" s="1">
        <v>0</v>
      </c>
      <c r="J21" s="1">
        <v>0</v>
      </c>
      <c r="K21" s="1">
        <v>10</v>
      </c>
      <c r="L21" s="1" t="s">
        <v>123</v>
      </c>
      <c r="M21" s="1">
        <v>0</v>
      </c>
      <c r="N21" s="1">
        <v>10</v>
      </c>
      <c r="O21" s="1">
        <v>2</v>
      </c>
      <c r="P21" s="1">
        <v>2</v>
      </c>
      <c r="Q21" s="1">
        <v>600</v>
      </c>
      <c r="R21" s="1">
        <v>60</v>
      </c>
      <c r="S21" s="1">
        <f t="shared" si="1"/>
        <v>3000</v>
      </c>
      <c r="T21" s="1">
        <v>2</v>
      </c>
      <c r="U21" s="1">
        <v>0</v>
      </c>
      <c r="V21" s="1">
        <v>3</v>
      </c>
      <c r="W21" s="1" t="s">
        <v>86</v>
      </c>
      <c r="X21" s="1" t="s">
        <v>92</v>
      </c>
      <c r="Y21" s="1">
        <v>10</v>
      </c>
      <c r="Z21" s="1">
        <v>5</v>
      </c>
      <c r="AA21" s="1">
        <v>2</v>
      </c>
      <c r="AB21" s="1">
        <v>2</v>
      </c>
      <c r="AC21" s="1">
        <v>80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K21" s="1">
        <v>50</v>
      </c>
      <c r="AL21" s="1">
        <v>4006</v>
      </c>
    </row>
    <row r="22" s="1" customFormat="1" spans="3:38">
      <c r="C22" s="1">
        <v>2004</v>
      </c>
      <c r="D22" s="1">
        <v>2004</v>
      </c>
      <c r="E22" s="1">
        <v>4</v>
      </c>
      <c r="F22" s="1" t="s">
        <v>124</v>
      </c>
      <c r="G22" s="2" t="s">
        <v>125</v>
      </c>
      <c r="H22" s="1">
        <v>1</v>
      </c>
      <c r="I22" s="1">
        <v>0</v>
      </c>
      <c r="J22" s="1">
        <v>0</v>
      </c>
      <c r="K22" s="1">
        <v>10</v>
      </c>
      <c r="L22" s="1" t="s">
        <v>126</v>
      </c>
      <c r="M22" s="1">
        <v>0</v>
      </c>
      <c r="N22" s="1">
        <v>0</v>
      </c>
      <c r="O22" s="1">
        <v>2</v>
      </c>
      <c r="P22" s="1">
        <v>2</v>
      </c>
      <c r="Q22" s="1">
        <v>600</v>
      </c>
      <c r="R22" s="1">
        <v>60</v>
      </c>
      <c r="S22" s="1">
        <f t="shared" si="1"/>
        <v>3000</v>
      </c>
      <c r="T22" s="1">
        <v>2</v>
      </c>
      <c r="U22" s="1">
        <v>0</v>
      </c>
      <c r="V22" s="1">
        <v>4</v>
      </c>
      <c r="W22" s="1" t="s">
        <v>73</v>
      </c>
      <c r="X22" s="1" t="s">
        <v>92</v>
      </c>
      <c r="Y22" s="1">
        <v>0</v>
      </c>
      <c r="Z22" s="1">
        <v>4</v>
      </c>
      <c r="AA22" s="1">
        <v>2</v>
      </c>
      <c r="AB22" s="1">
        <v>2</v>
      </c>
      <c r="AC22" s="1">
        <v>100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 t="s">
        <v>127</v>
      </c>
      <c r="AK22" s="1">
        <v>50</v>
      </c>
      <c r="AL22" s="1">
        <v>4006</v>
      </c>
    </row>
    <row r="23" s="1" customFormat="1" spans="3:38">
      <c r="C23" s="1">
        <v>2005</v>
      </c>
      <c r="D23" s="1">
        <v>2005</v>
      </c>
      <c r="E23" s="1">
        <v>5</v>
      </c>
      <c r="F23" s="1" t="s">
        <v>128</v>
      </c>
      <c r="G23" s="2" t="s">
        <v>129</v>
      </c>
      <c r="H23" s="1">
        <v>5</v>
      </c>
      <c r="I23" s="1">
        <v>5</v>
      </c>
      <c r="J23" s="1">
        <v>0</v>
      </c>
      <c r="K23" s="1">
        <v>50</v>
      </c>
      <c r="L23" s="1" t="s">
        <v>91</v>
      </c>
      <c r="M23" s="1">
        <v>0</v>
      </c>
      <c r="N23" s="1">
        <v>55</v>
      </c>
      <c r="O23" s="1">
        <v>1</v>
      </c>
      <c r="P23" s="1">
        <v>2</v>
      </c>
      <c r="Q23" s="1">
        <v>200</v>
      </c>
      <c r="R23" s="1">
        <v>20</v>
      </c>
      <c r="S23" s="1">
        <f t="shared" si="1"/>
        <v>1000</v>
      </c>
      <c r="T23" s="1">
        <v>1</v>
      </c>
      <c r="U23" s="1">
        <v>0</v>
      </c>
      <c r="V23" s="1">
        <v>0</v>
      </c>
      <c r="W23" s="1" t="s">
        <v>73</v>
      </c>
      <c r="X23" s="1" t="s">
        <v>92</v>
      </c>
      <c r="Y23" s="1">
        <v>30</v>
      </c>
      <c r="Z23" s="1">
        <v>0</v>
      </c>
      <c r="AA23" s="1">
        <v>0</v>
      </c>
      <c r="AB23" s="1">
        <v>0</v>
      </c>
      <c r="AC23" s="1">
        <v>100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7" t="s">
        <v>93</v>
      </c>
      <c r="AK23" s="1">
        <v>50</v>
      </c>
      <c r="AL23" s="1">
        <v>4006</v>
      </c>
    </row>
    <row r="24" s="1" customFormat="1" spans="3:38">
      <c r="C24" s="1">
        <v>2006</v>
      </c>
      <c r="D24" s="1">
        <v>2006</v>
      </c>
      <c r="E24" s="1">
        <v>6</v>
      </c>
      <c r="F24" s="1" t="s">
        <v>130</v>
      </c>
      <c r="G24" s="1" t="s">
        <v>130</v>
      </c>
      <c r="H24" s="1">
        <v>6</v>
      </c>
      <c r="I24" s="1">
        <v>0</v>
      </c>
      <c r="J24" s="1">
        <v>0</v>
      </c>
      <c r="K24" s="1">
        <v>10</v>
      </c>
      <c r="L24" s="1" t="s">
        <v>131</v>
      </c>
      <c r="M24" s="1">
        <v>0</v>
      </c>
      <c r="N24" s="1">
        <v>0</v>
      </c>
      <c r="O24" s="1">
        <v>1</v>
      </c>
      <c r="P24" s="1">
        <v>2</v>
      </c>
      <c r="Q24" s="1">
        <v>200</v>
      </c>
      <c r="R24" s="1">
        <v>20</v>
      </c>
      <c r="S24" s="1">
        <f t="shared" si="1"/>
        <v>1000</v>
      </c>
      <c r="T24" s="1">
        <v>1</v>
      </c>
      <c r="U24" s="1">
        <v>0</v>
      </c>
      <c r="V24" s="1">
        <v>0</v>
      </c>
      <c r="W24" s="1" t="s">
        <v>73</v>
      </c>
      <c r="X24" s="1" t="s">
        <v>96</v>
      </c>
      <c r="Y24" s="1">
        <v>0</v>
      </c>
      <c r="Z24" s="1">
        <v>0</v>
      </c>
      <c r="AA24" s="1">
        <v>0</v>
      </c>
      <c r="AB24" s="1">
        <v>0</v>
      </c>
      <c r="AC24" s="1">
        <v>50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K24" s="1">
        <v>50</v>
      </c>
      <c r="AL24" s="1">
        <v>4006</v>
      </c>
    </row>
    <row r="25" s="1" customFormat="1" spans="3:38">
      <c r="C25" s="1">
        <v>2007</v>
      </c>
      <c r="D25" s="1">
        <v>2007</v>
      </c>
      <c r="E25" s="1">
        <v>7</v>
      </c>
      <c r="F25" s="1" t="s">
        <v>132</v>
      </c>
      <c r="G25" s="2" t="s">
        <v>133</v>
      </c>
      <c r="H25" s="1">
        <v>1</v>
      </c>
      <c r="I25" s="1">
        <v>0</v>
      </c>
      <c r="J25" s="1">
        <v>0</v>
      </c>
      <c r="K25" s="1">
        <v>10</v>
      </c>
      <c r="L25" s="1" t="s">
        <v>126</v>
      </c>
      <c r="M25" s="1">
        <v>0</v>
      </c>
      <c r="N25" s="6">
        <v>5</v>
      </c>
      <c r="O25" s="1">
        <v>2</v>
      </c>
      <c r="P25" s="1">
        <v>2</v>
      </c>
      <c r="Q25" s="1">
        <v>600</v>
      </c>
      <c r="R25" s="1">
        <v>60</v>
      </c>
      <c r="S25" s="1">
        <f t="shared" si="1"/>
        <v>3000</v>
      </c>
      <c r="T25" s="6">
        <v>6</v>
      </c>
      <c r="U25" s="1">
        <v>0</v>
      </c>
      <c r="V25" s="1">
        <v>5</v>
      </c>
      <c r="W25" s="1" t="s">
        <v>86</v>
      </c>
      <c r="X25" s="1" t="s">
        <v>92</v>
      </c>
      <c r="Y25" s="1">
        <v>0</v>
      </c>
      <c r="Z25" s="1">
        <v>5</v>
      </c>
      <c r="AA25" s="1">
        <v>3</v>
      </c>
      <c r="AB25" s="1">
        <v>3</v>
      </c>
      <c r="AC25" s="6">
        <v>300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6" t="s">
        <v>134</v>
      </c>
      <c r="AK25" s="1">
        <v>50</v>
      </c>
      <c r="AL25" s="1">
        <v>4006</v>
      </c>
    </row>
    <row r="26" s="1" customFormat="1" spans="3:38">
      <c r="C26" s="1">
        <v>2008</v>
      </c>
      <c r="D26" s="1">
        <v>2008</v>
      </c>
      <c r="E26" s="1">
        <v>8</v>
      </c>
      <c r="F26" s="1" t="s">
        <v>135</v>
      </c>
      <c r="G26" s="2" t="s">
        <v>136</v>
      </c>
      <c r="H26" s="1">
        <v>2008</v>
      </c>
      <c r="I26" s="1">
        <v>0</v>
      </c>
      <c r="J26" s="1">
        <v>0</v>
      </c>
      <c r="K26" s="1">
        <v>200</v>
      </c>
      <c r="L26" s="1" t="s">
        <v>137</v>
      </c>
      <c r="M26" s="1">
        <v>0</v>
      </c>
      <c r="N26" s="1">
        <v>30</v>
      </c>
      <c r="O26" s="1">
        <v>1</v>
      </c>
      <c r="P26" s="1">
        <v>2</v>
      </c>
      <c r="Q26" s="1">
        <v>30</v>
      </c>
      <c r="R26" s="1">
        <v>3</v>
      </c>
      <c r="S26" s="1">
        <f t="shared" si="1"/>
        <v>150</v>
      </c>
      <c r="T26" s="1">
        <v>1</v>
      </c>
      <c r="U26" s="1">
        <v>0</v>
      </c>
      <c r="V26" s="1">
        <v>0</v>
      </c>
      <c r="W26" s="1" t="s">
        <v>73</v>
      </c>
      <c r="X26" s="1" t="s">
        <v>96</v>
      </c>
      <c r="Y26" s="1">
        <v>0</v>
      </c>
      <c r="Z26" s="1">
        <v>0</v>
      </c>
      <c r="AA26" s="1">
        <v>0</v>
      </c>
      <c r="AB26" s="1">
        <v>0</v>
      </c>
      <c r="AC26" s="1">
        <v>50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 t="s">
        <v>138</v>
      </c>
      <c r="AK26" s="1">
        <v>50</v>
      </c>
      <c r="AL26" s="1">
        <v>4006</v>
      </c>
    </row>
    <row r="27" s="1" customFormat="1" spans="3:38">
      <c r="C27" s="1">
        <v>2009</v>
      </c>
      <c r="D27" s="1">
        <v>2009</v>
      </c>
      <c r="E27" s="1">
        <v>9</v>
      </c>
      <c r="F27" s="1" t="s">
        <v>139</v>
      </c>
      <c r="G27" s="2" t="s">
        <v>140</v>
      </c>
      <c r="H27" s="1">
        <v>3</v>
      </c>
      <c r="I27" s="1">
        <v>0</v>
      </c>
      <c r="J27" s="1">
        <v>0</v>
      </c>
      <c r="K27" s="1">
        <v>10</v>
      </c>
      <c r="L27" s="1" t="s">
        <v>141</v>
      </c>
      <c r="M27" s="1">
        <v>0</v>
      </c>
      <c r="N27" s="1">
        <v>15</v>
      </c>
      <c r="O27" s="1">
        <v>2</v>
      </c>
      <c r="P27" s="1">
        <v>2</v>
      </c>
      <c r="Q27" s="1">
        <v>300</v>
      </c>
      <c r="R27" s="1">
        <v>30</v>
      </c>
      <c r="S27" s="1">
        <f t="shared" si="1"/>
        <v>1500</v>
      </c>
      <c r="T27" s="1">
        <v>7</v>
      </c>
      <c r="U27" s="1">
        <v>0</v>
      </c>
      <c r="V27" s="1">
        <v>3</v>
      </c>
      <c r="W27" s="1" t="s">
        <v>86</v>
      </c>
      <c r="X27" s="1" t="s">
        <v>92</v>
      </c>
      <c r="Y27" s="1">
        <v>10</v>
      </c>
      <c r="Z27" s="1">
        <v>5</v>
      </c>
      <c r="AA27" s="1">
        <v>4</v>
      </c>
      <c r="AB27" s="1">
        <v>4</v>
      </c>
      <c r="AC27" s="1">
        <v>400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 t="s">
        <v>142</v>
      </c>
      <c r="AK27" s="1">
        <v>50</v>
      </c>
      <c r="AL27" s="1">
        <v>4006</v>
      </c>
    </row>
    <row r="28" s="1" customFormat="1" spans="3:38">
      <c r="C28" s="1">
        <v>2010</v>
      </c>
      <c r="D28" s="1">
        <v>2010</v>
      </c>
      <c r="E28" s="1">
        <v>10</v>
      </c>
      <c r="F28" s="1" t="s">
        <v>143</v>
      </c>
      <c r="G28" s="2" t="s">
        <v>143</v>
      </c>
      <c r="H28" s="1">
        <v>2010</v>
      </c>
      <c r="I28" s="1">
        <v>0</v>
      </c>
      <c r="J28" s="1">
        <v>0</v>
      </c>
      <c r="K28" s="1">
        <v>100</v>
      </c>
      <c r="L28" s="2" t="s">
        <v>144</v>
      </c>
      <c r="M28" s="1">
        <v>0</v>
      </c>
      <c r="N28" s="1">
        <v>30</v>
      </c>
      <c r="O28" s="1">
        <v>2</v>
      </c>
      <c r="P28" s="1">
        <v>2</v>
      </c>
      <c r="Q28" s="1">
        <v>10</v>
      </c>
      <c r="R28" s="1">
        <v>1</v>
      </c>
      <c r="S28" s="1">
        <f t="shared" si="1"/>
        <v>50</v>
      </c>
      <c r="T28" s="1">
        <v>5</v>
      </c>
      <c r="U28" s="1">
        <v>0</v>
      </c>
      <c r="V28" s="1">
        <v>3</v>
      </c>
      <c r="W28" s="1" t="s">
        <v>86</v>
      </c>
      <c r="X28" s="1" t="s">
        <v>92</v>
      </c>
      <c r="Y28" s="1">
        <v>15</v>
      </c>
      <c r="Z28" s="1">
        <v>5</v>
      </c>
      <c r="AA28" s="1">
        <v>4</v>
      </c>
      <c r="AB28" s="1">
        <v>4</v>
      </c>
      <c r="AC28" s="1">
        <v>150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K28" s="1">
        <v>50</v>
      </c>
      <c r="AL28" s="1">
        <v>4102</v>
      </c>
    </row>
    <row r="29" s="1" customFormat="1" spans="3:38">
      <c r="C29" s="1">
        <v>2011</v>
      </c>
      <c r="D29" s="1">
        <v>2011</v>
      </c>
      <c r="E29" s="1">
        <v>11</v>
      </c>
      <c r="F29" s="1" t="s">
        <v>145</v>
      </c>
      <c r="G29" s="2" t="s">
        <v>145</v>
      </c>
      <c r="H29" s="1">
        <v>8</v>
      </c>
      <c r="I29" s="1">
        <v>11</v>
      </c>
      <c r="J29" s="1">
        <v>0</v>
      </c>
      <c r="K29" s="1">
        <v>0</v>
      </c>
      <c r="L29" s="2" t="s">
        <v>146</v>
      </c>
      <c r="M29" s="1">
        <v>0</v>
      </c>
      <c r="N29" s="1">
        <v>30</v>
      </c>
      <c r="O29" s="1">
        <v>2</v>
      </c>
      <c r="P29" s="1">
        <v>2</v>
      </c>
      <c r="Q29" s="1">
        <v>10</v>
      </c>
      <c r="R29" s="1">
        <v>1</v>
      </c>
      <c r="S29" s="1">
        <f t="shared" si="1"/>
        <v>50</v>
      </c>
      <c r="T29" s="1">
        <v>50</v>
      </c>
      <c r="U29" s="1">
        <v>10</v>
      </c>
      <c r="V29" s="1">
        <v>3</v>
      </c>
      <c r="W29" s="1" t="s">
        <v>86</v>
      </c>
      <c r="X29" s="1" t="s">
        <v>92</v>
      </c>
      <c r="Y29" s="1">
        <v>15</v>
      </c>
      <c r="Z29" s="1">
        <v>5</v>
      </c>
      <c r="AA29" s="1">
        <v>4</v>
      </c>
      <c r="AB29" s="1">
        <v>4</v>
      </c>
      <c r="AC29" s="1">
        <v>500</v>
      </c>
      <c r="AD29" s="1">
        <v>100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K29" s="1">
        <v>50</v>
      </c>
      <c r="AL29" s="1">
        <v>0</v>
      </c>
    </row>
    <row r="30" s="1" customFormat="1" spans="3:38">
      <c r="C30" s="1">
        <v>2012</v>
      </c>
      <c r="D30" s="1">
        <v>2012</v>
      </c>
      <c r="E30" s="1">
        <v>12</v>
      </c>
      <c r="F30" s="1" t="s">
        <v>147</v>
      </c>
      <c r="G30" s="1" t="s">
        <v>147</v>
      </c>
      <c r="H30" s="1">
        <v>8</v>
      </c>
      <c r="I30" s="1">
        <v>0</v>
      </c>
      <c r="J30" s="1">
        <v>0</v>
      </c>
      <c r="K30" s="1">
        <v>10</v>
      </c>
      <c r="L30" s="2" t="s">
        <v>148</v>
      </c>
      <c r="M30" s="1">
        <v>0</v>
      </c>
      <c r="N30" s="1">
        <v>0</v>
      </c>
      <c r="O30" s="1">
        <v>2</v>
      </c>
      <c r="P30" s="1">
        <v>2</v>
      </c>
      <c r="Q30" s="1">
        <v>1</v>
      </c>
      <c r="R30" s="1">
        <v>0.1</v>
      </c>
      <c r="S30" s="1">
        <v>500</v>
      </c>
      <c r="T30" s="1">
        <v>5</v>
      </c>
      <c r="U30" s="1">
        <v>10</v>
      </c>
      <c r="V30" s="1">
        <v>3</v>
      </c>
      <c r="W30" s="1" t="s">
        <v>86</v>
      </c>
      <c r="X30" s="1" t="s">
        <v>92</v>
      </c>
      <c r="Y30" s="1">
        <v>300</v>
      </c>
      <c r="Z30" s="1">
        <v>5</v>
      </c>
      <c r="AA30" s="1">
        <v>4</v>
      </c>
      <c r="AB30" s="1">
        <v>4</v>
      </c>
      <c r="AC30" s="1">
        <v>5</v>
      </c>
      <c r="AD30" s="1">
        <v>10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K30" s="1">
        <v>50</v>
      </c>
      <c r="AL30" s="1">
        <v>0</v>
      </c>
    </row>
    <row r="31" s="1" customFormat="1" spans="7:7">
      <c r="G31" s="2"/>
    </row>
    <row r="32" s="1" customFormat="1" spans="3:38">
      <c r="C32" s="1">
        <v>3001</v>
      </c>
      <c r="D32" s="1">
        <v>3001</v>
      </c>
      <c r="E32" s="1">
        <v>1</v>
      </c>
      <c r="F32" s="1" t="s">
        <v>149</v>
      </c>
      <c r="G32" s="2" t="s">
        <v>150</v>
      </c>
      <c r="H32" s="1">
        <v>4</v>
      </c>
      <c r="I32" s="1">
        <v>0</v>
      </c>
      <c r="J32" s="1">
        <v>0</v>
      </c>
      <c r="K32" s="1">
        <v>20</v>
      </c>
      <c r="L32" s="1" t="s">
        <v>151</v>
      </c>
      <c r="M32" s="1">
        <v>0</v>
      </c>
      <c r="N32" s="1">
        <v>4</v>
      </c>
      <c r="O32" s="1">
        <v>1</v>
      </c>
      <c r="P32" s="1">
        <v>3</v>
      </c>
      <c r="Q32" s="1">
        <v>600</v>
      </c>
      <c r="R32" s="1">
        <v>60</v>
      </c>
      <c r="S32" s="1">
        <v>20</v>
      </c>
      <c r="T32" s="1">
        <v>3</v>
      </c>
      <c r="U32" s="1">
        <v>0</v>
      </c>
      <c r="V32" s="1">
        <v>5</v>
      </c>
      <c r="W32" s="1" t="s">
        <v>73</v>
      </c>
      <c r="X32" s="1" t="s">
        <v>110</v>
      </c>
      <c r="Y32" s="1">
        <v>0</v>
      </c>
      <c r="Z32" s="1">
        <v>0</v>
      </c>
      <c r="AA32" s="1">
        <v>0</v>
      </c>
      <c r="AB32" s="1">
        <v>0</v>
      </c>
      <c r="AC32" s="1">
        <v>50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K32" s="1">
        <v>50</v>
      </c>
      <c r="AL32" s="1">
        <v>4006</v>
      </c>
    </row>
    <row r="33" s="1" customFormat="1" spans="3:38">
      <c r="C33" s="1">
        <v>3002</v>
      </c>
      <c r="D33" s="1">
        <v>3002</v>
      </c>
      <c r="E33" s="1">
        <v>2</v>
      </c>
      <c r="F33" s="1" t="s">
        <v>152</v>
      </c>
      <c r="G33" s="1" t="s">
        <v>153</v>
      </c>
      <c r="H33" s="1">
        <v>1</v>
      </c>
      <c r="I33" s="1">
        <v>0</v>
      </c>
      <c r="J33" s="1">
        <v>0</v>
      </c>
      <c r="K33" s="1">
        <v>10</v>
      </c>
      <c r="L33" s="1" t="s">
        <v>154</v>
      </c>
      <c r="M33" s="1">
        <v>0</v>
      </c>
      <c r="N33" s="1">
        <v>0</v>
      </c>
      <c r="O33" s="1">
        <v>1</v>
      </c>
      <c r="P33" s="1">
        <v>3</v>
      </c>
      <c r="Q33" s="1">
        <v>600</v>
      </c>
      <c r="R33" s="1">
        <v>60</v>
      </c>
      <c r="S33" s="1">
        <f>Q33*1.8</f>
        <v>1080</v>
      </c>
      <c r="T33" s="1">
        <v>2</v>
      </c>
      <c r="U33" s="1">
        <v>0</v>
      </c>
      <c r="V33" s="1">
        <v>3</v>
      </c>
      <c r="W33" s="1" t="s">
        <v>86</v>
      </c>
      <c r="X33" s="1" t="s">
        <v>110</v>
      </c>
      <c r="Y33" s="1">
        <v>0</v>
      </c>
      <c r="Z33" s="1">
        <v>1</v>
      </c>
      <c r="AA33" s="1">
        <v>0</v>
      </c>
      <c r="AB33" s="1">
        <v>0</v>
      </c>
      <c r="AC33" s="1">
        <v>120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K33" s="1">
        <v>50</v>
      </c>
      <c r="AL33" s="1">
        <v>4006</v>
      </c>
    </row>
    <row r="34" s="1" customFormat="1" spans="3:38">
      <c r="C34" s="1">
        <v>3003</v>
      </c>
      <c r="D34" s="1">
        <v>3003</v>
      </c>
      <c r="E34" s="1">
        <v>3</v>
      </c>
      <c r="F34" s="1" t="s">
        <v>155</v>
      </c>
      <c r="G34" s="2" t="s">
        <v>156</v>
      </c>
      <c r="H34" s="1">
        <v>1</v>
      </c>
      <c r="I34" s="1">
        <v>0</v>
      </c>
      <c r="J34" s="1">
        <v>0</v>
      </c>
      <c r="K34" s="1">
        <v>10</v>
      </c>
      <c r="L34" s="1" t="s">
        <v>157</v>
      </c>
      <c r="M34" s="1">
        <v>0</v>
      </c>
      <c r="N34" s="1">
        <v>10</v>
      </c>
      <c r="O34" s="1">
        <v>1</v>
      </c>
      <c r="P34" s="1">
        <v>3</v>
      </c>
      <c r="Q34" s="1">
        <v>600</v>
      </c>
      <c r="R34" s="1">
        <v>60</v>
      </c>
      <c r="S34" s="1">
        <f t="shared" ref="S32:S43" si="2">Q34*5</f>
        <v>3000</v>
      </c>
      <c r="T34" s="1">
        <v>2</v>
      </c>
      <c r="U34" s="1">
        <v>0</v>
      </c>
      <c r="V34" s="1">
        <v>2</v>
      </c>
      <c r="W34" s="1" t="s">
        <v>86</v>
      </c>
      <c r="X34" s="1" t="s">
        <v>110</v>
      </c>
      <c r="Y34" s="1">
        <v>0</v>
      </c>
      <c r="Z34" s="1">
        <v>5</v>
      </c>
      <c r="AA34" s="1">
        <v>0</v>
      </c>
      <c r="AB34" s="1">
        <v>0</v>
      </c>
      <c r="AC34" s="1">
        <v>35</v>
      </c>
      <c r="AD34" s="1">
        <v>0</v>
      </c>
      <c r="AE34" s="1">
        <v>60</v>
      </c>
      <c r="AF34" s="1">
        <v>0</v>
      </c>
      <c r="AG34" s="1">
        <v>0</v>
      </c>
      <c r="AH34" s="1">
        <v>0</v>
      </c>
      <c r="AI34" s="1">
        <v>0</v>
      </c>
      <c r="AJ34" s="1" t="s">
        <v>158</v>
      </c>
      <c r="AK34" s="1">
        <v>50</v>
      </c>
      <c r="AL34" s="1">
        <v>4006</v>
      </c>
    </row>
    <row r="35" s="1" customFormat="1" spans="3:38">
      <c r="C35" s="1">
        <v>3004</v>
      </c>
      <c r="D35" s="1">
        <v>3004</v>
      </c>
      <c r="E35" s="1">
        <v>4</v>
      </c>
      <c r="F35" s="1" t="s">
        <v>159</v>
      </c>
      <c r="G35" s="2" t="s">
        <v>160</v>
      </c>
      <c r="H35" s="1">
        <v>2</v>
      </c>
      <c r="I35" s="1">
        <v>6</v>
      </c>
      <c r="J35" s="1">
        <v>0</v>
      </c>
      <c r="K35" s="1">
        <v>100</v>
      </c>
      <c r="L35" s="1" t="s">
        <v>161</v>
      </c>
      <c r="M35" s="1">
        <v>0</v>
      </c>
      <c r="N35" s="1">
        <v>15</v>
      </c>
      <c r="O35" s="1">
        <v>1</v>
      </c>
      <c r="P35" s="1">
        <v>3</v>
      </c>
      <c r="Q35" s="1">
        <v>600</v>
      </c>
      <c r="R35" s="1">
        <v>60</v>
      </c>
      <c r="S35" s="1">
        <f t="shared" si="2"/>
        <v>3000</v>
      </c>
      <c r="T35" s="1">
        <v>2</v>
      </c>
      <c r="U35" s="1">
        <v>0</v>
      </c>
      <c r="V35" s="1">
        <v>0</v>
      </c>
      <c r="W35" s="1" t="s">
        <v>73</v>
      </c>
      <c r="X35" s="1" t="s">
        <v>96</v>
      </c>
      <c r="Y35" s="1">
        <v>0</v>
      </c>
      <c r="Z35" s="1">
        <v>1</v>
      </c>
      <c r="AA35" s="1">
        <v>0</v>
      </c>
      <c r="AB35" s="1">
        <v>0</v>
      </c>
      <c r="AC35" s="1">
        <v>100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K35" s="1">
        <v>50</v>
      </c>
      <c r="AL35" s="1">
        <v>4006</v>
      </c>
    </row>
    <row r="36" s="1" customFormat="1" spans="3:38">
      <c r="C36" s="1">
        <v>3005</v>
      </c>
      <c r="D36" s="1">
        <v>3005</v>
      </c>
      <c r="E36" s="1">
        <v>5</v>
      </c>
      <c r="F36" s="1" t="s">
        <v>162</v>
      </c>
      <c r="G36" s="2" t="s">
        <v>162</v>
      </c>
      <c r="H36" s="1">
        <v>5</v>
      </c>
      <c r="I36" s="1">
        <v>5</v>
      </c>
      <c r="J36" s="1">
        <v>0</v>
      </c>
      <c r="K36" s="1">
        <v>50</v>
      </c>
      <c r="L36" s="1" t="s">
        <v>91</v>
      </c>
      <c r="M36" s="1">
        <v>0</v>
      </c>
      <c r="N36" s="1">
        <v>55</v>
      </c>
      <c r="O36" s="1">
        <v>1</v>
      </c>
      <c r="P36" s="1">
        <v>3</v>
      </c>
      <c r="Q36" s="1">
        <v>200</v>
      </c>
      <c r="R36" s="1">
        <v>20</v>
      </c>
      <c r="S36" s="1">
        <f t="shared" si="2"/>
        <v>1000</v>
      </c>
      <c r="T36" s="1">
        <v>1</v>
      </c>
      <c r="U36" s="1">
        <v>0</v>
      </c>
      <c r="V36" s="1">
        <v>0</v>
      </c>
      <c r="W36" s="1" t="s">
        <v>73</v>
      </c>
      <c r="X36" s="1" t="s">
        <v>92</v>
      </c>
      <c r="Y36" s="1">
        <v>30</v>
      </c>
      <c r="Z36" s="1">
        <v>0</v>
      </c>
      <c r="AA36" s="1">
        <v>0</v>
      </c>
      <c r="AB36" s="1">
        <v>0</v>
      </c>
      <c r="AC36" s="1">
        <v>100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7" t="s">
        <v>93</v>
      </c>
      <c r="AK36" s="1">
        <v>50</v>
      </c>
      <c r="AL36" s="1">
        <v>4006</v>
      </c>
    </row>
    <row r="37" s="1" customFormat="1" spans="3:38">
      <c r="C37" s="1">
        <v>3006</v>
      </c>
      <c r="D37" s="1">
        <v>3006</v>
      </c>
      <c r="E37" s="1">
        <v>6</v>
      </c>
      <c r="F37" s="1" t="s">
        <v>163</v>
      </c>
      <c r="G37" s="1" t="s">
        <v>163</v>
      </c>
      <c r="H37" s="1">
        <v>6</v>
      </c>
      <c r="I37" s="1">
        <v>0</v>
      </c>
      <c r="J37" s="1">
        <v>0</v>
      </c>
      <c r="K37" s="1">
        <v>10</v>
      </c>
      <c r="L37" s="1" t="s">
        <v>164</v>
      </c>
      <c r="M37" s="1">
        <v>0</v>
      </c>
      <c r="N37" s="1">
        <v>0</v>
      </c>
      <c r="O37" s="1">
        <v>1</v>
      </c>
      <c r="P37" s="1">
        <v>3</v>
      </c>
      <c r="Q37" s="1">
        <v>200</v>
      </c>
      <c r="R37" s="1">
        <v>20</v>
      </c>
      <c r="S37" s="1">
        <f t="shared" si="2"/>
        <v>1000</v>
      </c>
      <c r="T37" s="1">
        <v>1</v>
      </c>
      <c r="U37" s="1">
        <v>0</v>
      </c>
      <c r="V37" s="1">
        <v>3</v>
      </c>
      <c r="W37" s="1" t="s">
        <v>73</v>
      </c>
      <c r="X37" s="1" t="s">
        <v>96</v>
      </c>
      <c r="Y37" s="1">
        <v>0</v>
      </c>
      <c r="Z37" s="1">
        <v>0</v>
      </c>
      <c r="AA37" s="1">
        <v>0</v>
      </c>
      <c r="AB37" s="1">
        <v>0</v>
      </c>
      <c r="AC37" s="1">
        <v>50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K37" s="1">
        <v>50</v>
      </c>
      <c r="AL37" s="1">
        <v>4006</v>
      </c>
    </row>
    <row r="38" s="1" customFormat="1" spans="3:38">
      <c r="C38" s="1">
        <v>3007</v>
      </c>
      <c r="D38" s="1">
        <v>3007</v>
      </c>
      <c r="E38" s="1">
        <v>7</v>
      </c>
      <c r="F38" s="1" t="s">
        <v>165</v>
      </c>
      <c r="G38" s="2" t="s">
        <v>166</v>
      </c>
      <c r="H38" s="1">
        <v>2</v>
      </c>
      <c r="I38" s="1">
        <v>6</v>
      </c>
      <c r="J38" s="1">
        <v>0</v>
      </c>
      <c r="K38" s="1">
        <v>100</v>
      </c>
      <c r="L38" s="1" t="s">
        <v>167</v>
      </c>
      <c r="M38" s="1">
        <v>0</v>
      </c>
      <c r="N38" s="1">
        <v>30</v>
      </c>
      <c r="O38" s="1">
        <v>1</v>
      </c>
      <c r="P38" s="1">
        <v>3</v>
      </c>
      <c r="Q38" s="1">
        <v>600</v>
      </c>
      <c r="R38" s="1">
        <v>60</v>
      </c>
      <c r="S38" s="1">
        <f t="shared" si="2"/>
        <v>3000</v>
      </c>
      <c r="T38" s="1">
        <v>3</v>
      </c>
      <c r="U38" s="1">
        <v>0</v>
      </c>
      <c r="V38" s="1">
        <v>2</v>
      </c>
      <c r="W38" s="1" t="s">
        <v>86</v>
      </c>
      <c r="X38" s="1" t="s">
        <v>92</v>
      </c>
      <c r="Y38" s="1">
        <v>0</v>
      </c>
      <c r="Z38" s="1">
        <v>2</v>
      </c>
      <c r="AA38" s="1">
        <v>0</v>
      </c>
      <c r="AB38" s="1">
        <v>0</v>
      </c>
      <c r="AC38" s="1">
        <v>120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K38" s="1">
        <v>50</v>
      </c>
      <c r="AL38" s="1">
        <v>4006</v>
      </c>
    </row>
    <row r="39" s="1" customFormat="1" spans="3:38">
      <c r="C39" s="1">
        <v>3008</v>
      </c>
      <c r="D39" s="1">
        <v>3008</v>
      </c>
      <c r="E39" s="1">
        <v>8</v>
      </c>
      <c r="F39" s="1" t="s">
        <v>168</v>
      </c>
      <c r="G39" s="2" t="s">
        <v>169</v>
      </c>
      <c r="H39" s="1">
        <v>3008</v>
      </c>
      <c r="I39" s="1">
        <v>0</v>
      </c>
      <c r="J39" s="1">
        <v>0</v>
      </c>
      <c r="K39" s="1">
        <v>200</v>
      </c>
      <c r="L39" s="1" t="s">
        <v>170</v>
      </c>
      <c r="M39" s="1">
        <v>0</v>
      </c>
      <c r="N39" s="1">
        <v>30</v>
      </c>
      <c r="O39" s="1">
        <v>1</v>
      </c>
      <c r="P39" s="1">
        <v>3</v>
      </c>
      <c r="Q39" s="1">
        <v>30</v>
      </c>
      <c r="R39" s="1">
        <v>3</v>
      </c>
      <c r="S39" s="1">
        <f t="shared" si="2"/>
        <v>150</v>
      </c>
      <c r="T39" s="1">
        <v>1</v>
      </c>
      <c r="U39" s="1">
        <v>0</v>
      </c>
      <c r="V39" s="1">
        <v>0</v>
      </c>
      <c r="W39" s="1" t="s">
        <v>73</v>
      </c>
      <c r="X39" s="1" t="s">
        <v>96</v>
      </c>
      <c r="Y39" s="1">
        <v>5</v>
      </c>
      <c r="Z39" s="1">
        <v>0</v>
      </c>
      <c r="AA39" s="1">
        <v>0</v>
      </c>
      <c r="AB39" s="1">
        <v>0</v>
      </c>
      <c r="AC39" s="1">
        <v>30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 t="s">
        <v>171</v>
      </c>
      <c r="AK39" s="1">
        <v>50</v>
      </c>
      <c r="AL39" s="1">
        <v>4006</v>
      </c>
    </row>
    <row r="40" s="1" customFormat="1" spans="3:38">
      <c r="C40" s="1">
        <v>3009</v>
      </c>
      <c r="D40" s="1">
        <v>3009</v>
      </c>
      <c r="E40" s="1">
        <v>9</v>
      </c>
      <c r="F40" s="1" t="s">
        <v>172</v>
      </c>
      <c r="G40" s="2" t="s">
        <v>173</v>
      </c>
      <c r="H40" s="1">
        <v>2</v>
      </c>
      <c r="I40" s="1">
        <v>6</v>
      </c>
      <c r="J40" s="1">
        <v>0</v>
      </c>
      <c r="K40" s="1">
        <v>100</v>
      </c>
      <c r="L40" s="1" t="s">
        <v>174</v>
      </c>
      <c r="M40" s="1">
        <v>0</v>
      </c>
      <c r="N40" s="1">
        <v>30</v>
      </c>
      <c r="O40" s="1">
        <v>1</v>
      </c>
      <c r="P40" s="1">
        <v>3</v>
      </c>
      <c r="Q40" s="1">
        <v>300</v>
      </c>
      <c r="R40" s="1">
        <v>30</v>
      </c>
      <c r="S40" s="1">
        <v>200</v>
      </c>
      <c r="T40" s="1">
        <v>4</v>
      </c>
      <c r="U40" s="1">
        <v>0</v>
      </c>
      <c r="V40" s="1">
        <v>2</v>
      </c>
      <c r="W40" s="1" t="s">
        <v>86</v>
      </c>
      <c r="X40" s="1" t="s">
        <v>92</v>
      </c>
      <c r="Y40" s="1">
        <v>0</v>
      </c>
      <c r="Z40" s="1">
        <v>3</v>
      </c>
      <c r="AA40" s="1">
        <v>0</v>
      </c>
      <c r="AB40" s="1">
        <v>0</v>
      </c>
      <c r="AC40" s="1">
        <v>300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K40" s="1">
        <v>50</v>
      </c>
      <c r="AL40" s="1">
        <v>4006</v>
      </c>
    </row>
    <row r="41" s="1" customFormat="1" spans="3:38">
      <c r="C41" s="1">
        <v>3010</v>
      </c>
      <c r="D41" s="1">
        <v>3010</v>
      </c>
      <c r="E41" s="1">
        <v>10</v>
      </c>
      <c r="F41" s="1" t="s">
        <v>175</v>
      </c>
      <c r="G41" s="2" t="s">
        <v>175</v>
      </c>
      <c r="H41" s="1">
        <v>8</v>
      </c>
      <c r="I41" s="1">
        <v>0</v>
      </c>
      <c r="J41" s="1">
        <v>0</v>
      </c>
      <c r="K41" s="1">
        <v>100</v>
      </c>
      <c r="L41" s="1" t="s">
        <v>176</v>
      </c>
      <c r="M41" s="1">
        <v>0</v>
      </c>
      <c r="N41" s="1">
        <v>0</v>
      </c>
      <c r="O41" s="1">
        <v>1</v>
      </c>
      <c r="P41" s="1">
        <v>3</v>
      </c>
      <c r="Q41" s="1">
        <v>10</v>
      </c>
      <c r="R41" s="1">
        <v>1</v>
      </c>
      <c r="S41" s="1">
        <v>1</v>
      </c>
      <c r="T41" s="1">
        <v>1</v>
      </c>
      <c r="U41" s="1">
        <v>0</v>
      </c>
      <c r="V41" s="1">
        <v>0</v>
      </c>
      <c r="W41" s="1" t="s">
        <v>86</v>
      </c>
      <c r="X41" s="1" t="s">
        <v>92</v>
      </c>
      <c r="Y41" s="1">
        <v>0</v>
      </c>
      <c r="Z41" s="1">
        <v>3</v>
      </c>
      <c r="AA41" s="1">
        <v>0</v>
      </c>
      <c r="AB41" s="1">
        <v>0</v>
      </c>
      <c r="AC41" s="1">
        <v>20</v>
      </c>
      <c r="AD41" s="1">
        <v>400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K41" s="1">
        <v>50</v>
      </c>
      <c r="AL41" s="1">
        <v>4102</v>
      </c>
    </row>
    <row r="42" s="1" customFormat="1" spans="3:38">
      <c r="C42" s="1">
        <v>3011</v>
      </c>
      <c r="D42" s="1">
        <v>3011</v>
      </c>
      <c r="E42" s="1">
        <v>11</v>
      </c>
      <c r="F42" s="1" t="s">
        <v>177</v>
      </c>
      <c r="G42" s="2" t="s">
        <v>177</v>
      </c>
      <c r="H42" s="1">
        <v>8</v>
      </c>
      <c r="I42" s="1">
        <v>11</v>
      </c>
      <c r="J42" s="1">
        <v>0</v>
      </c>
      <c r="K42" s="1">
        <v>0</v>
      </c>
      <c r="L42" s="2" t="s">
        <v>178</v>
      </c>
      <c r="M42" s="1">
        <v>0</v>
      </c>
      <c r="N42" s="1">
        <v>30</v>
      </c>
      <c r="O42" s="1">
        <v>2</v>
      </c>
      <c r="P42" s="1">
        <v>3</v>
      </c>
      <c r="Q42" s="1">
        <v>10</v>
      </c>
      <c r="R42" s="1">
        <v>1</v>
      </c>
      <c r="S42" s="1">
        <f t="shared" si="2"/>
        <v>50</v>
      </c>
      <c r="T42" s="1">
        <v>50</v>
      </c>
      <c r="U42" s="1">
        <v>10</v>
      </c>
      <c r="V42" s="1">
        <v>3</v>
      </c>
      <c r="W42" s="1" t="s">
        <v>86</v>
      </c>
      <c r="X42" s="1" t="s">
        <v>92</v>
      </c>
      <c r="Y42" s="1">
        <v>15</v>
      </c>
      <c r="Z42" s="1">
        <v>5</v>
      </c>
      <c r="AA42" s="1">
        <v>4</v>
      </c>
      <c r="AB42" s="1">
        <v>4</v>
      </c>
      <c r="AC42" s="1">
        <v>500</v>
      </c>
      <c r="AD42" s="1">
        <v>100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K42" s="1">
        <v>50</v>
      </c>
      <c r="AL42" s="1">
        <v>0</v>
      </c>
    </row>
    <row r="43" s="1" customFormat="1" spans="3:38">
      <c r="C43" s="1">
        <v>3012</v>
      </c>
      <c r="D43" s="1">
        <v>3012</v>
      </c>
      <c r="E43" s="1">
        <v>9</v>
      </c>
      <c r="F43" s="1" t="s">
        <v>179</v>
      </c>
      <c r="G43" s="1" t="s">
        <v>179</v>
      </c>
      <c r="H43" s="1">
        <v>2</v>
      </c>
      <c r="I43" s="1">
        <v>6</v>
      </c>
      <c r="J43" s="1">
        <v>0</v>
      </c>
      <c r="K43" s="1">
        <v>100</v>
      </c>
      <c r="L43" s="1" t="s">
        <v>180</v>
      </c>
      <c r="M43" s="1">
        <v>0</v>
      </c>
      <c r="N43" s="1">
        <v>30</v>
      </c>
      <c r="O43" s="1">
        <v>1</v>
      </c>
      <c r="P43" s="1">
        <v>3</v>
      </c>
      <c r="Q43" s="1">
        <v>1</v>
      </c>
      <c r="R43" s="1">
        <v>0.1</v>
      </c>
      <c r="S43" s="1">
        <v>200</v>
      </c>
      <c r="T43" s="1">
        <v>4</v>
      </c>
      <c r="U43" s="1">
        <v>0</v>
      </c>
      <c r="V43" s="1">
        <v>2</v>
      </c>
      <c r="W43" s="1" t="s">
        <v>86</v>
      </c>
      <c r="X43" s="1" t="s">
        <v>92</v>
      </c>
      <c r="Y43" s="1">
        <v>0</v>
      </c>
      <c r="Z43" s="1">
        <v>3</v>
      </c>
      <c r="AA43" s="1">
        <v>0</v>
      </c>
      <c r="AB43" s="1">
        <v>0</v>
      </c>
      <c r="AC43" s="1">
        <v>300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K43" s="1">
        <v>50</v>
      </c>
      <c r="AL43" s="1">
        <v>4006</v>
      </c>
    </row>
    <row r="44" s="1" customFormat="1" spans="6:7">
      <c r="F44" s="2"/>
      <c r="G44" s="2"/>
    </row>
    <row r="45" s="1" customFormat="1" spans="3:37">
      <c r="C45" s="1">
        <v>4001</v>
      </c>
      <c r="D45" s="1">
        <v>4001</v>
      </c>
      <c r="E45" s="1">
        <v>0</v>
      </c>
      <c r="F45" s="4" t="s">
        <v>181</v>
      </c>
      <c r="G45" s="5" t="s">
        <v>182</v>
      </c>
      <c r="H45" s="1">
        <v>4001</v>
      </c>
      <c r="I45" s="1">
        <v>0</v>
      </c>
      <c r="J45" s="1">
        <v>0</v>
      </c>
      <c r="K45" s="1">
        <v>-100</v>
      </c>
      <c r="L45" s="1" t="s">
        <v>183</v>
      </c>
      <c r="M45" s="1">
        <v>0</v>
      </c>
      <c r="N45" s="1">
        <v>30</v>
      </c>
      <c r="O45" s="1">
        <v>0</v>
      </c>
      <c r="P45" s="1">
        <v>0</v>
      </c>
      <c r="Q45" s="1">
        <v>0</v>
      </c>
      <c r="R45" s="1">
        <v>0</v>
      </c>
      <c r="S45" s="1">
        <v>1</v>
      </c>
      <c r="T45" s="1">
        <v>0</v>
      </c>
      <c r="U45" s="1">
        <v>0</v>
      </c>
      <c r="V45" s="1">
        <v>0</v>
      </c>
      <c r="W45" s="1" t="s">
        <v>73</v>
      </c>
      <c r="X45" s="1" t="s">
        <v>92</v>
      </c>
      <c r="Y45" s="1">
        <v>2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 t="s">
        <v>184</v>
      </c>
      <c r="AK45" s="1">
        <v>99999</v>
      </c>
    </row>
    <row r="46" s="1" customFormat="1" spans="3:37">
      <c r="C46" s="1">
        <v>4002</v>
      </c>
      <c r="D46" s="1">
        <v>4002</v>
      </c>
      <c r="E46" s="1">
        <v>0</v>
      </c>
      <c r="F46" s="4" t="s">
        <v>185</v>
      </c>
      <c r="G46" s="5" t="s">
        <v>186</v>
      </c>
      <c r="H46" s="1">
        <v>4002</v>
      </c>
      <c r="I46" s="1">
        <v>0</v>
      </c>
      <c r="J46" s="1">
        <v>0</v>
      </c>
      <c r="K46" s="1">
        <v>200</v>
      </c>
      <c r="L46" s="1" t="s">
        <v>187</v>
      </c>
      <c r="M46" s="1">
        <v>0</v>
      </c>
      <c r="N46" s="1">
        <v>60</v>
      </c>
      <c r="O46" s="1">
        <v>0</v>
      </c>
      <c r="P46" s="1">
        <v>0</v>
      </c>
      <c r="Q46" s="1">
        <v>0</v>
      </c>
      <c r="R46" s="1">
        <v>0</v>
      </c>
      <c r="S46" s="1">
        <v>1</v>
      </c>
      <c r="T46" s="1">
        <v>10</v>
      </c>
      <c r="U46" s="1">
        <v>0</v>
      </c>
      <c r="V46" s="1">
        <v>0</v>
      </c>
      <c r="W46" s="1" t="s">
        <v>73</v>
      </c>
      <c r="X46" s="1" t="s">
        <v>92</v>
      </c>
      <c r="Y46" s="1">
        <v>0</v>
      </c>
      <c r="Z46" s="1">
        <v>0</v>
      </c>
      <c r="AA46" s="1">
        <v>0</v>
      </c>
      <c r="AB46" s="1">
        <v>0</v>
      </c>
      <c r="AC46" s="1">
        <v>100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7"/>
      <c r="AK46" s="1">
        <v>99999</v>
      </c>
    </row>
    <row r="47" s="1" customFormat="1" spans="3:37">
      <c r="C47" s="1">
        <v>4003</v>
      </c>
      <c r="D47" s="1">
        <v>4003</v>
      </c>
      <c r="E47" s="1">
        <v>0</v>
      </c>
      <c r="F47" s="4" t="s">
        <v>188</v>
      </c>
      <c r="G47" s="5" t="s">
        <v>189</v>
      </c>
      <c r="H47" s="1">
        <v>4003</v>
      </c>
      <c r="I47" s="1">
        <v>0</v>
      </c>
      <c r="J47" s="1">
        <v>0</v>
      </c>
      <c r="K47" s="1">
        <v>-1</v>
      </c>
      <c r="L47" s="1" t="s">
        <v>190</v>
      </c>
      <c r="M47" s="1">
        <v>0</v>
      </c>
      <c r="N47" s="1">
        <v>60</v>
      </c>
      <c r="O47" s="1">
        <v>0</v>
      </c>
      <c r="P47" s="1">
        <v>0</v>
      </c>
      <c r="Q47" s="1">
        <v>0</v>
      </c>
      <c r="R47" s="1">
        <v>0</v>
      </c>
      <c r="S47" s="1">
        <v>1</v>
      </c>
      <c r="T47" s="1">
        <v>0</v>
      </c>
      <c r="U47" s="1">
        <v>0</v>
      </c>
      <c r="V47" s="1">
        <v>0</v>
      </c>
      <c r="W47" s="1" t="s">
        <v>73</v>
      </c>
      <c r="X47" s="1" t="s">
        <v>92</v>
      </c>
      <c r="Y47" s="1">
        <v>0</v>
      </c>
      <c r="Z47" s="1">
        <v>0</v>
      </c>
      <c r="AA47" s="1">
        <v>0</v>
      </c>
      <c r="AB47" s="1">
        <v>0</v>
      </c>
      <c r="AC47" s="1">
        <v>100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 t="s">
        <v>191</v>
      </c>
      <c r="AK47" s="1">
        <v>99999</v>
      </c>
    </row>
    <row r="48" s="1" customFormat="1" spans="6:7">
      <c r="F48" s="2"/>
      <c r="G48" s="2"/>
    </row>
    <row r="49" s="1" customFormat="1" spans="3:38">
      <c r="C49" s="1">
        <v>9001</v>
      </c>
      <c r="D49" s="1">
        <v>9001</v>
      </c>
      <c r="E49" s="1">
        <v>0</v>
      </c>
      <c r="F49" s="1" t="s">
        <v>192</v>
      </c>
      <c r="G49" s="1" t="s">
        <v>192</v>
      </c>
      <c r="H49" s="1">
        <v>9</v>
      </c>
      <c r="I49" s="1">
        <v>0</v>
      </c>
      <c r="J49" s="1">
        <v>0</v>
      </c>
      <c r="K49" s="1">
        <v>0</v>
      </c>
      <c r="M49" s="1">
        <v>0</v>
      </c>
      <c r="N49" s="1">
        <v>0</v>
      </c>
      <c r="O49" s="1">
        <v>1</v>
      </c>
      <c r="P49" s="1">
        <v>1</v>
      </c>
      <c r="Q49" s="1">
        <v>0</v>
      </c>
      <c r="R49" s="1">
        <v>0</v>
      </c>
      <c r="S49" s="1">
        <v>1</v>
      </c>
      <c r="T49" s="1">
        <v>0</v>
      </c>
      <c r="V49" s="1">
        <v>1</v>
      </c>
      <c r="W49" s="1" t="s">
        <v>73</v>
      </c>
      <c r="X49" s="1" t="s">
        <v>110</v>
      </c>
      <c r="Y49" s="1">
        <v>0</v>
      </c>
      <c r="Z49" s="1">
        <v>1</v>
      </c>
      <c r="AA49" s="1">
        <v>0</v>
      </c>
      <c r="AB49" s="1">
        <v>0</v>
      </c>
      <c r="AC49" s="1">
        <v>100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K49" s="1">
        <v>50</v>
      </c>
      <c r="AL49" s="1">
        <v>50</v>
      </c>
    </row>
    <row r="50" s="1" customFormat="1" spans="3:38">
      <c r="C50" s="1">
        <v>9002</v>
      </c>
      <c r="D50" s="1">
        <v>9002</v>
      </c>
      <c r="E50" s="1">
        <v>0</v>
      </c>
      <c r="F50" s="1" t="s">
        <v>193</v>
      </c>
      <c r="G50" s="1" t="s">
        <v>193</v>
      </c>
      <c r="H50" s="1">
        <v>9</v>
      </c>
      <c r="I50" s="1">
        <v>0</v>
      </c>
      <c r="J50" s="1">
        <v>0</v>
      </c>
      <c r="K50" s="1">
        <v>0</v>
      </c>
      <c r="M50" s="1">
        <v>0</v>
      </c>
      <c r="N50" s="1">
        <v>0</v>
      </c>
      <c r="O50" s="1">
        <v>1</v>
      </c>
      <c r="P50" s="1">
        <v>1</v>
      </c>
      <c r="Q50" s="1">
        <v>0</v>
      </c>
      <c r="R50" s="1">
        <v>0</v>
      </c>
      <c r="S50" s="1">
        <v>1</v>
      </c>
      <c r="T50" s="1">
        <v>0</v>
      </c>
      <c r="V50" s="1">
        <v>2</v>
      </c>
      <c r="W50" s="1" t="s">
        <v>73</v>
      </c>
      <c r="X50" s="1" t="s">
        <v>74</v>
      </c>
      <c r="Y50" s="1">
        <v>0</v>
      </c>
      <c r="Z50" s="1">
        <v>1</v>
      </c>
      <c r="AA50" s="1">
        <v>0</v>
      </c>
      <c r="AB50" s="1">
        <v>0</v>
      </c>
      <c r="AC50" s="1">
        <v>100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K50" s="1">
        <v>50</v>
      </c>
      <c r="AL50" s="1">
        <v>50</v>
      </c>
    </row>
    <row r="51" s="1" customFormat="1"/>
    <row r="52" s="1" customFormat="1" spans="3:38">
      <c r="C52" s="1">
        <v>10001</v>
      </c>
      <c r="D52" s="1">
        <v>10001</v>
      </c>
      <c r="E52" s="1">
        <v>0</v>
      </c>
      <c r="F52" s="1" t="s">
        <v>194</v>
      </c>
      <c r="G52" s="2" t="s">
        <v>195</v>
      </c>
      <c r="H52" s="1">
        <v>1</v>
      </c>
      <c r="I52" s="1">
        <v>0</v>
      </c>
      <c r="J52" s="1">
        <v>0</v>
      </c>
      <c r="K52" s="1">
        <v>1</v>
      </c>
      <c r="L52" s="1" t="s">
        <v>194</v>
      </c>
      <c r="M52" s="1">
        <v>0</v>
      </c>
      <c r="N52" s="1">
        <v>0</v>
      </c>
      <c r="O52" s="1">
        <v>1</v>
      </c>
      <c r="P52" s="1">
        <v>1</v>
      </c>
      <c r="Q52" s="1">
        <v>0</v>
      </c>
      <c r="R52" s="1">
        <v>0</v>
      </c>
      <c r="S52" s="1">
        <v>1</v>
      </c>
      <c r="T52" s="1">
        <v>0</v>
      </c>
      <c r="V52" s="1">
        <v>3</v>
      </c>
      <c r="W52" s="1" t="s">
        <v>86</v>
      </c>
      <c r="X52" s="1" t="s">
        <v>110</v>
      </c>
      <c r="Y52" s="1">
        <v>0</v>
      </c>
      <c r="Z52" s="1">
        <v>1</v>
      </c>
      <c r="AA52" s="1">
        <v>0</v>
      </c>
      <c r="AB52" s="1">
        <v>0</v>
      </c>
      <c r="AC52" s="1">
        <v>150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K52" s="1">
        <v>50</v>
      </c>
      <c r="AL52" s="1">
        <v>50</v>
      </c>
    </row>
    <row r="53" spans="3:38">
      <c r="C53" s="2">
        <v>10002</v>
      </c>
      <c r="D53" s="2">
        <v>10002</v>
      </c>
      <c r="E53" s="1">
        <v>0</v>
      </c>
      <c r="F53" s="2" t="s">
        <v>196</v>
      </c>
      <c r="G53" s="2" t="s">
        <v>195</v>
      </c>
      <c r="H53" s="2">
        <v>4</v>
      </c>
      <c r="I53" s="1">
        <v>0</v>
      </c>
      <c r="J53" s="1">
        <v>0</v>
      </c>
      <c r="K53" s="2">
        <v>10</v>
      </c>
      <c r="L53" s="2" t="s">
        <v>197</v>
      </c>
      <c r="M53" s="1">
        <v>0</v>
      </c>
      <c r="N53" s="2">
        <v>0</v>
      </c>
      <c r="O53" s="1">
        <v>1</v>
      </c>
      <c r="P53" s="1">
        <v>1</v>
      </c>
      <c r="Q53" s="1">
        <v>0</v>
      </c>
      <c r="R53" s="1">
        <v>0</v>
      </c>
      <c r="S53" s="1">
        <v>1</v>
      </c>
      <c r="T53" s="1">
        <v>0</v>
      </c>
      <c r="U53" s="1"/>
      <c r="V53" s="2">
        <v>0</v>
      </c>
      <c r="W53" s="1" t="s">
        <v>73</v>
      </c>
      <c r="X53" s="1" t="s">
        <v>74</v>
      </c>
      <c r="Y53" s="2">
        <v>0</v>
      </c>
      <c r="Z53" s="2">
        <v>1</v>
      </c>
      <c r="AA53" s="1">
        <v>0</v>
      </c>
      <c r="AB53" s="1">
        <v>0</v>
      </c>
      <c r="AC53" s="2">
        <v>100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/>
      <c r="AK53" s="1">
        <v>50</v>
      </c>
      <c r="AL53" s="1">
        <v>50</v>
      </c>
    </row>
    <row r="54" spans="3:38">
      <c r="C54" s="2">
        <v>10003</v>
      </c>
      <c r="D54" s="2">
        <v>10003</v>
      </c>
      <c r="E54" s="1">
        <v>0</v>
      </c>
      <c r="F54" s="2" t="s">
        <v>198</v>
      </c>
      <c r="G54" s="2" t="s">
        <v>195</v>
      </c>
      <c r="H54" s="2">
        <v>1</v>
      </c>
      <c r="I54" s="1">
        <v>0</v>
      </c>
      <c r="J54" s="1">
        <v>0</v>
      </c>
      <c r="K54" s="2">
        <v>1</v>
      </c>
      <c r="L54" s="2" t="s">
        <v>198</v>
      </c>
      <c r="M54" s="1">
        <v>0</v>
      </c>
      <c r="N54" s="2">
        <v>0</v>
      </c>
      <c r="O54" s="1">
        <v>1</v>
      </c>
      <c r="P54" s="1">
        <v>1</v>
      </c>
      <c r="Q54" s="1">
        <v>0</v>
      </c>
      <c r="R54" s="1">
        <v>0</v>
      </c>
      <c r="S54" s="1">
        <v>1</v>
      </c>
      <c r="T54" s="1">
        <v>0</v>
      </c>
      <c r="U54" s="1"/>
      <c r="V54" s="1">
        <v>0</v>
      </c>
      <c r="W54" s="1" t="s">
        <v>86</v>
      </c>
      <c r="X54" s="1" t="s">
        <v>96</v>
      </c>
      <c r="Y54" s="1">
        <v>0</v>
      </c>
      <c r="Z54" s="1">
        <v>10</v>
      </c>
      <c r="AA54" s="1">
        <v>0</v>
      </c>
      <c r="AB54" s="1">
        <v>0</v>
      </c>
      <c r="AC54" s="1">
        <v>100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/>
      <c r="AK54" s="1">
        <v>50</v>
      </c>
      <c r="AL54" s="1">
        <v>50</v>
      </c>
    </row>
    <row r="55" spans="3:38">
      <c r="C55" s="2">
        <v>10004</v>
      </c>
      <c r="D55" s="2">
        <v>10004</v>
      </c>
      <c r="E55" s="1">
        <v>0</v>
      </c>
      <c r="F55" s="2" t="s">
        <v>199</v>
      </c>
      <c r="G55" s="2" t="s">
        <v>195</v>
      </c>
      <c r="H55" s="2">
        <v>4</v>
      </c>
      <c r="I55" s="1">
        <v>0</v>
      </c>
      <c r="J55" s="1">
        <v>0</v>
      </c>
      <c r="K55" s="2">
        <v>10</v>
      </c>
      <c r="L55" s="2" t="s">
        <v>199</v>
      </c>
      <c r="M55" s="1">
        <v>0</v>
      </c>
      <c r="N55" s="2">
        <v>0</v>
      </c>
      <c r="O55" s="1">
        <v>1</v>
      </c>
      <c r="P55" s="2">
        <v>1</v>
      </c>
      <c r="Q55" s="2">
        <v>0</v>
      </c>
      <c r="R55" s="1">
        <v>0</v>
      </c>
      <c r="S55" s="1">
        <v>1</v>
      </c>
      <c r="T55" s="1">
        <v>0</v>
      </c>
      <c r="U55" s="1"/>
      <c r="V55" s="2">
        <v>3</v>
      </c>
      <c r="W55" s="2" t="s">
        <v>200</v>
      </c>
      <c r="X55" s="2" t="s">
        <v>92</v>
      </c>
      <c r="Y55" s="2">
        <v>0</v>
      </c>
      <c r="Z55" s="2">
        <v>4</v>
      </c>
      <c r="AA55" s="1">
        <v>0</v>
      </c>
      <c r="AB55" s="1">
        <v>0</v>
      </c>
      <c r="AC55" s="2">
        <v>50</v>
      </c>
      <c r="AD55" s="2">
        <v>0</v>
      </c>
      <c r="AE55" s="1">
        <v>0</v>
      </c>
      <c r="AF55" s="2">
        <v>0</v>
      </c>
      <c r="AG55" s="2">
        <v>0</v>
      </c>
      <c r="AH55" s="2">
        <v>0</v>
      </c>
      <c r="AI55" s="1">
        <v>0</v>
      </c>
      <c r="AK55" s="1">
        <v>50</v>
      </c>
      <c r="AL55" s="1">
        <v>50</v>
      </c>
    </row>
    <row r="56" s="1" customFormat="1" spans="3:38">
      <c r="C56" s="1">
        <v>10005</v>
      </c>
      <c r="D56" s="1">
        <v>10005</v>
      </c>
      <c r="E56" s="1">
        <v>0</v>
      </c>
      <c r="F56" s="2" t="s">
        <v>201</v>
      </c>
      <c r="G56" s="2" t="s">
        <v>76</v>
      </c>
      <c r="H56" s="1">
        <v>1</v>
      </c>
      <c r="I56" s="1">
        <v>0</v>
      </c>
      <c r="J56" s="1">
        <v>0</v>
      </c>
      <c r="K56" s="1">
        <v>10</v>
      </c>
      <c r="L56" s="2" t="s">
        <v>201</v>
      </c>
      <c r="M56" s="1">
        <v>0</v>
      </c>
      <c r="N56" s="1">
        <v>0</v>
      </c>
      <c r="O56" s="1">
        <v>1</v>
      </c>
      <c r="P56" s="1">
        <v>1</v>
      </c>
      <c r="Q56" s="2">
        <v>0</v>
      </c>
      <c r="R56" s="1">
        <v>0</v>
      </c>
      <c r="S56" s="1">
        <v>1</v>
      </c>
      <c r="T56" s="1">
        <v>0</v>
      </c>
      <c r="V56" s="1">
        <v>2</v>
      </c>
      <c r="W56" s="1" t="s">
        <v>73</v>
      </c>
      <c r="X56" s="1" t="s">
        <v>74</v>
      </c>
      <c r="Y56" s="1">
        <v>0</v>
      </c>
      <c r="Z56" s="1">
        <v>2</v>
      </c>
      <c r="AA56" s="1">
        <v>0</v>
      </c>
      <c r="AB56" s="1">
        <v>0</v>
      </c>
      <c r="AC56" s="1">
        <v>150</v>
      </c>
      <c r="AD56" s="1">
        <v>0</v>
      </c>
      <c r="AE56" s="1">
        <v>20</v>
      </c>
      <c r="AF56" s="1">
        <v>0</v>
      </c>
      <c r="AG56" s="1">
        <v>0</v>
      </c>
      <c r="AH56" s="1">
        <v>0</v>
      </c>
      <c r="AI56" s="1">
        <v>0</v>
      </c>
      <c r="AK56" s="1">
        <v>50</v>
      </c>
      <c r="AL56" s="1">
        <v>50</v>
      </c>
    </row>
    <row r="58" s="1" customFormat="1" spans="3:38">
      <c r="C58" s="1">
        <v>11001</v>
      </c>
      <c r="D58" s="1">
        <v>1001</v>
      </c>
      <c r="E58" s="1">
        <v>0</v>
      </c>
      <c r="F58" s="1" t="s">
        <v>71</v>
      </c>
      <c r="G58" s="1" t="s">
        <v>71</v>
      </c>
      <c r="H58" s="1">
        <v>1</v>
      </c>
      <c r="I58" s="1">
        <v>0</v>
      </c>
      <c r="J58" s="1">
        <v>0</v>
      </c>
      <c r="K58" s="1">
        <v>10</v>
      </c>
      <c r="M58" s="1">
        <v>0</v>
      </c>
      <c r="N58" s="1">
        <v>0</v>
      </c>
      <c r="O58" s="1">
        <v>1</v>
      </c>
      <c r="P58" s="1">
        <v>1</v>
      </c>
      <c r="Q58" s="1">
        <v>9999</v>
      </c>
      <c r="R58" s="1">
        <v>0</v>
      </c>
      <c r="S58" s="1">
        <v>1</v>
      </c>
      <c r="T58" s="1">
        <v>0</v>
      </c>
      <c r="V58" s="1">
        <v>1</v>
      </c>
      <c r="W58" s="1" t="s">
        <v>73</v>
      </c>
      <c r="X58" s="1" t="s">
        <v>74</v>
      </c>
      <c r="Y58" s="1">
        <v>0</v>
      </c>
      <c r="Z58" s="1">
        <v>1</v>
      </c>
      <c r="AA58" s="1">
        <v>0</v>
      </c>
      <c r="AB58" s="1">
        <v>0</v>
      </c>
      <c r="AC58" s="1">
        <v>120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K58" s="1">
        <v>50</v>
      </c>
      <c r="AL58" s="1">
        <v>50</v>
      </c>
    </row>
    <row r="59" s="1" customFormat="1" spans="3:38">
      <c r="C59" s="1">
        <v>11002</v>
      </c>
      <c r="D59" s="1">
        <v>1002</v>
      </c>
      <c r="E59" s="1">
        <v>0</v>
      </c>
      <c r="F59" s="1" t="s">
        <v>75</v>
      </c>
      <c r="G59" s="2" t="s">
        <v>76</v>
      </c>
      <c r="H59" s="1">
        <v>1</v>
      </c>
      <c r="I59" s="1">
        <v>0</v>
      </c>
      <c r="J59" s="1">
        <v>0</v>
      </c>
      <c r="K59" s="1">
        <v>10</v>
      </c>
      <c r="M59" s="1">
        <v>0</v>
      </c>
      <c r="N59" s="1">
        <v>0</v>
      </c>
      <c r="O59" s="1">
        <v>2</v>
      </c>
      <c r="P59" s="1">
        <v>1</v>
      </c>
      <c r="Q59" s="1">
        <v>9999</v>
      </c>
      <c r="R59" s="1">
        <v>0</v>
      </c>
      <c r="S59" s="1">
        <v>1</v>
      </c>
      <c r="T59" s="1">
        <v>0</v>
      </c>
      <c r="V59" s="1">
        <v>2</v>
      </c>
      <c r="W59" s="1" t="s">
        <v>73</v>
      </c>
      <c r="X59" s="1" t="s">
        <v>74</v>
      </c>
      <c r="Y59" s="1">
        <v>0</v>
      </c>
      <c r="Z59" s="1">
        <v>2</v>
      </c>
      <c r="AA59" s="1">
        <v>0</v>
      </c>
      <c r="AB59" s="1">
        <v>0</v>
      </c>
      <c r="AC59" s="1">
        <v>150</v>
      </c>
      <c r="AD59" s="1">
        <v>0</v>
      </c>
      <c r="AE59" s="1">
        <v>20</v>
      </c>
      <c r="AF59" s="1">
        <v>0</v>
      </c>
      <c r="AG59" s="1">
        <v>0</v>
      </c>
      <c r="AH59" s="1">
        <v>0</v>
      </c>
      <c r="AI59" s="1">
        <v>0</v>
      </c>
      <c r="AK59" s="1">
        <v>50</v>
      </c>
      <c r="AL59" s="1">
        <v>50</v>
      </c>
    </row>
    <row r="60" s="1" customFormat="1" spans="3:38">
      <c r="C60" s="1">
        <v>11003</v>
      </c>
      <c r="D60" s="1">
        <v>1003</v>
      </c>
      <c r="E60" s="1">
        <v>0</v>
      </c>
      <c r="F60" s="1" t="s">
        <v>78</v>
      </c>
      <c r="G60" s="2" t="s">
        <v>79</v>
      </c>
      <c r="H60" s="1">
        <v>1</v>
      </c>
      <c r="I60" s="1">
        <v>0</v>
      </c>
      <c r="J60" s="1">
        <v>0</v>
      </c>
      <c r="K60" s="1">
        <v>10</v>
      </c>
      <c r="M60" s="1">
        <v>0</v>
      </c>
      <c r="N60" s="1">
        <v>0</v>
      </c>
      <c r="O60" s="1">
        <v>2</v>
      </c>
      <c r="P60" s="1">
        <v>1</v>
      </c>
      <c r="Q60" s="1">
        <v>9999</v>
      </c>
      <c r="R60" s="1">
        <v>0</v>
      </c>
      <c r="S60" s="1">
        <v>1</v>
      </c>
      <c r="T60" s="1">
        <v>0</v>
      </c>
      <c r="V60" s="1">
        <v>1</v>
      </c>
      <c r="W60" s="1" t="s">
        <v>73</v>
      </c>
      <c r="X60" s="1" t="s">
        <v>81</v>
      </c>
      <c r="Y60" s="1">
        <v>0</v>
      </c>
      <c r="Z60" s="1">
        <v>5</v>
      </c>
      <c r="AA60" s="1">
        <v>0</v>
      </c>
      <c r="AB60" s="1">
        <v>0</v>
      </c>
      <c r="AC60" s="1">
        <v>100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K60" s="1">
        <v>50</v>
      </c>
      <c r="AL60" s="1">
        <v>50</v>
      </c>
    </row>
    <row r="61" s="1" customFormat="1" spans="3:38">
      <c r="C61" s="1">
        <v>11004</v>
      </c>
      <c r="D61" s="1">
        <v>1004</v>
      </c>
      <c r="E61" s="1">
        <v>0</v>
      </c>
      <c r="F61" s="1" t="s">
        <v>83</v>
      </c>
      <c r="G61" s="1" t="s">
        <v>84</v>
      </c>
      <c r="H61" s="1">
        <v>7</v>
      </c>
      <c r="I61" s="1">
        <v>0</v>
      </c>
      <c r="J61" s="1">
        <v>0</v>
      </c>
      <c r="K61" s="1">
        <v>10</v>
      </c>
      <c r="M61" s="1">
        <v>0</v>
      </c>
      <c r="N61" s="1">
        <v>5</v>
      </c>
      <c r="O61" s="1">
        <v>1</v>
      </c>
      <c r="P61" s="1">
        <v>1</v>
      </c>
      <c r="Q61" s="1">
        <v>9999</v>
      </c>
      <c r="R61" s="1">
        <v>0</v>
      </c>
      <c r="S61" s="1">
        <v>1</v>
      </c>
      <c r="T61" s="1">
        <v>0</v>
      </c>
      <c r="V61" s="1">
        <v>4</v>
      </c>
      <c r="W61" s="1" t="s">
        <v>86</v>
      </c>
      <c r="X61" s="1" t="s">
        <v>87</v>
      </c>
      <c r="Y61" s="1">
        <v>2</v>
      </c>
      <c r="Z61" s="1">
        <v>1</v>
      </c>
      <c r="AA61" s="1">
        <v>0</v>
      </c>
      <c r="AB61" s="1">
        <v>0</v>
      </c>
      <c r="AC61" s="1">
        <v>200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 t="s">
        <v>202</v>
      </c>
      <c r="AK61" s="1">
        <v>50</v>
      </c>
      <c r="AL61" s="1">
        <v>50</v>
      </c>
    </row>
    <row r="62" s="1" customFormat="1" spans="3:38">
      <c r="C62" s="1">
        <v>11005</v>
      </c>
      <c r="D62" s="1">
        <v>1005</v>
      </c>
      <c r="E62" s="1">
        <v>0</v>
      </c>
      <c r="F62" s="1" t="s">
        <v>89</v>
      </c>
      <c r="G62" s="2" t="s">
        <v>90</v>
      </c>
      <c r="H62" s="1">
        <v>5</v>
      </c>
      <c r="I62" s="1">
        <v>0</v>
      </c>
      <c r="J62" s="1">
        <v>0</v>
      </c>
      <c r="K62" s="1">
        <v>50</v>
      </c>
      <c r="M62" s="1">
        <v>0</v>
      </c>
      <c r="N62" s="1">
        <v>30</v>
      </c>
      <c r="O62" s="1">
        <v>1</v>
      </c>
      <c r="P62" s="1">
        <v>1</v>
      </c>
      <c r="Q62" s="1">
        <v>9999</v>
      </c>
      <c r="R62" s="1">
        <v>0</v>
      </c>
      <c r="S62" s="1">
        <v>1</v>
      </c>
      <c r="T62" s="1">
        <v>0</v>
      </c>
      <c r="V62" s="1">
        <v>0</v>
      </c>
      <c r="W62" s="1" t="s">
        <v>73</v>
      </c>
      <c r="X62" s="1" t="s">
        <v>92</v>
      </c>
      <c r="Y62" s="1">
        <v>30</v>
      </c>
      <c r="Z62" s="1">
        <v>0</v>
      </c>
      <c r="AA62" s="1">
        <v>0</v>
      </c>
      <c r="AB62" s="1">
        <v>0</v>
      </c>
      <c r="AC62" s="1">
        <v>20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7"/>
      <c r="AK62" s="1">
        <v>50</v>
      </c>
      <c r="AL62" s="1">
        <v>50</v>
      </c>
    </row>
    <row r="63" s="1" customFormat="1" spans="3:38">
      <c r="C63" s="1">
        <v>11006</v>
      </c>
      <c r="D63" s="1">
        <v>1006</v>
      </c>
      <c r="E63" s="1">
        <v>0</v>
      </c>
      <c r="F63" s="1" t="s">
        <v>94</v>
      </c>
      <c r="G63" s="2" t="s">
        <v>94</v>
      </c>
      <c r="H63" s="1">
        <v>6</v>
      </c>
      <c r="I63" s="1">
        <v>0</v>
      </c>
      <c r="J63" s="1">
        <v>0</v>
      </c>
      <c r="K63" s="1">
        <v>10</v>
      </c>
      <c r="M63" s="1">
        <v>0</v>
      </c>
      <c r="N63" s="1">
        <v>0</v>
      </c>
      <c r="O63" s="1">
        <v>1</v>
      </c>
      <c r="P63" s="1">
        <v>1</v>
      </c>
      <c r="Q63" s="1">
        <v>9999</v>
      </c>
      <c r="R63" s="1">
        <v>0</v>
      </c>
      <c r="S63" s="1">
        <v>1</v>
      </c>
      <c r="T63" s="1">
        <v>0</v>
      </c>
      <c r="V63" s="1">
        <v>0</v>
      </c>
      <c r="W63" s="1" t="s">
        <v>73</v>
      </c>
      <c r="X63" s="1" t="s">
        <v>96</v>
      </c>
      <c r="Y63" s="1">
        <v>0</v>
      </c>
      <c r="Z63" s="1">
        <v>0</v>
      </c>
      <c r="AA63" s="1">
        <v>0</v>
      </c>
      <c r="AB63" s="1">
        <v>0</v>
      </c>
      <c r="AC63" s="1">
        <v>50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K63" s="1">
        <v>50</v>
      </c>
      <c r="AL63" s="1">
        <v>50</v>
      </c>
    </row>
    <row r="64" s="1" customFormat="1" spans="3:38">
      <c r="C64" s="1">
        <v>11007</v>
      </c>
      <c r="D64" s="1">
        <v>1007</v>
      </c>
      <c r="E64" s="1">
        <v>0</v>
      </c>
      <c r="F64" s="1" t="s">
        <v>97</v>
      </c>
      <c r="G64" s="2" t="s">
        <v>98</v>
      </c>
      <c r="H64" s="1">
        <v>1</v>
      </c>
      <c r="I64" s="1">
        <v>0</v>
      </c>
      <c r="J64" s="1">
        <v>0</v>
      </c>
      <c r="K64" s="1">
        <v>10</v>
      </c>
      <c r="M64" s="1">
        <v>0</v>
      </c>
      <c r="N64" s="1">
        <v>0</v>
      </c>
      <c r="O64" s="1">
        <v>1</v>
      </c>
      <c r="P64" s="1">
        <v>1</v>
      </c>
      <c r="Q64" s="1">
        <v>9999</v>
      </c>
      <c r="R64" s="1">
        <v>0</v>
      </c>
      <c r="S64" s="1">
        <v>1</v>
      </c>
      <c r="T64" s="1">
        <v>0</v>
      </c>
      <c r="V64" s="1">
        <v>1</v>
      </c>
      <c r="W64" s="1" t="s">
        <v>73</v>
      </c>
      <c r="X64" s="1" t="s">
        <v>74</v>
      </c>
      <c r="Y64" s="1">
        <v>0</v>
      </c>
      <c r="Z64" s="1">
        <v>1</v>
      </c>
      <c r="AA64" s="1">
        <v>0</v>
      </c>
      <c r="AB64" s="1">
        <v>0</v>
      </c>
      <c r="AC64" s="1">
        <v>300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K64" s="1">
        <v>50</v>
      </c>
      <c r="AL64" s="1">
        <v>50</v>
      </c>
    </row>
    <row r="65" s="1" customFormat="1" spans="3:38">
      <c r="C65" s="1">
        <v>12001</v>
      </c>
      <c r="D65" s="1">
        <v>2001</v>
      </c>
      <c r="E65" s="1">
        <v>0</v>
      </c>
      <c r="F65" s="1" t="s">
        <v>115</v>
      </c>
      <c r="G65" s="1" t="s">
        <v>116</v>
      </c>
      <c r="H65" s="1">
        <v>1</v>
      </c>
      <c r="I65" s="1">
        <v>0</v>
      </c>
      <c r="J65" s="1">
        <v>0</v>
      </c>
      <c r="K65" s="1">
        <v>10</v>
      </c>
      <c r="M65" s="1">
        <v>0</v>
      </c>
      <c r="N65" s="1">
        <v>0</v>
      </c>
      <c r="O65" s="1">
        <v>1</v>
      </c>
      <c r="P65" s="1">
        <v>2</v>
      </c>
      <c r="Q65" s="1">
        <v>9999</v>
      </c>
      <c r="R65" s="1">
        <v>0</v>
      </c>
      <c r="S65" s="1">
        <v>1</v>
      </c>
      <c r="T65" s="1">
        <v>0</v>
      </c>
      <c r="V65" s="1">
        <v>2</v>
      </c>
      <c r="W65" s="1" t="s">
        <v>86</v>
      </c>
      <c r="X65" s="1" t="s">
        <v>110</v>
      </c>
      <c r="Y65" s="1">
        <v>0</v>
      </c>
      <c r="Z65" s="1">
        <v>1</v>
      </c>
      <c r="AA65" s="1">
        <v>0</v>
      </c>
      <c r="AB65" s="1">
        <v>0</v>
      </c>
      <c r="AC65" s="1">
        <v>120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K65" s="1">
        <v>50</v>
      </c>
      <c r="AL65" s="1">
        <v>50</v>
      </c>
    </row>
    <row r="66" s="1" customFormat="1" spans="3:38">
      <c r="C66" s="1">
        <v>12002</v>
      </c>
      <c r="D66" s="1">
        <v>2002</v>
      </c>
      <c r="E66" s="1">
        <v>0</v>
      </c>
      <c r="F66" s="1" t="s">
        <v>118</v>
      </c>
      <c r="G66" s="2" t="s">
        <v>119</v>
      </c>
      <c r="H66" s="1">
        <v>1</v>
      </c>
      <c r="I66" s="1">
        <v>0</v>
      </c>
      <c r="J66" s="1">
        <v>0</v>
      </c>
      <c r="K66" s="1">
        <v>10</v>
      </c>
      <c r="M66" s="1">
        <v>0</v>
      </c>
      <c r="N66" s="1">
        <v>0</v>
      </c>
      <c r="O66" s="1">
        <v>1</v>
      </c>
      <c r="P66" s="1">
        <v>2</v>
      </c>
      <c r="Q66" s="1">
        <v>9999</v>
      </c>
      <c r="R66" s="1">
        <v>0</v>
      </c>
      <c r="S66" s="1">
        <v>1</v>
      </c>
      <c r="T66" s="1">
        <v>0</v>
      </c>
      <c r="V66" s="1">
        <v>3</v>
      </c>
      <c r="W66" s="1" t="s">
        <v>86</v>
      </c>
      <c r="X66" s="1" t="s">
        <v>110</v>
      </c>
      <c r="Y66" s="1">
        <v>0</v>
      </c>
      <c r="Z66" s="1">
        <v>1</v>
      </c>
      <c r="AA66" s="1">
        <v>0</v>
      </c>
      <c r="AB66" s="1">
        <v>0</v>
      </c>
      <c r="AC66" s="1">
        <v>150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K66" s="1">
        <v>50</v>
      </c>
      <c r="AL66" s="1">
        <v>50</v>
      </c>
    </row>
    <row r="67" s="1" customFormat="1" spans="3:38">
      <c r="C67" s="1">
        <v>12003</v>
      </c>
      <c r="D67" s="1">
        <v>2003</v>
      </c>
      <c r="E67" s="1">
        <v>0</v>
      </c>
      <c r="F67" s="1" t="s">
        <v>121</v>
      </c>
      <c r="G67" s="2" t="s">
        <v>122</v>
      </c>
      <c r="H67" s="1">
        <v>3</v>
      </c>
      <c r="I67" s="1">
        <v>0</v>
      </c>
      <c r="J67" s="1">
        <v>0</v>
      </c>
      <c r="K67" s="1">
        <v>10</v>
      </c>
      <c r="M67" s="1">
        <v>0</v>
      </c>
      <c r="N67" s="1">
        <v>5</v>
      </c>
      <c r="O67" s="1">
        <v>2</v>
      </c>
      <c r="P67" s="1">
        <v>2</v>
      </c>
      <c r="Q67" s="1">
        <v>9999</v>
      </c>
      <c r="R67" s="1">
        <v>0</v>
      </c>
      <c r="S67" s="1">
        <v>1</v>
      </c>
      <c r="T67" s="1">
        <v>0</v>
      </c>
      <c r="V67" s="1">
        <v>3</v>
      </c>
      <c r="W67" s="1" t="s">
        <v>86</v>
      </c>
      <c r="X67" s="1" t="s">
        <v>92</v>
      </c>
      <c r="Y67" s="1">
        <v>5</v>
      </c>
      <c r="Z67" s="1">
        <v>5</v>
      </c>
      <c r="AA67" s="1">
        <v>2</v>
      </c>
      <c r="AB67" s="1">
        <v>2</v>
      </c>
      <c r="AC67" s="1">
        <v>80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K67" s="1">
        <v>50</v>
      </c>
      <c r="AL67" s="1">
        <v>50</v>
      </c>
    </row>
    <row r="68" s="1" customFormat="1" spans="3:38">
      <c r="C68" s="1">
        <v>12004</v>
      </c>
      <c r="D68" s="1">
        <v>2004</v>
      </c>
      <c r="E68" s="1">
        <v>0</v>
      </c>
      <c r="F68" s="1" t="s">
        <v>124</v>
      </c>
      <c r="G68" s="2" t="s">
        <v>125</v>
      </c>
      <c r="H68" s="1">
        <v>1</v>
      </c>
      <c r="I68" s="1">
        <v>0</v>
      </c>
      <c r="J68" s="1">
        <v>0</v>
      </c>
      <c r="K68" s="1">
        <v>10</v>
      </c>
      <c r="M68" s="1">
        <v>0</v>
      </c>
      <c r="N68" s="1">
        <v>0</v>
      </c>
      <c r="O68" s="1">
        <v>2</v>
      </c>
      <c r="P68" s="1">
        <v>2</v>
      </c>
      <c r="Q68" s="1">
        <v>9999</v>
      </c>
      <c r="R68" s="1">
        <v>0</v>
      </c>
      <c r="S68" s="1">
        <v>1</v>
      </c>
      <c r="T68" s="1">
        <v>0</v>
      </c>
      <c r="V68" s="1">
        <v>4</v>
      </c>
      <c r="W68" s="1" t="s">
        <v>73</v>
      </c>
      <c r="X68" s="1" t="s">
        <v>92</v>
      </c>
      <c r="Y68" s="1">
        <v>0</v>
      </c>
      <c r="Z68" s="1">
        <v>4</v>
      </c>
      <c r="AA68" s="1">
        <v>2</v>
      </c>
      <c r="AB68" s="1">
        <v>2</v>
      </c>
      <c r="AC68" s="1">
        <v>100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K68" s="1">
        <v>50</v>
      </c>
      <c r="AL68" s="1">
        <v>50</v>
      </c>
    </row>
    <row r="69" s="1" customFormat="1" spans="3:38">
      <c r="C69" s="1">
        <v>12005</v>
      </c>
      <c r="D69" s="1">
        <v>2005</v>
      </c>
      <c r="E69" s="1">
        <v>0</v>
      </c>
      <c r="F69" s="1" t="s">
        <v>129</v>
      </c>
      <c r="G69" s="2" t="s">
        <v>129</v>
      </c>
      <c r="H69" s="1">
        <v>5</v>
      </c>
      <c r="I69" s="1">
        <v>0</v>
      </c>
      <c r="J69" s="1">
        <v>0</v>
      </c>
      <c r="K69" s="1">
        <v>50</v>
      </c>
      <c r="M69" s="1">
        <v>0</v>
      </c>
      <c r="N69" s="1">
        <v>30</v>
      </c>
      <c r="O69" s="1">
        <v>1</v>
      </c>
      <c r="P69" s="1">
        <v>2</v>
      </c>
      <c r="Q69" s="1">
        <v>9999</v>
      </c>
      <c r="R69" s="1">
        <v>0</v>
      </c>
      <c r="S69" s="1">
        <v>1</v>
      </c>
      <c r="T69" s="1">
        <v>0</v>
      </c>
      <c r="V69" s="1">
        <v>0</v>
      </c>
      <c r="W69" s="1" t="s">
        <v>73</v>
      </c>
      <c r="X69" s="1" t="s">
        <v>92</v>
      </c>
      <c r="Y69" s="1">
        <v>30</v>
      </c>
      <c r="Z69" s="1">
        <v>0</v>
      </c>
      <c r="AA69" s="1">
        <v>0</v>
      </c>
      <c r="AB69" s="1">
        <v>0</v>
      </c>
      <c r="AC69" s="1">
        <v>20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7"/>
      <c r="AK69" s="1">
        <v>50</v>
      </c>
      <c r="AL69" s="1">
        <v>50</v>
      </c>
    </row>
    <row r="70" s="1" customFormat="1" spans="3:38">
      <c r="C70" s="1">
        <v>12006</v>
      </c>
      <c r="D70" s="1">
        <v>2006</v>
      </c>
      <c r="E70" s="1">
        <v>0</v>
      </c>
      <c r="F70" s="1" t="s">
        <v>130</v>
      </c>
      <c r="G70" s="1" t="s">
        <v>130</v>
      </c>
      <c r="H70" s="1">
        <v>6</v>
      </c>
      <c r="I70" s="1">
        <v>0</v>
      </c>
      <c r="J70" s="1">
        <v>0</v>
      </c>
      <c r="K70" s="1">
        <v>10</v>
      </c>
      <c r="M70" s="1">
        <v>0</v>
      </c>
      <c r="N70" s="1">
        <v>0</v>
      </c>
      <c r="O70" s="1">
        <v>1</v>
      </c>
      <c r="P70" s="1">
        <v>2</v>
      </c>
      <c r="Q70" s="1">
        <v>9999</v>
      </c>
      <c r="R70" s="1">
        <v>0</v>
      </c>
      <c r="S70" s="1">
        <v>1</v>
      </c>
      <c r="T70" s="1">
        <v>0</v>
      </c>
      <c r="V70" s="1">
        <v>0</v>
      </c>
      <c r="W70" s="1" t="s">
        <v>73</v>
      </c>
      <c r="X70" s="1" t="s">
        <v>96</v>
      </c>
      <c r="Y70" s="1">
        <v>0</v>
      </c>
      <c r="Z70" s="1">
        <v>0</v>
      </c>
      <c r="AA70" s="1">
        <v>0</v>
      </c>
      <c r="AB70" s="1">
        <v>0</v>
      </c>
      <c r="AC70" s="1">
        <v>50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K70" s="1">
        <v>50</v>
      </c>
      <c r="AL70" s="1">
        <v>50</v>
      </c>
    </row>
    <row r="71" s="1" customFormat="1" spans="3:38">
      <c r="C71" s="1">
        <v>12007</v>
      </c>
      <c r="D71" s="1">
        <v>2007</v>
      </c>
      <c r="E71" s="1">
        <v>0</v>
      </c>
      <c r="F71" s="1" t="s">
        <v>132</v>
      </c>
      <c r="G71" s="2" t="s">
        <v>133</v>
      </c>
      <c r="H71" s="1">
        <v>1</v>
      </c>
      <c r="I71" s="1">
        <v>0</v>
      </c>
      <c r="J71" s="1">
        <v>0</v>
      </c>
      <c r="K71" s="1">
        <v>10</v>
      </c>
      <c r="M71" s="1">
        <v>0</v>
      </c>
      <c r="N71" s="1">
        <v>0</v>
      </c>
      <c r="O71" s="1">
        <v>2</v>
      </c>
      <c r="P71" s="1">
        <v>2</v>
      </c>
      <c r="Q71" s="1">
        <v>9999</v>
      </c>
      <c r="R71" s="1">
        <v>0</v>
      </c>
      <c r="S71" s="1">
        <v>1</v>
      </c>
      <c r="T71" s="1">
        <v>0</v>
      </c>
      <c r="V71" s="1">
        <v>5</v>
      </c>
      <c r="W71" s="1" t="s">
        <v>86</v>
      </c>
      <c r="X71" s="1" t="s">
        <v>92</v>
      </c>
      <c r="Y71" s="1">
        <v>0</v>
      </c>
      <c r="Z71" s="1">
        <v>5</v>
      </c>
      <c r="AA71" s="1">
        <v>3</v>
      </c>
      <c r="AB71" s="1">
        <v>3</v>
      </c>
      <c r="AC71" s="1">
        <v>150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K71" s="1">
        <v>50</v>
      </c>
      <c r="AL71" s="1">
        <v>50</v>
      </c>
    </row>
    <row r="72" s="1" customFormat="1" spans="3:38">
      <c r="C72" s="1">
        <v>13001</v>
      </c>
      <c r="D72" s="1">
        <v>3001</v>
      </c>
      <c r="E72" s="1">
        <v>0</v>
      </c>
      <c r="F72" s="1" t="s">
        <v>149</v>
      </c>
      <c r="G72" s="2" t="s">
        <v>150</v>
      </c>
      <c r="H72" s="1">
        <v>4</v>
      </c>
      <c r="I72" s="1">
        <v>0</v>
      </c>
      <c r="J72" s="1">
        <v>0</v>
      </c>
      <c r="K72" s="1">
        <v>20</v>
      </c>
      <c r="M72" s="1">
        <v>0</v>
      </c>
      <c r="N72" s="1">
        <v>4</v>
      </c>
      <c r="O72" s="1">
        <v>1</v>
      </c>
      <c r="P72" s="1">
        <v>3</v>
      </c>
      <c r="Q72" s="1">
        <v>9999</v>
      </c>
      <c r="R72" s="1">
        <v>0</v>
      </c>
      <c r="S72" s="1">
        <v>1</v>
      </c>
      <c r="T72" s="1">
        <v>0</v>
      </c>
      <c r="V72" s="1">
        <v>0</v>
      </c>
      <c r="W72" s="1" t="s">
        <v>73</v>
      </c>
      <c r="X72" s="1" t="s">
        <v>92</v>
      </c>
      <c r="Y72" s="1">
        <v>0</v>
      </c>
      <c r="Z72" s="1">
        <v>0</v>
      </c>
      <c r="AA72" s="1">
        <v>0</v>
      </c>
      <c r="AB72" s="1">
        <v>0</v>
      </c>
      <c r="AC72" s="1">
        <v>50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K72" s="1">
        <v>50</v>
      </c>
      <c r="AL72" s="1">
        <v>50</v>
      </c>
    </row>
    <row r="73" s="1" customFormat="1" spans="3:38">
      <c r="C73" s="1">
        <v>13002</v>
      </c>
      <c r="D73" s="1">
        <v>3002</v>
      </c>
      <c r="E73" s="1">
        <v>0</v>
      </c>
      <c r="F73" s="1" t="s">
        <v>152</v>
      </c>
      <c r="G73" s="1" t="s">
        <v>153</v>
      </c>
      <c r="H73" s="1">
        <v>1</v>
      </c>
      <c r="I73" s="1">
        <v>0</v>
      </c>
      <c r="J73" s="1">
        <v>0</v>
      </c>
      <c r="K73" s="1">
        <v>10</v>
      </c>
      <c r="M73" s="1">
        <v>0</v>
      </c>
      <c r="N73" s="1">
        <v>0</v>
      </c>
      <c r="O73" s="1">
        <v>1</v>
      </c>
      <c r="P73" s="1">
        <v>3</v>
      </c>
      <c r="Q73" s="1">
        <v>9999</v>
      </c>
      <c r="R73" s="1">
        <v>0</v>
      </c>
      <c r="S73" s="1">
        <v>1</v>
      </c>
      <c r="T73" s="1">
        <v>0</v>
      </c>
      <c r="V73" s="1">
        <v>3</v>
      </c>
      <c r="W73" s="1" t="s">
        <v>86</v>
      </c>
      <c r="X73" s="1" t="s">
        <v>110</v>
      </c>
      <c r="Y73" s="1">
        <v>0</v>
      </c>
      <c r="Z73" s="1">
        <v>1</v>
      </c>
      <c r="AA73" s="1">
        <v>0</v>
      </c>
      <c r="AB73" s="1">
        <v>0</v>
      </c>
      <c r="AC73" s="1">
        <v>120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K73" s="1">
        <v>50</v>
      </c>
      <c r="AL73" s="1">
        <v>50</v>
      </c>
    </row>
    <row r="74" s="1" customFormat="1" spans="3:38">
      <c r="C74" s="1">
        <v>13003</v>
      </c>
      <c r="D74" s="1">
        <v>3003</v>
      </c>
      <c r="E74" s="1">
        <v>0</v>
      </c>
      <c r="F74" s="1" t="s">
        <v>155</v>
      </c>
      <c r="G74" s="2" t="s">
        <v>156</v>
      </c>
      <c r="H74" s="1">
        <v>1</v>
      </c>
      <c r="I74" s="1">
        <v>0</v>
      </c>
      <c r="J74" s="1">
        <v>0</v>
      </c>
      <c r="K74" s="1">
        <v>10</v>
      </c>
      <c r="M74" s="1">
        <v>0</v>
      </c>
      <c r="N74" s="1">
        <v>5</v>
      </c>
      <c r="O74" s="1">
        <v>1</v>
      </c>
      <c r="P74" s="1">
        <v>3</v>
      </c>
      <c r="Q74" s="1">
        <v>9999</v>
      </c>
      <c r="R74" s="1">
        <v>0</v>
      </c>
      <c r="S74" s="1">
        <v>1</v>
      </c>
      <c r="T74" s="1">
        <v>0</v>
      </c>
      <c r="V74" s="1">
        <v>2</v>
      </c>
      <c r="W74" s="1" t="s">
        <v>86</v>
      </c>
      <c r="X74" s="1" t="s">
        <v>110</v>
      </c>
      <c r="Y74" s="1">
        <v>0</v>
      </c>
      <c r="Z74" s="1">
        <v>5</v>
      </c>
      <c r="AA74" s="1">
        <v>0</v>
      </c>
      <c r="AB74" s="1">
        <v>0</v>
      </c>
      <c r="AC74" s="1">
        <v>35</v>
      </c>
      <c r="AD74" s="1">
        <v>0</v>
      </c>
      <c r="AE74" s="1">
        <v>65</v>
      </c>
      <c r="AF74" s="1">
        <v>0</v>
      </c>
      <c r="AG74" s="1">
        <v>0</v>
      </c>
      <c r="AH74" s="1">
        <v>0</v>
      </c>
      <c r="AI74" s="1">
        <v>0</v>
      </c>
      <c r="AK74" s="1">
        <v>50</v>
      </c>
      <c r="AL74" s="1">
        <v>50</v>
      </c>
    </row>
    <row r="75" s="1" customFormat="1" spans="3:38">
      <c r="C75" s="1">
        <v>13004</v>
      </c>
      <c r="D75" s="1">
        <v>3004</v>
      </c>
      <c r="E75" s="1">
        <v>0</v>
      </c>
      <c r="F75" s="1" t="s">
        <v>159</v>
      </c>
      <c r="G75" s="2" t="s">
        <v>160</v>
      </c>
      <c r="H75" s="1">
        <v>2</v>
      </c>
      <c r="I75" s="1">
        <v>0</v>
      </c>
      <c r="J75" s="1">
        <v>0</v>
      </c>
      <c r="K75" s="1">
        <v>100</v>
      </c>
      <c r="M75" s="1">
        <v>0</v>
      </c>
      <c r="N75" s="1">
        <v>15</v>
      </c>
      <c r="O75" s="1">
        <v>1</v>
      </c>
      <c r="P75" s="1">
        <v>3</v>
      </c>
      <c r="Q75" s="1">
        <v>9999</v>
      </c>
      <c r="R75" s="1">
        <v>0</v>
      </c>
      <c r="S75" s="1">
        <v>1</v>
      </c>
      <c r="T75" s="1">
        <v>0</v>
      </c>
      <c r="V75" s="1">
        <v>0</v>
      </c>
      <c r="W75" s="1" t="s">
        <v>73</v>
      </c>
      <c r="X75" s="1" t="s">
        <v>96</v>
      </c>
      <c r="Y75" s="1">
        <v>0</v>
      </c>
      <c r="Z75" s="1">
        <v>1</v>
      </c>
      <c r="AA75" s="1">
        <v>0</v>
      </c>
      <c r="AB75" s="1">
        <v>0</v>
      </c>
      <c r="AC75" s="1">
        <v>100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K75" s="1">
        <v>50</v>
      </c>
      <c r="AL75" s="1">
        <v>50</v>
      </c>
    </row>
    <row r="76" s="1" customFormat="1" spans="3:38">
      <c r="C76" s="1">
        <v>13005</v>
      </c>
      <c r="D76" s="1">
        <v>3005</v>
      </c>
      <c r="E76" s="1">
        <v>0</v>
      </c>
      <c r="F76" s="1" t="s">
        <v>162</v>
      </c>
      <c r="G76" s="2" t="s">
        <v>162</v>
      </c>
      <c r="H76" s="1">
        <v>5</v>
      </c>
      <c r="I76" s="1">
        <v>0</v>
      </c>
      <c r="J76" s="1">
        <v>0</v>
      </c>
      <c r="K76" s="1">
        <v>50</v>
      </c>
      <c r="M76" s="1">
        <v>0</v>
      </c>
      <c r="N76" s="1">
        <v>30</v>
      </c>
      <c r="O76" s="1">
        <v>1</v>
      </c>
      <c r="P76" s="1">
        <v>3</v>
      </c>
      <c r="Q76" s="1">
        <v>9999</v>
      </c>
      <c r="R76" s="1">
        <v>0</v>
      </c>
      <c r="S76" s="1">
        <v>1</v>
      </c>
      <c r="T76" s="1">
        <v>0</v>
      </c>
      <c r="V76" s="1">
        <v>0</v>
      </c>
      <c r="W76" s="1" t="s">
        <v>73</v>
      </c>
      <c r="X76" s="1" t="s">
        <v>92</v>
      </c>
      <c r="Y76" s="1">
        <v>30</v>
      </c>
      <c r="Z76" s="1">
        <v>0</v>
      </c>
      <c r="AA76" s="1">
        <v>0</v>
      </c>
      <c r="AB76" s="1">
        <v>0</v>
      </c>
      <c r="AC76" s="1">
        <v>20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7"/>
      <c r="AK76" s="1">
        <v>50</v>
      </c>
      <c r="AL76" s="1">
        <v>50</v>
      </c>
    </row>
    <row r="77" s="1" customFormat="1" spans="3:38">
      <c r="C77" s="1">
        <v>13006</v>
      </c>
      <c r="D77" s="1">
        <v>3006</v>
      </c>
      <c r="E77" s="1">
        <v>0</v>
      </c>
      <c r="F77" s="1" t="s">
        <v>163</v>
      </c>
      <c r="G77" s="1" t="s">
        <v>163</v>
      </c>
      <c r="H77" s="1">
        <v>6</v>
      </c>
      <c r="I77" s="1">
        <v>0</v>
      </c>
      <c r="J77" s="1">
        <v>0</v>
      </c>
      <c r="K77" s="1">
        <v>10</v>
      </c>
      <c r="M77" s="1">
        <v>0</v>
      </c>
      <c r="N77" s="1">
        <v>0</v>
      </c>
      <c r="O77" s="1">
        <v>1</v>
      </c>
      <c r="P77" s="1">
        <v>3</v>
      </c>
      <c r="Q77" s="1">
        <v>9999</v>
      </c>
      <c r="R77" s="1">
        <v>0</v>
      </c>
      <c r="S77" s="1">
        <v>1</v>
      </c>
      <c r="T77" s="1">
        <v>0</v>
      </c>
      <c r="V77" s="1">
        <v>3</v>
      </c>
      <c r="W77" s="1" t="s">
        <v>73</v>
      </c>
      <c r="X77" s="1" t="s">
        <v>96</v>
      </c>
      <c r="Y77" s="1">
        <v>0</v>
      </c>
      <c r="Z77" s="1">
        <v>0</v>
      </c>
      <c r="AA77" s="1">
        <v>0</v>
      </c>
      <c r="AB77" s="1">
        <v>0</v>
      </c>
      <c r="AC77" s="1">
        <v>50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K77" s="1">
        <v>50</v>
      </c>
      <c r="AL77" s="1">
        <v>50</v>
      </c>
    </row>
    <row r="78" s="1" customFormat="1" spans="3:38">
      <c r="C78" s="1">
        <v>13007</v>
      </c>
      <c r="D78" s="1">
        <v>3007</v>
      </c>
      <c r="E78" s="1">
        <v>0</v>
      </c>
      <c r="F78" s="1" t="s">
        <v>165</v>
      </c>
      <c r="G78" s="2" t="s">
        <v>166</v>
      </c>
      <c r="H78" s="1">
        <v>2</v>
      </c>
      <c r="I78" s="1">
        <v>0</v>
      </c>
      <c r="J78" s="1">
        <v>0</v>
      </c>
      <c r="K78" s="1">
        <v>100</v>
      </c>
      <c r="M78" s="1">
        <v>0</v>
      </c>
      <c r="N78" s="1">
        <v>15</v>
      </c>
      <c r="O78" s="1">
        <v>1</v>
      </c>
      <c r="P78" s="1">
        <v>3</v>
      </c>
      <c r="Q78" s="1">
        <v>9999</v>
      </c>
      <c r="R78" s="1">
        <v>0</v>
      </c>
      <c r="S78" s="1">
        <v>1</v>
      </c>
      <c r="T78" s="1">
        <v>0</v>
      </c>
      <c r="V78" s="1">
        <v>2</v>
      </c>
      <c r="W78" s="1" t="s">
        <v>86</v>
      </c>
      <c r="X78" s="1" t="s">
        <v>92</v>
      </c>
      <c r="Y78" s="1">
        <v>0</v>
      </c>
      <c r="Z78" s="1">
        <v>2</v>
      </c>
      <c r="AA78" s="1">
        <v>0</v>
      </c>
      <c r="AB78" s="1">
        <v>0</v>
      </c>
      <c r="AC78" s="1">
        <v>120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K78" s="1">
        <v>50</v>
      </c>
      <c r="AL78" s="1">
        <v>50</v>
      </c>
    </row>
    <row r="79" s="1" customFormat="1" spans="6:21">
      <c r="F79" s="2"/>
      <c r="G79" s="2"/>
      <c r="L79" s="2"/>
      <c r="M79" s="2"/>
      <c r="Q79" s="2"/>
      <c r="R79" s="2"/>
      <c r="S79" s="2"/>
      <c r="T79" s="2"/>
      <c r="U79" s="2"/>
    </row>
    <row r="80" s="1" customFormat="1" spans="3:38">
      <c r="C80" s="1">
        <v>21002</v>
      </c>
      <c r="D80" s="1">
        <v>1002</v>
      </c>
      <c r="E80" s="1">
        <v>0</v>
      </c>
      <c r="F80" s="1" t="s">
        <v>75</v>
      </c>
      <c r="G80" s="2" t="s">
        <v>76</v>
      </c>
      <c r="H80" s="1">
        <v>1</v>
      </c>
      <c r="I80" s="1">
        <v>0</v>
      </c>
      <c r="J80" s="1">
        <v>0</v>
      </c>
      <c r="K80" s="1">
        <v>10</v>
      </c>
      <c r="M80" s="1">
        <v>0</v>
      </c>
      <c r="N80" s="1">
        <v>0</v>
      </c>
      <c r="O80" s="1">
        <v>2</v>
      </c>
      <c r="P80" s="1">
        <v>1</v>
      </c>
      <c r="Q80" s="1">
        <v>9999</v>
      </c>
      <c r="R80" s="1">
        <v>0</v>
      </c>
      <c r="S80" s="1">
        <v>1</v>
      </c>
      <c r="T80" s="1">
        <v>0</v>
      </c>
      <c r="V80" s="1">
        <v>2</v>
      </c>
      <c r="W80" s="1" t="s">
        <v>73</v>
      </c>
      <c r="X80" s="1" t="s">
        <v>74</v>
      </c>
      <c r="Y80" s="1">
        <v>0</v>
      </c>
      <c r="Z80" s="1">
        <v>2</v>
      </c>
      <c r="AA80" s="1">
        <v>0</v>
      </c>
      <c r="AB80" s="1">
        <v>0</v>
      </c>
      <c r="AC80" s="1">
        <v>150</v>
      </c>
      <c r="AD80" s="1">
        <v>0</v>
      </c>
      <c r="AE80" s="1">
        <v>20</v>
      </c>
      <c r="AF80" s="1">
        <v>0</v>
      </c>
      <c r="AG80" s="1">
        <v>0</v>
      </c>
      <c r="AH80" s="1">
        <v>0</v>
      </c>
      <c r="AI80" s="1">
        <v>0</v>
      </c>
      <c r="AJ80" s="1" t="s">
        <v>203</v>
      </c>
      <c r="AK80" s="1">
        <v>50</v>
      </c>
      <c r="AL80" s="1">
        <v>50</v>
      </c>
    </row>
  </sheetData>
  <dataValidations count="1">
    <dataValidation type="custom" allowBlank="1" showErrorMessage="1" errorTitle="拒绝重复输入" error="当前输入的内容，与本区域的其他单元格内容重复。" sqref="C3:N5" errorStyle="warning">
      <formula1>COUNTIF($C:$C,C3)&lt;2</formula1>
    </dataValidation>
  </dataValidations>
  <pageMargins left="0.7" right="0.7" top="0.75" bottom="0.75" header="0.3" footer="0.3"/>
  <pageSetup paperSize="9" orientation="portrait" horizontalDpi="360" verticalDpi="36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2025-07-03T15:53:32Z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3CBA8FBEB68E4098BC75476C76D1A3CD</vt:lpwstr>
  </property>
  <property fmtid="{D5CDD505-2E9C-101B-9397-08002B2CF9AE}" pid="4" name="KSOReadingLayout">
    <vt:bool>true</vt:bool>
  </property>
</Properties>
</file>
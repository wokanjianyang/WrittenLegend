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<sst xmlns="http://schemas.openxmlformats.org/spreadsheetml/2006/main" count="695" uniqueCount="235">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</sst>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7"/>
  <sheetViews>
    <sheetView tabSelected="1" workbookViewId="0">
      <pane ySplit="5" topLeftCell="A144" activePane="bottomLeft" state="frozen"/>
      <selection/>
      <selection pane="bottomLeft" activeCell="L192" sqref="L192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34</v>
      </c>
      <c r="H153" s="16" t="s">
        <v>23</v>
      </c>
      <c r="I153" s="16" t="s">
        <v>204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22000000</v>
      </c>
      <c r="H154" s="11">
        <f>H153*T154</f>
        <v>11000000</v>
      </c>
      <c r="I154" s="11">
        <f t="shared" ref="G154:I154" si="110">I153*U154</f>
        <v>960000000000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23000000</v>
      </c>
      <c r="H155" s="11">
        <f>H153*T155</f>
        <v>11500000</v>
      </c>
      <c r="I155" s="11">
        <f t="shared" ref="G155:I155" si="112">I153*U155</f>
        <v>1200000000000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1">
        <f>G153*S156</f>
        <v>24000000</v>
      </c>
      <c r="H156" s="11">
        <f>H153*T156</f>
        <v>12000000</v>
      </c>
      <c r="I156" s="11">
        <f t="shared" ref="G156:I156" si="113">I153*U156</f>
        <v>1440000000000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1">
        <f>G153*S157</f>
        <v>25000000</v>
      </c>
      <c r="H157" s="11">
        <f>H153*T157</f>
        <v>12500000</v>
      </c>
      <c r="I157" s="11">
        <f t="shared" ref="G157:I157" si="114">I153*U157</f>
        <v>2000000000000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207</v>
      </c>
      <c r="G159" s="16" t="s">
        <v>208</v>
      </c>
      <c r="H159" s="16" t="s">
        <v>209</v>
      </c>
      <c r="I159" s="16" t="s">
        <v>210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1">
        <f>G159*S160</f>
        <v>29700000</v>
      </c>
      <c r="H160" s="11">
        <f>H159*T160</f>
        <v>12100000</v>
      </c>
      <c r="I160" s="11">
        <f t="shared" ref="G160:I160" si="115">I159*U160</f>
        <v>1680000000000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1">
        <f>G159*S161</f>
        <v>31050000</v>
      </c>
      <c r="H161" s="11">
        <f>H159*T161</f>
        <v>12650000</v>
      </c>
      <c r="I161" s="11">
        <f t="shared" ref="G161:I161" si="117">I159*U161</f>
        <v>2100000000000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1">
        <f>G159*S162</f>
        <v>32400000</v>
      </c>
      <c r="H162" s="11">
        <f>H159*T162</f>
        <v>13200000</v>
      </c>
      <c r="I162" s="11">
        <f t="shared" ref="G162:I162" si="118">I159*U162</f>
        <v>2520000000000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1">
        <f>G159*S163</f>
        <v>33750000</v>
      </c>
      <c r="H163" s="11">
        <f>H159*T163</f>
        <v>13750000</v>
      </c>
      <c r="I163" s="11">
        <f t="shared" ref="G163:I163" si="119">I159*U163</f>
        <v>3500000000000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213</v>
      </c>
      <c r="G165" s="16" t="s">
        <v>214</v>
      </c>
      <c r="H165" s="16" t="s">
        <v>193</v>
      </c>
      <c r="I165" s="16" t="s">
        <v>215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1">
        <f t="shared" ref="G166:I166" si="120">G165*S166</f>
        <v>39600000</v>
      </c>
      <c r="H166" s="11">
        <f t="shared" si="120"/>
        <v>13200000</v>
      </c>
      <c r="I166" s="11">
        <f t="shared" si="120"/>
        <v>2400000000000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1">
        <f t="shared" ref="G167:I167" si="122">G165*S167</f>
        <v>41400000</v>
      </c>
      <c r="H167" s="11">
        <f t="shared" si="122"/>
        <v>13800000</v>
      </c>
      <c r="I167" s="11">
        <f t="shared" si="122"/>
        <v>3000000000000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1">
        <f t="shared" ref="G168:I168" si="123">G165*S168</f>
        <v>43200000</v>
      </c>
      <c r="H168" s="11">
        <f t="shared" si="123"/>
        <v>14400000</v>
      </c>
      <c r="I168" s="11">
        <f t="shared" si="123"/>
        <v>3600000000000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1">
        <f t="shared" ref="G169:I169" si="124">G165*S169</f>
        <v>45000000</v>
      </c>
      <c r="H169" s="11">
        <f t="shared" si="124"/>
        <v>15000000</v>
      </c>
      <c r="I169" s="11">
        <f t="shared" si="124"/>
        <v>5000000000000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  <row r="171" customHeight="1" spans="3:22">
      <c r="C171" s="5">
        <v>151</v>
      </c>
      <c r="D171" s="5">
        <v>31</v>
      </c>
      <c r="E171" s="12">
        <v>1</v>
      </c>
      <c r="F171" s="12" t="s">
        <v>218</v>
      </c>
      <c r="G171" s="16" t="s">
        <v>219</v>
      </c>
      <c r="H171" s="16" t="s">
        <v>220</v>
      </c>
      <c r="I171" s="16" t="s">
        <v>221</v>
      </c>
      <c r="J171" s="11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5" t="s">
        <v>182</v>
      </c>
      <c r="R171" s="15" t="s">
        <v>183</v>
      </c>
      <c r="S171" s="3">
        <v>1</v>
      </c>
      <c r="T171" s="3">
        <v>1</v>
      </c>
      <c r="U171" s="3">
        <v>1</v>
      </c>
      <c r="V171" s="15" t="s">
        <v>184</v>
      </c>
    </row>
    <row r="172" customHeight="1" spans="3:22">
      <c r="C172" s="5">
        <v>152</v>
      </c>
      <c r="D172" s="5">
        <v>31</v>
      </c>
      <c r="E172" s="5">
        <v>2</v>
      </c>
      <c r="F172" s="5" t="s">
        <v>218</v>
      </c>
      <c r="G172" s="11">
        <f t="shared" ref="G172:I172" si="125">G171*S172</f>
        <v>49500000</v>
      </c>
      <c r="H172" s="11">
        <f t="shared" si="125"/>
        <v>14300000</v>
      </c>
      <c r="I172" s="11">
        <f t="shared" si="125"/>
        <v>3600000000000</v>
      </c>
      <c r="J172" s="11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5" t="s">
        <v>185</v>
      </c>
      <c r="R172" s="15" t="s">
        <v>183</v>
      </c>
      <c r="S172" s="2">
        <v>1.1</v>
      </c>
      <c r="T172" s="2">
        <v>1.1</v>
      </c>
      <c r="U172" s="2">
        <v>1.2</v>
      </c>
      <c r="V172" s="15" t="s">
        <v>186</v>
      </c>
    </row>
    <row r="173" customHeight="1" spans="3:22">
      <c r="C173" s="5">
        <v>153</v>
      </c>
      <c r="D173" s="5">
        <v>31</v>
      </c>
      <c r="E173" s="5">
        <v>3</v>
      </c>
      <c r="F173" s="5" t="s">
        <v>218</v>
      </c>
      <c r="G173" s="11">
        <f t="shared" ref="G173:I173" si="127">G171*S173</f>
        <v>51750000</v>
      </c>
      <c r="H173" s="11">
        <f t="shared" si="127"/>
        <v>14950000</v>
      </c>
      <c r="I173" s="11">
        <f t="shared" si="127"/>
        <v>4500000000000</v>
      </c>
      <c r="J173" s="11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5" t="s">
        <v>182</v>
      </c>
      <c r="R173" s="15" t="s">
        <v>183</v>
      </c>
      <c r="S173" s="2">
        <v>1.15</v>
      </c>
      <c r="T173" s="2">
        <v>1.15</v>
      </c>
      <c r="U173" s="2">
        <v>1.5</v>
      </c>
      <c r="V173" s="15" t="s">
        <v>184</v>
      </c>
    </row>
    <row r="174" customHeight="1" spans="3:22">
      <c r="C174" s="5">
        <v>154</v>
      </c>
      <c r="D174" s="5">
        <v>31</v>
      </c>
      <c r="E174" s="5">
        <v>4</v>
      </c>
      <c r="F174" s="5" t="s">
        <v>222</v>
      </c>
      <c r="G174" s="11">
        <f t="shared" ref="G174:I174" si="128">G171*S174</f>
        <v>54000000</v>
      </c>
      <c r="H174" s="11">
        <f t="shared" si="128"/>
        <v>15600000</v>
      </c>
      <c r="I174" s="11">
        <f t="shared" si="128"/>
        <v>5400000000000</v>
      </c>
      <c r="J174" s="11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5" t="s">
        <v>188</v>
      </c>
      <c r="R174" s="15" t="s">
        <v>189</v>
      </c>
      <c r="S174" s="2">
        <v>1.2</v>
      </c>
      <c r="T174" s="2">
        <v>1.2</v>
      </c>
      <c r="U174" s="2">
        <v>1.8</v>
      </c>
      <c r="V174" s="15" t="s">
        <v>117</v>
      </c>
    </row>
    <row r="175" customHeight="1" spans="3:22">
      <c r="C175" s="5">
        <v>155</v>
      </c>
      <c r="D175" s="5">
        <v>31</v>
      </c>
      <c r="E175" s="5">
        <v>5</v>
      </c>
      <c r="F175" s="5" t="s">
        <v>223</v>
      </c>
      <c r="G175" s="11">
        <f t="shared" ref="G175:I175" si="129">G171*S175</f>
        <v>56250000</v>
      </c>
      <c r="H175" s="11">
        <f t="shared" si="129"/>
        <v>16250000</v>
      </c>
      <c r="I175" s="11">
        <f t="shared" si="129"/>
        <v>7500000000000</v>
      </c>
      <c r="J175" s="11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5" t="s">
        <v>191</v>
      </c>
      <c r="R175" s="15" t="s">
        <v>189</v>
      </c>
      <c r="S175" s="2">
        <v>1.25</v>
      </c>
      <c r="T175" s="2">
        <v>1.25</v>
      </c>
      <c r="U175" s="2">
        <v>2.5</v>
      </c>
      <c r="V175" s="15" t="s">
        <v>191</v>
      </c>
    </row>
    <row r="177" customHeight="1" spans="3:22">
      <c r="C177" s="5">
        <v>156</v>
      </c>
      <c r="D177" s="5">
        <v>32</v>
      </c>
      <c r="E177" s="12">
        <v>1</v>
      </c>
      <c r="F177" s="12" t="s">
        <v>224</v>
      </c>
      <c r="G177" s="16" t="s">
        <v>225</v>
      </c>
      <c r="H177" s="16" t="s">
        <v>226</v>
      </c>
      <c r="I177" s="16" t="s">
        <v>227</v>
      </c>
      <c r="J177" s="11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5" t="s">
        <v>182</v>
      </c>
      <c r="R177" s="15" t="s">
        <v>183</v>
      </c>
      <c r="S177" s="3">
        <v>1</v>
      </c>
      <c r="T177" s="3">
        <v>1</v>
      </c>
      <c r="U177" s="3">
        <v>1</v>
      </c>
      <c r="V177" s="15" t="s">
        <v>184</v>
      </c>
    </row>
    <row r="178" customHeight="1" spans="3:22">
      <c r="C178" s="5">
        <v>157</v>
      </c>
      <c r="D178" s="5">
        <v>32</v>
      </c>
      <c r="E178" s="5">
        <v>2</v>
      </c>
      <c r="F178" s="5" t="s">
        <v>224</v>
      </c>
      <c r="G178" s="11">
        <f t="shared" ref="G178:I178" si="130">G177*S178</f>
        <v>66000000</v>
      </c>
      <c r="H178" s="11">
        <f t="shared" si="130"/>
        <v>15400000</v>
      </c>
      <c r="I178" s="11">
        <f t="shared" si="130"/>
        <v>6000000000000</v>
      </c>
      <c r="J178" s="11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5" t="s">
        <v>185</v>
      </c>
      <c r="R178" s="15" t="s">
        <v>183</v>
      </c>
      <c r="S178" s="2">
        <v>1.1</v>
      </c>
      <c r="T178" s="2">
        <v>1.1</v>
      </c>
      <c r="U178" s="2">
        <v>1.2</v>
      </c>
      <c r="V178" s="15" t="s">
        <v>186</v>
      </c>
    </row>
    <row r="179" customHeight="1" spans="3:22">
      <c r="C179" s="5">
        <v>158</v>
      </c>
      <c r="D179" s="5">
        <v>32</v>
      </c>
      <c r="E179" s="5">
        <v>3</v>
      </c>
      <c r="F179" s="5" t="s">
        <v>224</v>
      </c>
      <c r="G179" s="11">
        <f t="shared" ref="G179:I179" si="132">G177*S179</f>
        <v>69000000</v>
      </c>
      <c r="H179" s="11">
        <f t="shared" si="132"/>
        <v>16100000</v>
      </c>
      <c r="I179" s="11">
        <f t="shared" si="132"/>
        <v>7500000000000</v>
      </c>
      <c r="J179" s="11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5" t="s">
        <v>182</v>
      </c>
      <c r="R179" s="15" t="s">
        <v>183</v>
      </c>
      <c r="S179" s="2">
        <v>1.15</v>
      </c>
      <c r="T179" s="2">
        <v>1.15</v>
      </c>
      <c r="U179" s="2">
        <v>1.5</v>
      </c>
      <c r="V179" s="15" t="s">
        <v>184</v>
      </c>
    </row>
    <row r="180" customHeight="1" spans="3:22">
      <c r="C180" s="5">
        <v>159</v>
      </c>
      <c r="D180" s="5">
        <v>32</v>
      </c>
      <c r="E180" s="5">
        <v>4</v>
      </c>
      <c r="F180" s="5" t="s">
        <v>228</v>
      </c>
      <c r="G180" s="11">
        <f t="shared" ref="G180:I180" si="133">G177*S180</f>
        <v>72000000</v>
      </c>
      <c r="H180" s="11">
        <f t="shared" si="133"/>
        <v>16800000</v>
      </c>
      <c r="I180" s="11">
        <f t="shared" si="133"/>
        <v>9000000000000</v>
      </c>
      <c r="J180" s="11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5" t="s">
        <v>188</v>
      </c>
      <c r="R180" s="15" t="s">
        <v>189</v>
      </c>
      <c r="S180" s="2">
        <v>1.2</v>
      </c>
      <c r="T180" s="2">
        <v>1.2</v>
      </c>
      <c r="U180" s="2">
        <v>1.8</v>
      </c>
      <c r="V180" s="15" t="s">
        <v>117</v>
      </c>
    </row>
    <row r="181" customHeight="1" spans="3:22">
      <c r="C181" s="5">
        <v>160</v>
      </c>
      <c r="D181" s="5">
        <v>32</v>
      </c>
      <c r="E181" s="5">
        <v>5</v>
      </c>
      <c r="F181" s="5" t="s">
        <v>229</v>
      </c>
      <c r="G181" s="11">
        <f t="shared" ref="G181:I181" si="134">G177*S181</f>
        <v>75000000</v>
      </c>
      <c r="H181" s="11">
        <f t="shared" si="134"/>
        <v>17500000</v>
      </c>
      <c r="I181" s="11">
        <f t="shared" si="134"/>
        <v>12500000000000</v>
      </c>
      <c r="J181" s="11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5" t="s">
        <v>191</v>
      </c>
      <c r="R181" s="15" t="s">
        <v>189</v>
      </c>
      <c r="S181" s="2">
        <v>1.25</v>
      </c>
      <c r="T181" s="2">
        <v>1.25</v>
      </c>
      <c r="U181" s="2">
        <v>2.5</v>
      </c>
      <c r="V181" s="15" t="s">
        <v>191</v>
      </c>
    </row>
    <row r="183" customHeight="1" spans="3:22">
      <c r="C183" s="5">
        <v>161</v>
      </c>
      <c r="D183" s="5">
        <v>33</v>
      </c>
      <c r="E183" s="12">
        <v>1</v>
      </c>
      <c r="F183" s="12" t="s">
        <v>230</v>
      </c>
      <c r="G183" s="16" t="s">
        <v>231</v>
      </c>
      <c r="H183" s="16" t="s">
        <v>199</v>
      </c>
      <c r="I183" s="16" t="s">
        <v>232</v>
      </c>
      <c r="J183" s="11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5" t="s">
        <v>182</v>
      </c>
      <c r="R183" s="15" t="s">
        <v>183</v>
      </c>
      <c r="S183" s="3">
        <v>1</v>
      </c>
      <c r="T183" s="3">
        <v>1</v>
      </c>
      <c r="U183" s="3">
        <v>1</v>
      </c>
      <c r="V183" s="15" t="s">
        <v>184</v>
      </c>
    </row>
    <row r="184" customHeight="1" spans="3:22">
      <c r="C184" s="5">
        <v>162</v>
      </c>
      <c r="D184" s="5">
        <v>33</v>
      </c>
      <c r="E184" s="5">
        <v>2</v>
      </c>
      <c r="F184" s="5" t="s">
        <v>230</v>
      </c>
      <c r="G184" s="11">
        <f t="shared" ref="G184:I184" si="135">G183*S184</f>
        <v>88000000</v>
      </c>
      <c r="H184" s="11">
        <f t="shared" si="135"/>
        <v>16500000</v>
      </c>
      <c r="I184" s="11">
        <f t="shared" si="135"/>
        <v>9600000000000</v>
      </c>
      <c r="J184" s="11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5" t="s">
        <v>185</v>
      </c>
      <c r="R184" s="15" t="s">
        <v>183</v>
      </c>
      <c r="S184" s="2">
        <v>1.1</v>
      </c>
      <c r="T184" s="2">
        <v>1.1</v>
      </c>
      <c r="U184" s="2">
        <v>1.2</v>
      </c>
      <c r="V184" s="15" t="s">
        <v>186</v>
      </c>
    </row>
    <row r="185" customHeight="1" spans="3:22">
      <c r="C185" s="5">
        <v>163</v>
      </c>
      <c r="D185" s="5">
        <v>33</v>
      </c>
      <c r="E185" s="5">
        <v>3</v>
      </c>
      <c r="F185" s="5" t="s">
        <v>230</v>
      </c>
      <c r="G185" s="11">
        <f t="shared" ref="G185:I185" si="137">G183*S185</f>
        <v>92000000</v>
      </c>
      <c r="H185" s="11">
        <f t="shared" si="137"/>
        <v>17250000</v>
      </c>
      <c r="I185" s="11">
        <f t="shared" si="137"/>
        <v>12000000000000</v>
      </c>
      <c r="J185" s="11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5" t="s">
        <v>182</v>
      </c>
      <c r="R185" s="15" t="s">
        <v>183</v>
      </c>
      <c r="S185" s="2">
        <v>1.15</v>
      </c>
      <c r="T185" s="2">
        <v>1.15</v>
      </c>
      <c r="U185" s="2">
        <v>1.5</v>
      </c>
      <c r="V185" s="15" t="s">
        <v>184</v>
      </c>
    </row>
    <row r="186" customHeight="1" spans="3:22">
      <c r="C186" s="5">
        <v>164</v>
      </c>
      <c r="D186" s="5">
        <v>33</v>
      </c>
      <c r="E186" s="5">
        <v>4</v>
      </c>
      <c r="F186" s="5" t="s">
        <v>233</v>
      </c>
      <c r="G186" s="11">
        <f t="shared" ref="G186:I186" si="138">G183*S186</f>
        <v>96000000</v>
      </c>
      <c r="H186" s="11">
        <f t="shared" si="138"/>
        <v>18000000</v>
      </c>
      <c r="I186" s="11">
        <f t="shared" si="138"/>
        <v>14400000000000</v>
      </c>
      <c r="J186" s="11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5" t="s">
        <v>188</v>
      </c>
      <c r="R186" s="15" t="s">
        <v>189</v>
      </c>
      <c r="S186" s="2">
        <v>1.2</v>
      </c>
      <c r="T186" s="2">
        <v>1.2</v>
      </c>
      <c r="U186" s="2">
        <v>1.8</v>
      </c>
      <c r="V186" s="15" t="s">
        <v>117</v>
      </c>
    </row>
    <row r="187" customHeight="1" spans="3:22">
      <c r="C187" s="5">
        <v>165</v>
      </c>
      <c r="D187" s="5">
        <v>33</v>
      </c>
      <c r="E187" s="5">
        <v>5</v>
      </c>
      <c r="F187" s="5" t="s">
        <v>234</v>
      </c>
      <c r="G187" s="11">
        <f t="shared" ref="G187:I187" si="139">G183*S187</f>
        <v>100000000</v>
      </c>
      <c r="H187" s="11">
        <f t="shared" si="139"/>
        <v>18750000</v>
      </c>
      <c r="I187" s="11">
        <f t="shared" si="139"/>
        <v>20000000000000</v>
      </c>
      <c r="J187" s="11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5" t="s">
        <v>191</v>
      </c>
      <c r="R187" s="15" t="s">
        <v>189</v>
      </c>
      <c r="S187" s="2">
        <v>1.25</v>
      </c>
      <c r="T187" s="2">
        <v>1.25</v>
      </c>
      <c r="U187" s="2">
        <v>2.5</v>
      </c>
      <c r="V187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2026-04-16T03:38:23Z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
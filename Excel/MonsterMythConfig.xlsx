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<sst xmlns="http://schemas.openxmlformats.org/spreadsheetml/2006/main" count="339" uniqueCount="125">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</sst>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5"/>
  <sheetViews>
    <sheetView tabSelected="1" workbookViewId="0">
      <pane ySplit="5" topLeftCell="A54" activePane="bottomLeft" state="frozen"/>
      <selection/>
      <selection pane="bottomLeft" activeCell="H71" sqref="H71:H81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9" width="19.25" style="6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6" width="24.875" style="4" customWidth="1"/>
    <col min="17" max="17" width="15.875" style="4" customWidth="1"/>
    <col min="18" max="16384" width="9" style="4"/>
  </cols>
  <sheetData>
    <row r="1" s="1" customFormat="1" customHeight="1" spans="1:20">
      <c r="A1" s="4"/>
      <c r="B1" s="4"/>
      <c r="C1" s="5"/>
      <c r="D1" s="5"/>
      <c r="G1" s="7"/>
      <c r="H1" s="7"/>
      <c r="I1" s="7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C2" s="5"/>
      <c r="D2" s="5"/>
      <c r="G2" s="7"/>
      <c r="H2" s="7"/>
      <c r="I2" s="7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9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</row>
    <row r="4" s="1" customFormat="1" customHeight="1" spans="1:17">
      <c r="A4" s="4"/>
      <c r="B4" s="4"/>
      <c r="C4" s="8" t="s">
        <v>16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9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</row>
    <row r="5" s="1" customFormat="1" customHeight="1" spans="1:17">
      <c r="A5" s="4"/>
      <c r="B5" s="4"/>
      <c r="C5" s="8" t="s">
        <v>17</v>
      </c>
      <c r="D5" s="8" t="s">
        <v>17</v>
      </c>
      <c r="E5" s="9" t="s">
        <v>17</v>
      </c>
      <c r="F5" s="9" t="s">
        <v>18</v>
      </c>
      <c r="G5" s="10" t="s">
        <v>18</v>
      </c>
      <c r="H5" s="10" t="s">
        <v>18</v>
      </c>
      <c r="I5" s="10" t="s">
        <v>18</v>
      </c>
      <c r="J5" s="9" t="s">
        <v>17</v>
      </c>
      <c r="K5" s="9" t="s">
        <v>17</v>
      </c>
      <c r="L5" s="9" t="s">
        <v>17</v>
      </c>
      <c r="M5" s="9" t="s">
        <v>17</v>
      </c>
      <c r="N5" s="9" t="s">
        <v>17</v>
      </c>
      <c r="O5" s="9" t="s">
        <v>17</v>
      </c>
      <c r="P5" s="9" t="s">
        <v>19</v>
      </c>
      <c r="Q5" s="9" t="s">
        <v>19</v>
      </c>
    </row>
    <row r="6" customHeight="1" spans="3:20">
      <c r="C6" s="5">
        <v>1</v>
      </c>
      <c r="D6" s="5">
        <v>1</v>
      </c>
      <c r="E6" s="1">
        <v>1</v>
      </c>
      <c r="F6" s="1" t="s">
        <v>20</v>
      </c>
      <c r="G6" s="16" t="s">
        <v>21</v>
      </c>
      <c r="H6" s="16" t="s">
        <v>21</v>
      </c>
      <c r="I6" s="16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7" t="s">
        <v>23</v>
      </c>
      <c r="Q6" s="17" t="s">
        <v>24</v>
      </c>
      <c r="R6" s="4">
        <v>1</v>
      </c>
      <c r="S6" s="4">
        <v>1</v>
      </c>
      <c r="T6" s="4">
        <v>1</v>
      </c>
    </row>
    <row r="7" customHeight="1" spans="3:20">
      <c r="C7" s="5">
        <v>2</v>
      </c>
      <c r="D7" s="5">
        <v>1</v>
      </c>
      <c r="E7" s="1">
        <v>2</v>
      </c>
      <c r="F7" s="1" t="s">
        <v>20</v>
      </c>
      <c r="G7" s="11">
        <f t="shared" ref="G7:I7" si="0">G6*R7</f>
        <v>33000</v>
      </c>
      <c r="H7" s="11">
        <f t="shared" si="0"/>
        <v>33000</v>
      </c>
      <c r="I7" s="11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7" t="s">
        <v>23</v>
      </c>
      <c r="Q7" s="17" t="s">
        <v>24</v>
      </c>
      <c r="R7" s="4">
        <v>1.1</v>
      </c>
      <c r="S7" s="4">
        <v>1.1</v>
      </c>
      <c r="T7" s="4">
        <v>1.1</v>
      </c>
    </row>
    <row r="8" customHeight="1" spans="3:20">
      <c r="C8" s="5">
        <v>3</v>
      </c>
      <c r="D8" s="5">
        <v>1</v>
      </c>
      <c r="E8" s="1">
        <v>3</v>
      </c>
      <c r="F8" s="1" t="s">
        <v>25</v>
      </c>
      <c r="G8" s="11">
        <f t="shared" ref="G8:I8" si="1">G6*R8</f>
        <v>34500</v>
      </c>
      <c r="H8" s="11">
        <f t="shared" si="1"/>
        <v>34500</v>
      </c>
      <c r="I8" s="11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7" t="s">
        <v>26</v>
      </c>
      <c r="Q8" s="17" t="s">
        <v>24</v>
      </c>
      <c r="R8" s="4">
        <v>1.15</v>
      </c>
      <c r="S8" s="4">
        <v>1.15</v>
      </c>
      <c r="T8" s="4">
        <v>1.2</v>
      </c>
    </row>
    <row r="9" customHeight="1" spans="3:20">
      <c r="C9" s="5">
        <v>4</v>
      </c>
      <c r="D9" s="5">
        <v>1</v>
      </c>
      <c r="E9" s="1">
        <v>4</v>
      </c>
      <c r="F9" s="1" t="s">
        <v>25</v>
      </c>
      <c r="G9" s="11">
        <f t="shared" ref="G9:I9" si="2">G6*R9</f>
        <v>36000</v>
      </c>
      <c r="H9" s="11">
        <f t="shared" si="2"/>
        <v>36000</v>
      </c>
      <c r="I9" s="11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7" t="s">
        <v>27</v>
      </c>
      <c r="Q9" s="17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5">
        <v>5</v>
      </c>
      <c r="D10" s="5">
        <v>1</v>
      </c>
      <c r="E10" s="12">
        <v>5</v>
      </c>
      <c r="F10" s="12" t="s">
        <v>28</v>
      </c>
      <c r="G10" s="11">
        <f>G6*R10</f>
        <v>37500</v>
      </c>
      <c r="H10" s="11">
        <f t="shared" ref="G10:I10" si="3">H6*S10</f>
        <v>37500</v>
      </c>
      <c r="I10" s="11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7" t="s">
        <v>29</v>
      </c>
      <c r="Q10" s="17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3">
        <v>6</v>
      </c>
      <c r="D11" s="13">
        <v>2</v>
      </c>
      <c r="E11" s="14">
        <v>1</v>
      </c>
      <c r="F11" s="14" t="s">
        <v>31</v>
      </c>
      <c r="G11" s="18" t="s">
        <v>32</v>
      </c>
      <c r="H11" s="18" t="s">
        <v>32</v>
      </c>
      <c r="I11" s="18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7" t="s">
        <v>23</v>
      </c>
      <c r="Q11" s="17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5">
        <v>7</v>
      </c>
      <c r="D12" s="5">
        <v>2</v>
      </c>
      <c r="E12" s="12">
        <v>2</v>
      </c>
      <c r="F12" s="12" t="s">
        <v>31</v>
      </c>
      <c r="G12" s="11">
        <f t="shared" ref="G12:I12" si="4">G11*R12</f>
        <v>55000</v>
      </c>
      <c r="H12" s="11">
        <f t="shared" si="4"/>
        <v>55000</v>
      </c>
      <c r="I12" s="11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7" t="s">
        <v>23</v>
      </c>
      <c r="Q12" s="17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5">
        <v>8</v>
      </c>
      <c r="D13" s="5">
        <v>2</v>
      </c>
      <c r="E13" s="12">
        <v>3</v>
      </c>
      <c r="F13" s="12" t="s">
        <v>31</v>
      </c>
      <c r="G13" s="11">
        <f t="shared" ref="G13:I13" si="5">G11*R13</f>
        <v>57500</v>
      </c>
      <c r="H13" s="11">
        <f t="shared" si="5"/>
        <v>57500</v>
      </c>
      <c r="I13" s="11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7" t="s">
        <v>26</v>
      </c>
      <c r="Q13" s="17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5">
        <v>9</v>
      </c>
      <c r="D14" s="5">
        <v>2</v>
      </c>
      <c r="E14" s="12">
        <v>4</v>
      </c>
      <c r="F14" s="12" t="s">
        <v>31</v>
      </c>
      <c r="G14" s="11">
        <f t="shared" ref="G14:I14" si="6">G11*R14</f>
        <v>60000</v>
      </c>
      <c r="H14" s="11">
        <f t="shared" si="6"/>
        <v>60000</v>
      </c>
      <c r="I14" s="11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7" t="s">
        <v>27</v>
      </c>
      <c r="Q14" s="17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5">
        <v>10</v>
      </c>
      <c r="D15" s="5">
        <v>2</v>
      </c>
      <c r="E15" s="12">
        <v>5</v>
      </c>
      <c r="F15" s="12" t="s">
        <v>34</v>
      </c>
      <c r="G15" s="11">
        <f>G11*R15</f>
        <v>62500</v>
      </c>
      <c r="H15" s="11">
        <f t="shared" ref="G15:I15" si="7">H11*S15</f>
        <v>62500</v>
      </c>
      <c r="I15" s="11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7" t="s">
        <v>29</v>
      </c>
      <c r="Q15" s="17" t="s">
        <v>35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3">
        <v>11</v>
      </c>
      <c r="D16" s="13">
        <v>3</v>
      </c>
      <c r="E16" s="14">
        <v>1</v>
      </c>
      <c r="F16" s="14" t="s">
        <v>36</v>
      </c>
      <c r="G16" s="18" t="s">
        <v>37</v>
      </c>
      <c r="H16" s="18" t="s">
        <v>37</v>
      </c>
      <c r="I16" s="18" t="s">
        <v>38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7" t="s">
        <v>23</v>
      </c>
      <c r="Q16" s="17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5">
        <v>12</v>
      </c>
      <c r="D17" s="5">
        <v>3</v>
      </c>
      <c r="E17" s="12">
        <v>2</v>
      </c>
      <c r="F17" s="12" t="s">
        <v>36</v>
      </c>
      <c r="G17" s="11">
        <f t="shared" ref="G17:I17" si="8">G16*R17</f>
        <v>77000</v>
      </c>
      <c r="H17" s="11">
        <f t="shared" si="8"/>
        <v>77000</v>
      </c>
      <c r="I17" s="11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7" t="s">
        <v>23</v>
      </c>
      <c r="Q17" s="17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5">
        <v>13</v>
      </c>
      <c r="D18" s="5">
        <v>3</v>
      </c>
      <c r="E18" s="12">
        <v>3</v>
      </c>
      <c r="F18" s="12" t="s">
        <v>36</v>
      </c>
      <c r="G18" s="11">
        <f t="shared" ref="G18:I18" si="9">G16*R18</f>
        <v>80500</v>
      </c>
      <c r="H18" s="11">
        <f t="shared" si="9"/>
        <v>80500</v>
      </c>
      <c r="I18" s="11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7" t="s">
        <v>26</v>
      </c>
      <c r="Q18" s="17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5">
        <v>14</v>
      </c>
      <c r="D19" s="5">
        <v>3</v>
      </c>
      <c r="E19" s="12">
        <v>4</v>
      </c>
      <c r="F19" s="12" t="s">
        <v>36</v>
      </c>
      <c r="G19" s="11">
        <f t="shared" ref="G19:I19" si="10">G16*R19</f>
        <v>84000</v>
      </c>
      <c r="H19" s="11">
        <f t="shared" si="10"/>
        <v>84000</v>
      </c>
      <c r="I19" s="11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7" t="s">
        <v>27</v>
      </c>
      <c r="Q19" s="17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5">
        <v>15</v>
      </c>
      <c r="D20" s="5">
        <v>3</v>
      </c>
      <c r="E20" s="12">
        <v>5</v>
      </c>
      <c r="F20" s="12" t="s">
        <v>39</v>
      </c>
      <c r="G20" s="11">
        <f>G16*R20</f>
        <v>87500</v>
      </c>
      <c r="H20" s="11">
        <f t="shared" ref="G20:I20" si="11">H16*S20</f>
        <v>87500</v>
      </c>
      <c r="I20" s="11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7" t="s">
        <v>29</v>
      </c>
      <c r="Q20" s="17" t="s">
        <v>35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3">
        <v>16</v>
      </c>
      <c r="D21" s="13">
        <v>4</v>
      </c>
      <c r="E21" s="14">
        <v>1</v>
      </c>
      <c r="F21" s="14" t="s">
        <v>40</v>
      </c>
      <c r="G21" s="18" t="s">
        <v>41</v>
      </c>
      <c r="H21" s="18" t="s">
        <v>41</v>
      </c>
      <c r="I21" s="18" t="s">
        <v>42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7" t="s">
        <v>23</v>
      </c>
      <c r="Q21" s="17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5">
        <v>17</v>
      </c>
      <c r="D22" s="5">
        <v>4</v>
      </c>
      <c r="E22" s="12">
        <v>2</v>
      </c>
      <c r="F22" s="12" t="s">
        <v>40</v>
      </c>
      <c r="G22" s="11">
        <f t="shared" ref="G22:I22" si="12">G21*R22</f>
        <v>99000</v>
      </c>
      <c r="H22" s="11">
        <f t="shared" si="12"/>
        <v>99000</v>
      </c>
      <c r="I22" s="11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7" t="s">
        <v>43</v>
      </c>
      <c r="Q22" s="17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5">
        <v>18</v>
      </c>
      <c r="D23" s="5">
        <v>4</v>
      </c>
      <c r="E23" s="12">
        <v>3</v>
      </c>
      <c r="F23" s="12" t="s">
        <v>40</v>
      </c>
      <c r="G23" s="11">
        <f t="shared" ref="G23:I23" si="13">G21*R23</f>
        <v>103500</v>
      </c>
      <c r="H23" s="11">
        <f t="shared" si="13"/>
        <v>103500</v>
      </c>
      <c r="I23" s="11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7" t="s">
        <v>26</v>
      </c>
      <c r="Q23" s="17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5">
        <v>19</v>
      </c>
      <c r="D24" s="5">
        <v>4</v>
      </c>
      <c r="E24" s="12">
        <v>4</v>
      </c>
      <c r="F24" s="12" t="s">
        <v>40</v>
      </c>
      <c r="G24" s="11">
        <f t="shared" ref="G24:I24" si="14">G21*R24</f>
        <v>108000</v>
      </c>
      <c r="H24" s="11">
        <f t="shared" si="14"/>
        <v>108000</v>
      </c>
      <c r="I24" s="11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7" t="s">
        <v>27</v>
      </c>
      <c r="Q24" s="17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5">
        <v>20</v>
      </c>
      <c r="D25" s="5">
        <v>4</v>
      </c>
      <c r="E25" s="12">
        <v>5</v>
      </c>
      <c r="F25" s="12" t="s">
        <v>44</v>
      </c>
      <c r="G25" s="11">
        <f t="shared" ref="G25:I25" si="15">G21*R25</f>
        <v>112500</v>
      </c>
      <c r="H25" s="11">
        <f t="shared" si="15"/>
        <v>112500</v>
      </c>
      <c r="I25" s="11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7" t="s">
        <v>29</v>
      </c>
      <c r="Q25" s="17" t="s">
        <v>35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3">
        <v>21</v>
      </c>
      <c r="D26" s="13">
        <v>5</v>
      </c>
      <c r="E26" s="14">
        <v>1</v>
      </c>
      <c r="F26" s="14" t="s">
        <v>45</v>
      </c>
      <c r="G26" s="18" t="s">
        <v>46</v>
      </c>
      <c r="H26" s="18" t="s">
        <v>46</v>
      </c>
      <c r="I26" s="18" t="s">
        <v>47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7" t="s">
        <v>27</v>
      </c>
      <c r="Q26" s="17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5">
        <v>22</v>
      </c>
      <c r="D27" s="5">
        <v>5</v>
      </c>
      <c r="E27" s="12">
        <v>2</v>
      </c>
      <c r="F27" s="12" t="s">
        <v>45</v>
      </c>
      <c r="G27" s="11">
        <f t="shared" ref="G27:I27" si="16">G26*R27</f>
        <v>132000</v>
      </c>
      <c r="H27" s="11">
        <f t="shared" si="16"/>
        <v>132000</v>
      </c>
      <c r="I27" s="11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7" t="s">
        <v>48</v>
      </c>
      <c r="Q27" s="17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5">
        <v>23</v>
      </c>
      <c r="D28" s="5">
        <v>5</v>
      </c>
      <c r="E28" s="12">
        <v>3</v>
      </c>
      <c r="F28" s="12" t="s">
        <v>45</v>
      </c>
      <c r="G28" s="11">
        <f t="shared" ref="G28:I28" si="17">G26*R28</f>
        <v>138000</v>
      </c>
      <c r="H28" s="11">
        <f t="shared" si="17"/>
        <v>138000</v>
      </c>
      <c r="I28" s="11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7" t="s">
        <v>49</v>
      </c>
      <c r="Q28" s="17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5">
        <v>24</v>
      </c>
      <c r="D29" s="5">
        <v>5</v>
      </c>
      <c r="E29" s="12">
        <v>4</v>
      </c>
      <c r="F29" s="12" t="s">
        <v>45</v>
      </c>
      <c r="G29" s="11">
        <f t="shared" ref="G29:I29" si="18">G26*R29</f>
        <v>144000</v>
      </c>
      <c r="H29" s="11">
        <f t="shared" si="18"/>
        <v>144000</v>
      </c>
      <c r="I29" s="11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7" t="s">
        <v>50</v>
      </c>
      <c r="Q29" s="17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5">
        <v>25</v>
      </c>
      <c r="D30" s="5">
        <v>5</v>
      </c>
      <c r="E30" s="12">
        <v>5</v>
      </c>
      <c r="F30" s="12" t="s">
        <v>51</v>
      </c>
      <c r="G30" s="11">
        <f t="shared" ref="G30:I30" si="19">G26*R30</f>
        <v>150000</v>
      </c>
      <c r="H30" s="11">
        <f t="shared" si="19"/>
        <v>150000</v>
      </c>
      <c r="I30" s="11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7" t="s">
        <v>29</v>
      </c>
      <c r="Q30" s="17" t="s">
        <v>35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3">
        <v>26</v>
      </c>
      <c r="D31" s="13">
        <v>6</v>
      </c>
      <c r="E31" s="14">
        <v>1</v>
      </c>
      <c r="F31" s="14" t="s">
        <v>52</v>
      </c>
      <c r="G31" s="18" t="s">
        <v>53</v>
      </c>
      <c r="H31" s="18" t="s">
        <v>53</v>
      </c>
      <c r="I31" s="18" t="s">
        <v>54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7" t="s">
        <v>55</v>
      </c>
      <c r="Q31" s="17" t="s">
        <v>56</v>
      </c>
      <c r="R31" s="3">
        <v>1</v>
      </c>
      <c r="S31" s="3">
        <v>1</v>
      </c>
      <c r="T31" s="3">
        <v>1</v>
      </c>
    </row>
    <row r="32" s="2" customFormat="1" customHeight="1" spans="3:20">
      <c r="C32" s="5">
        <v>27</v>
      </c>
      <c r="D32" s="5">
        <v>6</v>
      </c>
      <c r="E32" s="12">
        <v>2</v>
      </c>
      <c r="F32" s="12" t="s">
        <v>52</v>
      </c>
      <c r="G32" s="11">
        <f t="shared" ref="G32:I32" si="20">G31*R32</f>
        <v>165000</v>
      </c>
      <c r="H32" s="11">
        <f t="shared" si="20"/>
        <v>165000</v>
      </c>
      <c r="I32" s="11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7" t="s">
        <v>57</v>
      </c>
      <c r="Q32" s="17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5">
        <v>28</v>
      </c>
      <c r="D33" s="5">
        <v>6</v>
      </c>
      <c r="E33" s="12">
        <v>3</v>
      </c>
      <c r="F33" s="12" t="s">
        <v>52</v>
      </c>
      <c r="G33" s="11">
        <f t="shared" ref="G33:I33" si="21">G31*R33</f>
        <v>172500</v>
      </c>
      <c r="H33" s="11">
        <f t="shared" si="21"/>
        <v>172500</v>
      </c>
      <c r="I33" s="11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7" t="s">
        <v>58</v>
      </c>
      <c r="Q33" s="17" t="s">
        <v>59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5">
        <v>29</v>
      </c>
      <c r="D34" s="5">
        <v>6</v>
      </c>
      <c r="E34" s="12">
        <v>4</v>
      </c>
      <c r="F34" s="12" t="s">
        <v>52</v>
      </c>
      <c r="G34" s="11">
        <f t="shared" ref="G34:I34" si="22">G31*R34</f>
        <v>180000</v>
      </c>
      <c r="H34" s="11">
        <f t="shared" si="22"/>
        <v>180000</v>
      </c>
      <c r="I34" s="11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7" t="s">
        <v>29</v>
      </c>
      <c r="Q34" s="17" t="s">
        <v>35</v>
      </c>
      <c r="R34" s="2">
        <v>1.2</v>
      </c>
      <c r="S34" s="2">
        <v>1.2</v>
      </c>
      <c r="T34" s="2">
        <v>1.3</v>
      </c>
    </row>
    <row r="35" s="2" customFormat="1" customHeight="1" spans="3:20">
      <c r="C35" s="5">
        <v>30</v>
      </c>
      <c r="D35" s="5">
        <v>6</v>
      </c>
      <c r="E35" s="12">
        <v>5</v>
      </c>
      <c r="F35" s="12" t="s">
        <v>60</v>
      </c>
      <c r="G35" s="11">
        <f t="shared" ref="G35:I35" si="23">G31*R35</f>
        <v>187500</v>
      </c>
      <c r="H35" s="11">
        <f t="shared" si="23"/>
        <v>187500</v>
      </c>
      <c r="I35" s="11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7" t="s">
        <v>61</v>
      </c>
      <c r="Q35" s="17" t="s">
        <v>59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5">
        <v>31</v>
      </c>
      <c r="D36" s="13">
        <v>7</v>
      </c>
      <c r="E36" s="14">
        <v>1</v>
      </c>
      <c r="F36" s="14" t="s">
        <v>62</v>
      </c>
      <c r="G36" s="18" t="s">
        <v>63</v>
      </c>
      <c r="H36" s="18" t="s">
        <v>63</v>
      </c>
      <c r="I36" s="18" t="s">
        <v>64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7" t="s">
        <v>27</v>
      </c>
      <c r="Q36" s="17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5">
        <v>32</v>
      </c>
      <c r="D37" s="5">
        <v>7</v>
      </c>
      <c r="E37" s="12">
        <v>2</v>
      </c>
      <c r="F37" s="12" t="s">
        <v>62</v>
      </c>
      <c r="G37" s="11">
        <f t="shared" ref="G37:I37" si="24">G36*R37</f>
        <v>198000</v>
      </c>
      <c r="H37" s="11">
        <f t="shared" si="24"/>
        <v>198000</v>
      </c>
      <c r="I37" s="11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7" t="s">
        <v>43</v>
      </c>
      <c r="Q37" s="17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5">
        <v>33</v>
      </c>
      <c r="D38" s="5">
        <v>7</v>
      </c>
      <c r="E38" s="12">
        <v>3</v>
      </c>
      <c r="F38" s="12" t="s">
        <v>62</v>
      </c>
      <c r="G38" s="11">
        <f t="shared" ref="G38:I38" si="25">G36*R38</f>
        <v>207000</v>
      </c>
      <c r="H38" s="11">
        <f t="shared" si="25"/>
        <v>207000</v>
      </c>
      <c r="I38" s="11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7" t="s">
        <v>29</v>
      </c>
      <c r="Q38" s="17" t="s">
        <v>35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5">
        <v>34</v>
      </c>
      <c r="D39" s="5">
        <v>7</v>
      </c>
      <c r="E39" s="12">
        <v>4</v>
      </c>
      <c r="F39" s="12" t="s">
        <v>62</v>
      </c>
      <c r="G39" s="11">
        <f t="shared" ref="G39:I39" si="26">G36*R39</f>
        <v>216000</v>
      </c>
      <c r="H39" s="11">
        <f t="shared" si="26"/>
        <v>216000</v>
      </c>
      <c r="I39" s="11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7" t="s">
        <v>65</v>
      </c>
      <c r="Q39" s="17" t="s">
        <v>59</v>
      </c>
      <c r="R39" s="2">
        <v>1.2</v>
      </c>
      <c r="S39" s="2">
        <v>1.2</v>
      </c>
      <c r="T39" s="2">
        <v>1.3</v>
      </c>
    </row>
    <row r="40" s="2" customFormat="1" customHeight="1" spans="3:20">
      <c r="C40" s="5">
        <v>35</v>
      </c>
      <c r="D40" s="5">
        <v>7</v>
      </c>
      <c r="E40" s="12">
        <v>5</v>
      </c>
      <c r="F40" s="12" t="s">
        <v>62</v>
      </c>
      <c r="G40" s="11">
        <f t="shared" ref="G40:I40" si="27">G36*R40</f>
        <v>225000</v>
      </c>
      <c r="H40" s="11">
        <f t="shared" si="27"/>
        <v>225000</v>
      </c>
      <c r="I40" s="11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7" t="s">
        <v>66</v>
      </c>
      <c r="Q40" s="17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5">
        <v>36</v>
      </c>
      <c r="D41" s="13">
        <v>8</v>
      </c>
      <c r="E41" s="14">
        <v>1</v>
      </c>
      <c r="F41" s="14" t="s">
        <v>68</v>
      </c>
      <c r="G41" s="18" t="s">
        <v>69</v>
      </c>
      <c r="H41" s="18" t="s">
        <v>69</v>
      </c>
      <c r="I41" s="18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7" t="s">
        <v>27</v>
      </c>
      <c r="Q41" s="17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5">
        <v>37</v>
      </c>
      <c r="D42" s="5">
        <v>8</v>
      </c>
      <c r="E42" s="12">
        <v>2</v>
      </c>
      <c r="F42" s="12" t="s">
        <v>68</v>
      </c>
      <c r="G42" s="11">
        <f t="shared" ref="G42:I42" si="28">G41*R42</f>
        <v>231000</v>
      </c>
      <c r="H42" s="11">
        <f t="shared" si="28"/>
        <v>231000</v>
      </c>
      <c r="I42" s="11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7" t="s">
        <v>43</v>
      </c>
      <c r="Q42" s="17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5">
        <v>38</v>
      </c>
      <c r="D43" s="5">
        <v>8</v>
      </c>
      <c r="E43" s="12">
        <v>3</v>
      </c>
      <c r="F43" s="12" t="s">
        <v>68</v>
      </c>
      <c r="G43" s="11">
        <f t="shared" ref="G43:I43" si="29">G41*R43</f>
        <v>241500</v>
      </c>
      <c r="H43" s="11">
        <f t="shared" si="29"/>
        <v>241500</v>
      </c>
      <c r="I43" s="11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7" t="s">
        <v>29</v>
      </c>
      <c r="Q43" s="17" t="s">
        <v>35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5">
        <v>39</v>
      </c>
      <c r="D44" s="5">
        <v>8</v>
      </c>
      <c r="E44" s="12">
        <v>4</v>
      </c>
      <c r="F44" s="12" t="s">
        <v>68</v>
      </c>
      <c r="G44" s="11">
        <f t="shared" ref="G44:I44" si="30">G41*R44</f>
        <v>252000</v>
      </c>
      <c r="H44" s="11">
        <f t="shared" si="30"/>
        <v>252000</v>
      </c>
      <c r="I44" s="11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7" t="s">
        <v>65</v>
      </c>
      <c r="Q44" s="17" t="s">
        <v>59</v>
      </c>
      <c r="R44" s="2">
        <v>1.2</v>
      </c>
      <c r="S44" s="2">
        <v>1.2</v>
      </c>
      <c r="T44" s="2">
        <v>1.3</v>
      </c>
    </row>
    <row r="45" s="2" customFormat="1" customHeight="1" spans="3:20">
      <c r="C45" s="5">
        <v>40</v>
      </c>
      <c r="D45" s="5">
        <v>8</v>
      </c>
      <c r="E45" s="12">
        <v>5</v>
      </c>
      <c r="F45" s="12" t="s">
        <v>71</v>
      </c>
      <c r="G45" s="11">
        <f t="shared" ref="G45:I45" si="31">G41*R45</f>
        <v>262500</v>
      </c>
      <c r="H45" s="11">
        <f t="shared" si="31"/>
        <v>262500</v>
      </c>
      <c r="I45" s="11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7" t="s">
        <v>72</v>
      </c>
      <c r="Q45" s="17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5">
        <v>41</v>
      </c>
      <c r="D46" s="13">
        <v>9</v>
      </c>
      <c r="E46" s="14">
        <v>1</v>
      </c>
      <c r="F46" s="14" t="s">
        <v>73</v>
      </c>
      <c r="G46" s="18" t="s">
        <v>74</v>
      </c>
      <c r="H46" s="18" t="s">
        <v>74</v>
      </c>
      <c r="I46" s="18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7" t="s">
        <v>27</v>
      </c>
      <c r="Q46" s="17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5">
        <v>42</v>
      </c>
      <c r="D47" s="5">
        <v>9</v>
      </c>
      <c r="E47" s="12">
        <v>2</v>
      </c>
      <c r="F47" s="12" t="s">
        <v>73</v>
      </c>
      <c r="G47" s="11">
        <f t="shared" ref="G47:I47" si="32">G46*R47</f>
        <v>275000</v>
      </c>
      <c r="H47" s="11">
        <f t="shared" si="32"/>
        <v>275000</v>
      </c>
      <c r="I47" s="11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7" t="s">
        <v>43</v>
      </c>
      <c r="Q47" s="17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5">
        <v>43</v>
      </c>
      <c r="D48" s="5">
        <v>9</v>
      </c>
      <c r="E48" s="12">
        <v>3</v>
      </c>
      <c r="F48" s="12" t="s">
        <v>73</v>
      </c>
      <c r="G48" s="11">
        <f t="shared" ref="G48:I48" si="33">G46*R48</f>
        <v>287500</v>
      </c>
      <c r="H48" s="11">
        <f t="shared" si="33"/>
        <v>287500</v>
      </c>
      <c r="I48" s="11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7" t="s">
        <v>29</v>
      </c>
      <c r="Q48" s="17" t="s">
        <v>35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5">
        <v>44</v>
      </c>
      <c r="D49" s="5">
        <v>9</v>
      </c>
      <c r="E49" s="12">
        <v>4</v>
      </c>
      <c r="F49" s="12" t="s">
        <v>73</v>
      </c>
      <c r="G49" s="11">
        <f t="shared" ref="G49:I49" si="34">G46*R49</f>
        <v>300000</v>
      </c>
      <c r="H49" s="11">
        <f t="shared" si="34"/>
        <v>300000</v>
      </c>
      <c r="I49" s="11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7" t="s">
        <v>65</v>
      </c>
      <c r="Q49" s="17" t="s">
        <v>59</v>
      </c>
      <c r="R49" s="2">
        <v>1.2</v>
      </c>
      <c r="S49" s="2">
        <v>1.2</v>
      </c>
      <c r="T49" s="2">
        <v>1.3</v>
      </c>
    </row>
    <row r="50" s="2" customFormat="1" customHeight="1" spans="3:20">
      <c r="C50" s="5">
        <v>45</v>
      </c>
      <c r="D50" s="5">
        <v>9</v>
      </c>
      <c r="E50" s="12">
        <v>5</v>
      </c>
      <c r="F50" s="12" t="s">
        <v>76</v>
      </c>
      <c r="G50" s="11">
        <f t="shared" ref="G50:I50" si="35">G46*R50</f>
        <v>312500</v>
      </c>
      <c r="H50" s="11">
        <f t="shared" si="35"/>
        <v>312500</v>
      </c>
      <c r="I50" s="11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7" t="s">
        <v>66</v>
      </c>
      <c r="Q50" s="17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5">
        <v>46</v>
      </c>
      <c r="D51" s="13">
        <v>10</v>
      </c>
      <c r="E51" s="14">
        <v>1</v>
      </c>
      <c r="F51" s="14" t="s">
        <v>77</v>
      </c>
      <c r="G51" s="18" t="s">
        <v>78</v>
      </c>
      <c r="H51" s="18" t="s">
        <v>78</v>
      </c>
      <c r="I51" s="18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7" t="s">
        <v>27</v>
      </c>
      <c r="Q51" s="17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5">
        <v>47</v>
      </c>
      <c r="D52" s="5">
        <v>10</v>
      </c>
      <c r="E52" s="12">
        <v>2</v>
      </c>
      <c r="F52" s="12" t="s">
        <v>77</v>
      </c>
      <c r="G52" s="11">
        <f t="shared" ref="G52:I52" si="36">G51*R52</f>
        <v>330000</v>
      </c>
      <c r="H52" s="11">
        <f t="shared" si="36"/>
        <v>330000</v>
      </c>
      <c r="I52" s="11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7" t="s">
        <v>43</v>
      </c>
      <c r="Q52" s="17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5">
        <v>48</v>
      </c>
      <c r="D53" s="5">
        <v>10</v>
      </c>
      <c r="E53" s="12">
        <v>3</v>
      </c>
      <c r="F53" s="12" t="s">
        <v>77</v>
      </c>
      <c r="G53" s="11">
        <f t="shared" ref="G53:I53" si="37">G51*R53</f>
        <v>345000</v>
      </c>
      <c r="H53" s="11">
        <f t="shared" si="37"/>
        <v>345000</v>
      </c>
      <c r="I53" s="11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7" t="s">
        <v>29</v>
      </c>
      <c r="Q53" s="17" t="s">
        <v>35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5">
        <v>49</v>
      </c>
      <c r="D54" s="5">
        <v>10</v>
      </c>
      <c r="E54" s="12">
        <v>4</v>
      </c>
      <c r="F54" s="12" t="s">
        <v>77</v>
      </c>
      <c r="G54" s="11">
        <f t="shared" ref="G54:I54" si="38">G51*R54</f>
        <v>360000</v>
      </c>
      <c r="H54" s="11">
        <f t="shared" si="38"/>
        <v>360000</v>
      </c>
      <c r="I54" s="11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7" t="s">
        <v>65</v>
      </c>
      <c r="Q54" s="17" t="s">
        <v>59</v>
      </c>
      <c r="R54" s="2">
        <v>1.2</v>
      </c>
      <c r="S54" s="2">
        <v>1.2</v>
      </c>
      <c r="T54" s="2">
        <v>1.3</v>
      </c>
    </row>
    <row r="55" s="2" customFormat="1" customHeight="1" spans="3:20">
      <c r="C55" s="5">
        <v>50</v>
      </c>
      <c r="D55" s="5">
        <v>10</v>
      </c>
      <c r="E55" s="12">
        <v>5</v>
      </c>
      <c r="F55" s="12" t="s">
        <v>77</v>
      </c>
      <c r="G55" s="11">
        <f t="shared" ref="G55:I55" si="39">G51*R55</f>
        <v>375000</v>
      </c>
      <c r="H55" s="11">
        <f t="shared" si="39"/>
        <v>375000</v>
      </c>
      <c r="I55" s="11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7" t="s">
        <v>72</v>
      </c>
      <c r="Q55" s="17" t="s">
        <v>67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5">
        <v>51</v>
      </c>
      <c r="D56" s="13">
        <v>11</v>
      </c>
      <c r="E56" s="14">
        <v>1</v>
      </c>
      <c r="F56" s="14" t="s">
        <v>80</v>
      </c>
      <c r="G56" s="18" t="s">
        <v>81</v>
      </c>
      <c r="H56" s="18" t="s">
        <v>81</v>
      </c>
      <c r="I56" s="18" t="s">
        <v>82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7" t="s">
        <v>27</v>
      </c>
      <c r="Q56" s="17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5">
        <v>52</v>
      </c>
      <c r="D57" s="5">
        <v>11</v>
      </c>
      <c r="E57" s="12">
        <v>2</v>
      </c>
      <c r="F57" s="12" t="s">
        <v>80</v>
      </c>
      <c r="G57" s="11">
        <f t="shared" ref="G57:I57" si="40">G56*R57</f>
        <v>385000</v>
      </c>
      <c r="H57" s="11">
        <f t="shared" si="40"/>
        <v>385000</v>
      </c>
      <c r="I57" s="11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7" t="s">
        <v>43</v>
      </c>
      <c r="Q57" s="17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5">
        <v>53</v>
      </c>
      <c r="D58" s="5">
        <v>11</v>
      </c>
      <c r="E58" s="12">
        <v>3</v>
      </c>
      <c r="F58" s="12" t="s">
        <v>80</v>
      </c>
      <c r="G58" s="11">
        <f t="shared" ref="G58:I58" si="41">G56*R58</f>
        <v>402500</v>
      </c>
      <c r="H58" s="11">
        <f t="shared" si="41"/>
        <v>402500</v>
      </c>
      <c r="I58" s="11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7" t="s">
        <v>29</v>
      </c>
      <c r="Q58" s="17" t="s">
        <v>83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5">
        <v>54</v>
      </c>
      <c r="D59" s="5">
        <v>11</v>
      </c>
      <c r="E59" s="12">
        <v>4</v>
      </c>
      <c r="F59" s="12" t="s">
        <v>80</v>
      </c>
      <c r="G59" s="11">
        <f t="shared" ref="G59:I59" si="42">G56*R59</f>
        <v>420000</v>
      </c>
      <c r="H59" s="11">
        <f t="shared" si="42"/>
        <v>420000</v>
      </c>
      <c r="I59" s="11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7" t="s">
        <v>84</v>
      </c>
      <c r="Q59" s="17" t="s">
        <v>85</v>
      </c>
      <c r="R59" s="2">
        <v>1.2</v>
      </c>
      <c r="S59" s="2">
        <v>1.2</v>
      </c>
      <c r="T59" s="2">
        <v>1.3</v>
      </c>
    </row>
    <row r="60" s="2" customFormat="1" customHeight="1" spans="3:20">
      <c r="C60" s="5">
        <v>55</v>
      </c>
      <c r="D60" s="5">
        <v>11</v>
      </c>
      <c r="E60" s="12">
        <v>5</v>
      </c>
      <c r="F60" s="12" t="s">
        <v>86</v>
      </c>
      <c r="G60" s="11">
        <f t="shared" ref="G60:I60" si="43">G56*R60</f>
        <v>437500</v>
      </c>
      <c r="H60" s="11">
        <f t="shared" si="43"/>
        <v>437500</v>
      </c>
      <c r="I60" s="11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7" t="s">
        <v>87</v>
      </c>
      <c r="Q60" s="17" t="s">
        <v>88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5">
        <v>56</v>
      </c>
      <c r="D61" s="13">
        <v>12</v>
      </c>
      <c r="E61" s="14">
        <v>1</v>
      </c>
      <c r="F61" s="14" t="s">
        <v>89</v>
      </c>
      <c r="G61" s="18" t="s">
        <v>90</v>
      </c>
      <c r="H61" s="18" t="s">
        <v>90</v>
      </c>
      <c r="I61" s="18" t="s">
        <v>91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7" t="s">
        <v>43</v>
      </c>
      <c r="Q61" s="17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5">
        <v>57</v>
      </c>
      <c r="D62" s="5">
        <v>12</v>
      </c>
      <c r="E62" s="12">
        <v>2</v>
      </c>
      <c r="F62" s="12" t="s">
        <v>89</v>
      </c>
      <c r="G62" s="11">
        <f t="shared" ref="G62:I62" si="44">G61*R62</f>
        <v>440000</v>
      </c>
      <c r="H62" s="11">
        <f t="shared" si="44"/>
        <v>440000</v>
      </c>
      <c r="I62" s="11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7" t="s">
        <v>48</v>
      </c>
      <c r="Q62" s="17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5">
        <v>58</v>
      </c>
      <c r="D63" s="5">
        <v>12</v>
      </c>
      <c r="E63" s="12">
        <v>3</v>
      </c>
      <c r="F63" s="12" t="s">
        <v>89</v>
      </c>
      <c r="G63" s="11">
        <f t="shared" ref="G63:I63" si="45">G61*R63</f>
        <v>460000</v>
      </c>
      <c r="H63" s="11">
        <f t="shared" si="45"/>
        <v>460000</v>
      </c>
      <c r="I63" s="11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7" t="s">
        <v>29</v>
      </c>
      <c r="Q63" s="17" t="s">
        <v>83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5">
        <v>59</v>
      </c>
      <c r="D64" s="5">
        <v>12</v>
      </c>
      <c r="E64" s="12">
        <v>4</v>
      </c>
      <c r="F64" s="12" t="s">
        <v>89</v>
      </c>
      <c r="G64" s="11">
        <f t="shared" ref="G64:I64" si="46">G61*R64</f>
        <v>480000</v>
      </c>
      <c r="H64" s="11">
        <f t="shared" si="46"/>
        <v>480000</v>
      </c>
      <c r="I64" s="11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7" t="s">
        <v>84</v>
      </c>
      <c r="Q64" s="17" t="s">
        <v>85</v>
      </c>
      <c r="R64" s="2">
        <v>1.2</v>
      </c>
      <c r="S64" s="2">
        <v>1.2</v>
      </c>
      <c r="T64" s="2">
        <v>1.3</v>
      </c>
    </row>
    <row r="65" s="2" customFormat="1" customHeight="1" spans="3:20">
      <c r="C65" s="5">
        <v>60</v>
      </c>
      <c r="D65" s="5">
        <v>12</v>
      </c>
      <c r="E65" s="12">
        <v>5</v>
      </c>
      <c r="F65" s="12" t="s">
        <v>92</v>
      </c>
      <c r="G65" s="11">
        <f t="shared" ref="G65:I65" si="47">G61*R65</f>
        <v>500000</v>
      </c>
      <c r="H65" s="11">
        <f t="shared" si="47"/>
        <v>500000</v>
      </c>
      <c r="I65" s="11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7" t="s">
        <v>93</v>
      </c>
      <c r="Q65" s="17" t="s">
        <v>88</v>
      </c>
      <c r="R65" s="2">
        <v>1.25</v>
      </c>
      <c r="S65" s="2">
        <v>1.25</v>
      </c>
      <c r="T65" s="2">
        <v>1.5</v>
      </c>
    </row>
    <row r="66" s="3" customFormat="1" customHeight="1" spans="1:20">
      <c r="A66" s="2"/>
      <c r="B66" s="2"/>
      <c r="C66" s="5">
        <v>61</v>
      </c>
      <c r="D66" s="13">
        <v>13</v>
      </c>
      <c r="E66" s="14">
        <v>1</v>
      </c>
      <c r="F66" s="14" t="s">
        <v>94</v>
      </c>
      <c r="G66" s="18" t="s">
        <v>95</v>
      </c>
      <c r="H66" s="18" t="s">
        <v>95</v>
      </c>
      <c r="I66" s="18" t="s">
        <v>96</v>
      </c>
      <c r="J66" s="3">
        <v>0</v>
      </c>
      <c r="K66" s="3">
        <v>1800</v>
      </c>
      <c r="L66" s="3">
        <v>1800</v>
      </c>
      <c r="M66" s="3">
        <v>1800</v>
      </c>
      <c r="N66" s="3">
        <v>99</v>
      </c>
      <c r="O66" s="3">
        <v>0</v>
      </c>
      <c r="P66" s="17" t="s">
        <v>97</v>
      </c>
      <c r="Q66" s="17" t="s">
        <v>59</v>
      </c>
      <c r="R66" s="3">
        <v>1</v>
      </c>
      <c r="S66" s="3">
        <v>1</v>
      </c>
      <c r="T66" s="3">
        <v>1</v>
      </c>
    </row>
    <row r="67" s="2" customFormat="1" customHeight="1" spans="3:20">
      <c r="C67" s="5">
        <v>62</v>
      </c>
      <c r="D67" s="13">
        <v>13</v>
      </c>
      <c r="E67" s="12">
        <v>2</v>
      </c>
      <c r="F67" s="12" t="s">
        <v>94</v>
      </c>
      <c r="G67" s="11">
        <f t="shared" ref="G67:I67" si="48">G66*R67</f>
        <v>550000</v>
      </c>
      <c r="H67" s="11">
        <f t="shared" si="48"/>
        <v>550000</v>
      </c>
      <c r="I67" s="11">
        <f t="shared" si="48"/>
        <v>825000000</v>
      </c>
      <c r="J67" s="2">
        <v>0</v>
      </c>
      <c r="K67" s="2">
        <v>1800</v>
      </c>
      <c r="L67" s="2">
        <v>1800</v>
      </c>
      <c r="M67" s="2">
        <v>1800</v>
      </c>
      <c r="N67" s="2">
        <v>99</v>
      </c>
      <c r="O67" s="2">
        <v>0</v>
      </c>
      <c r="P67" s="17" t="s">
        <v>98</v>
      </c>
      <c r="Q67" s="17" t="s">
        <v>59</v>
      </c>
      <c r="R67" s="2">
        <v>1.1</v>
      </c>
      <c r="S67" s="2">
        <v>1.1</v>
      </c>
      <c r="T67" s="2">
        <v>1.1</v>
      </c>
    </row>
    <row r="68" s="2" customFormat="1" customHeight="1" spans="3:20">
      <c r="C68" s="5">
        <v>63</v>
      </c>
      <c r="D68" s="13">
        <v>13</v>
      </c>
      <c r="E68" s="12">
        <v>3</v>
      </c>
      <c r="F68" s="12" t="s">
        <v>94</v>
      </c>
      <c r="G68" s="11">
        <f t="shared" ref="G68:I68" si="49">G66*R68</f>
        <v>575000</v>
      </c>
      <c r="H68" s="11">
        <f t="shared" si="49"/>
        <v>575000</v>
      </c>
      <c r="I68" s="11">
        <f t="shared" si="49"/>
        <v>900000000</v>
      </c>
      <c r="J68" s="2">
        <v>0</v>
      </c>
      <c r="K68" s="2">
        <v>1800</v>
      </c>
      <c r="L68" s="2">
        <v>1800</v>
      </c>
      <c r="M68" s="2">
        <v>1800</v>
      </c>
      <c r="N68" s="2">
        <v>99</v>
      </c>
      <c r="O68" s="2">
        <v>0</v>
      </c>
      <c r="P68" s="17" t="s">
        <v>99</v>
      </c>
      <c r="Q68" s="17" t="s">
        <v>100</v>
      </c>
      <c r="R68" s="2">
        <v>1.15</v>
      </c>
      <c r="S68" s="2">
        <v>1.15</v>
      </c>
      <c r="T68" s="2">
        <v>1.2</v>
      </c>
    </row>
    <row r="69" s="2" customFormat="1" customHeight="1" spans="3:20">
      <c r="C69" s="5">
        <v>64</v>
      </c>
      <c r="D69" s="13">
        <v>13</v>
      </c>
      <c r="E69" s="12">
        <v>4</v>
      </c>
      <c r="F69" s="12" t="s">
        <v>94</v>
      </c>
      <c r="G69" s="11">
        <f t="shared" ref="G69:I69" si="50">G66*R69</f>
        <v>600000</v>
      </c>
      <c r="H69" s="11">
        <f t="shared" si="50"/>
        <v>600000</v>
      </c>
      <c r="I69" s="11">
        <f t="shared" si="50"/>
        <v>975000000</v>
      </c>
      <c r="J69" s="2">
        <v>0</v>
      </c>
      <c r="K69" s="2">
        <v>1800</v>
      </c>
      <c r="L69" s="2">
        <v>1800</v>
      </c>
      <c r="M69" s="2">
        <v>1800</v>
      </c>
      <c r="N69" s="2">
        <v>99</v>
      </c>
      <c r="O69" s="2">
        <v>0</v>
      </c>
      <c r="P69" s="17" t="s">
        <v>101</v>
      </c>
      <c r="Q69" s="17" t="s">
        <v>102</v>
      </c>
      <c r="R69" s="2">
        <v>1.2</v>
      </c>
      <c r="S69" s="2">
        <v>1.2</v>
      </c>
      <c r="T69" s="2">
        <v>1.3</v>
      </c>
    </row>
    <row r="70" s="2" customFormat="1" customHeight="1" spans="3:20">
      <c r="C70" s="5">
        <v>65</v>
      </c>
      <c r="D70" s="13">
        <v>13</v>
      </c>
      <c r="E70" s="12">
        <v>5</v>
      </c>
      <c r="F70" s="12" t="s">
        <v>103</v>
      </c>
      <c r="G70" s="11">
        <f t="shared" ref="G70:I70" si="51">G66*R70</f>
        <v>625000</v>
      </c>
      <c r="H70" s="11">
        <f t="shared" si="51"/>
        <v>625000</v>
      </c>
      <c r="I70" s="11">
        <f t="shared" si="51"/>
        <v>1125000000</v>
      </c>
      <c r="J70" s="2">
        <v>0</v>
      </c>
      <c r="K70" s="2">
        <v>1800</v>
      </c>
      <c r="L70" s="2">
        <v>1800</v>
      </c>
      <c r="M70" s="2">
        <v>1800</v>
      </c>
      <c r="N70" s="2">
        <v>99</v>
      </c>
      <c r="O70" s="2">
        <v>0</v>
      </c>
      <c r="P70" s="17" t="s">
        <v>104</v>
      </c>
      <c r="Q70" s="17" t="s">
        <v>105</v>
      </c>
      <c r="R70" s="2">
        <v>1.25</v>
      </c>
      <c r="S70" s="2">
        <v>1.25</v>
      </c>
      <c r="T70" s="2">
        <v>1.5</v>
      </c>
    </row>
    <row r="71" s="3" customFormat="1" customHeight="1" spans="1:20">
      <c r="A71" s="2"/>
      <c r="B71" s="2"/>
      <c r="C71" s="5">
        <v>66</v>
      </c>
      <c r="D71" s="13">
        <v>14</v>
      </c>
      <c r="E71" s="14">
        <v>1</v>
      </c>
      <c r="F71" s="14" t="s">
        <v>106</v>
      </c>
      <c r="G71" s="18" t="s">
        <v>107</v>
      </c>
      <c r="H71" s="18" t="s">
        <v>107</v>
      </c>
      <c r="I71" s="18" t="s">
        <v>108</v>
      </c>
      <c r="J71" s="3">
        <v>0</v>
      </c>
      <c r="K71" s="3">
        <v>1800</v>
      </c>
      <c r="L71" s="3">
        <v>1800</v>
      </c>
      <c r="M71" s="3">
        <v>1800</v>
      </c>
      <c r="N71" s="3">
        <v>99</v>
      </c>
      <c r="O71" s="3">
        <v>0</v>
      </c>
      <c r="P71" s="17" t="s">
        <v>97</v>
      </c>
      <c r="Q71" s="17" t="s">
        <v>59</v>
      </c>
      <c r="R71" s="3">
        <v>1</v>
      </c>
      <c r="S71" s="3">
        <v>1</v>
      </c>
      <c r="T71" s="3">
        <v>1</v>
      </c>
    </row>
    <row r="72" s="2" customFormat="1" customHeight="1" spans="3:20">
      <c r="C72" s="5">
        <v>67</v>
      </c>
      <c r="D72" s="13">
        <v>14</v>
      </c>
      <c r="E72" s="12">
        <v>2</v>
      </c>
      <c r="F72" s="12" t="s">
        <v>106</v>
      </c>
      <c r="G72" s="11">
        <f t="shared" ref="G72:I72" si="52">G71*R72</f>
        <v>660000</v>
      </c>
      <c r="H72" s="11">
        <f t="shared" si="52"/>
        <v>660000</v>
      </c>
      <c r="I72" s="11">
        <f t="shared" si="52"/>
        <v>990000000</v>
      </c>
      <c r="J72" s="2">
        <v>0</v>
      </c>
      <c r="K72" s="2">
        <v>1800</v>
      </c>
      <c r="L72" s="2">
        <v>1800</v>
      </c>
      <c r="M72" s="2">
        <v>1800</v>
      </c>
      <c r="N72" s="2">
        <v>99</v>
      </c>
      <c r="O72" s="2">
        <v>0</v>
      </c>
      <c r="P72" s="17" t="s">
        <v>98</v>
      </c>
      <c r="Q72" s="17" t="s">
        <v>59</v>
      </c>
      <c r="R72" s="2">
        <v>1.1</v>
      </c>
      <c r="S72" s="2">
        <v>1.1</v>
      </c>
      <c r="T72" s="2">
        <v>1.1</v>
      </c>
    </row>
    <row r="73" s="2" customFormat="1" customHeight="1" spans="3:20">
      <c r="C73" s="5">
        <v>68</v>
      </c>
      <c r="D73" s="13">
        <v>14</v>
      </c>
      <c r="E73" s="12">
        <v>3</v>
      </c>
      <c r="F73" s="12" t="s">
        <v>106</v>
      </c>
      <c r="G73" s="11">
        <f t="shared" ref="G73:I73" si="53">G71*R73</f>
        <v>690000</v>
      </c>
      <c r="H73" s="11">
        <f t="shared" si="53"/>
        <v>690000</v>
      </c>
      <c r="I73" s="11">
        <f t="shared" si="53"/>
        <v>1080000000</v>
      </c>
      <c r="J73" s="2">
        <v>0</v>
      </c>
      <c r="K73" s="2">
        <v>1800</v>
      </c>
      <c r="L73" s="2">
        <v>1800</v>
      </c>
      <c r="M73" s="2">
        <v>1800</v>
      </c>
      <c r="N73" s="2">
        <v>99</v>
      </c>
      <c r="O73" s="2">
        <v>0</v>
      </c>
      <c r="P73" s="17" t="s">
        <v>99</v>
      </c>
      <c r="Q73" s="17" t="s">
        <v>100</v>
      </c>
      <c r="R73" s="2">
        <v>1.15</v>
      </c>
      <c r="S73" s="2">
        <v>1.15</v>
      </c>
      <c r="T73" s="2">
        <v>1.2</v>
      </c>
    </row>
    <row r="74" s="2" customFormat="1" customHeight="1" spans="3:20">
      <c r="C74" s="5">
        <v>69</v>
      </c>
      <c r="D74" s="13">
        <v>14</v>
      </c>
      <c r="E74" s="12">
        <v>4</v>
      </c>
      <c r="F74" s="12" t="s">
        <v>106</v>
      </c>
      <c r="G74" s="11">
        <f t="shared" ref="G74:I74" si="54">G71*R74</f>
        <v>720000</v>
      </c>
      <c r="H74" s="11">
        <f t="shared" si="54"/>
        <v>720000</v>
      </c>
      <c r="I74" s="11">
        <f t="shared" si="54"/>
        <v>1170000000</v>
      </c>
      <c r="J74" s="2">
        <v>0</v>
      </c>
      <c r="K74" s="2">
        <v>1800</v>
      </c>
      <c r="L74" s="2">
        <v>1800</v>
      </c>
      <c r="M74" s="2">
        <v>1800</v>
      </c>
      <c r="N74" s="2">
        <v>99</v>
      </c>
      <c r="O74" s="2">
        <v>0</v>
      </c>
      <c r="P74" s="17" t="s">
        <v>101</v>
      </c>
      <c r="Q74" s="17" t="s">
        <v>102</v>
      </c>
      <c r="R74" s="2">
        <v>1.2</v>
      </c>
      <c r="S74" s="2">
        <v>1.2</v>
      </c>
      <c r="T74" s="2">
        <v>1.3</v>
      </c>
    </row>
    <row r="75" s="2" customFormat="1" customHeight="1" spans="3:20">
      <c r="C75" s="5">
        <v>70</v>
      </c>
      <c r="D75" s="13">
        <v>14</v>
      </c>
      <c r="E75" s="12">
        <v>5</v>
      </c>
      <c r="F75" s="12" t="s">
        <v>109</v>
      </c>
      <c r="G75" s="11">
        <f t="shared" ref="G75:I75" si="55">G71*R75</f>
        <v>750000</v>
      </c>
      <c r="H75" s="11">
        <f t="shared" si="55"/>
        <v>750000</v>
      </c>
      <c r="I75" s="11">
        <f t="shared" si="55"/>
        <v>1350000000</v>
      </c>
      <c r="J75" s="2">
        <v>0</v>
      </c>
      <c r="K75" s="2">
        <v>1800</v>
      </c>
      <c r="L75" s="2">
        <v>1800</v>
      </c>
      <c r="M75" s="2">
        <v>1800</v>
      </c>
      <c r="N75" s="2">
        <v>99</v>
      </c>
      <c r="O75" s="2">
        <v>0</v>
      </c>
      <c r="P75" s="17" t="s">
        <v>104</v>
      </c>
      <c r="Q75" s="17" t="s">
        <v>105</v>
      </c>
      <c r="R75" s="2">
        <v>1.25</v>
      </c>
      <c r="S75" s="2">
        <v>1.25</v>
      </c>
      <c r="T75" s="2">
        <v>1.5</v>
      </c>
    </row>
    <row r="76" s="3" customFormat="1" customHeight="1" spans="1:20">
      <c r="A76" s="2"/>
      <c r="B76" s="2"/>
      <c r="C76" s="5">
        <v>71</v>
      </c>
      <c r="D76" s="13">
        <v>15</v>
      </c>
      <c r="E76" s="14">
        <v>1</v>
      </c>
      <c r="F76" s="14" t="s">
        <v>110</v>
      </c>
      <c r="G76" s="18" t="s">
        <v>111</v>
      </c>
      <c r="H76" s="18" t="s">
        <v>111</v>
      </c>
      <c r="I76" s="18" t="s">
        <v>112</v>
      </c>
      <c r="J76" s="3">
        <v>0</v>
      </c>
      <c r="K76" s="3">
        <v>1800</v>
      </c>
      <c r="L76" s="3">
        <v>1800</v>
      </c>
      <c r="M76" s="3">
        <v>1800</v>
      </c>
      <c r="N76" s="3">
        <v>99</v>
      </c>
      <c r="O76" s="3">
        <v>0</v>
      </c>
      <c r="P76" s="17" t="s">
        <v>97</v>
      </c>
      <c r="Q76" s="17" t="s">
        <v>113</v>
      </c>
      <c r="R76" s="3">
        <v>1</v>
      </c>
      <c r="S76" s="3">
        <v>1</v>
      </c>
      <c r="T76" s="3">
        <v>1</v>
      </c>
    </row>
    <row r="77" s="2" customFormat="1" customHeight="1" spans="3:20">
      <c r="C77" s="5">
        <v>72</v>
      </c>
      <c r="D77" s="13">
        <v>15</v>
      </c>
      <c r="E77" s="12">
        <v>2</v>
      </c>
      <c r="F77" s="12" t="s">
        <v>110</v>
      </c>
      <c r="G77" s="11">
        <f t="shared" ref="G77:I77" si="56">G76*R77</f>
        <v>880000</v>
      </c>
      <c r="H77" s="11">
        <f t="shared" si="56"/>
        <v>880000</v>
      </c>
      <c r="I77" s="11">
        <f t="shared" si="56"/>
        <v>1320000000</v>
      </c>
      <c r="J77" s="2">
        <v>0</v>
      </c>
      <c r="K77" s="2">
        <v>1800</v>
      </c>
      <c r="L77" s="2">
        <v>1800</v>
      </c>
      <c r="M77" s="2">
        <v>1800</v>
      </c>
      <c r="N77" s="2">
        <v>99</v>
      </c>
      <c r="O77" s="2">
        <v>0</v>
      </c>
      <c r="P77" s="17" t="s">
        <v>98</v>
      </c>
      <c r="Q77" s="17" t="s">
        <v>113</v>
      </c>
      <c r="R77" s="2">
        <v>1.1</v>
      </c>
      <c r="S77" s="2">
        <v>1.1</v>
      </c>
      <c r="T77" s="2">
        <v>1.1</v>
      </c>
    </row>
    <row r="78" s="2" customFormat="1" customHeight="1" spans="3:20">
      <c r="C78" s="5">
        <v>73</v>
      </c>
      <c r="D78" s="13">
        <v>15</v>
      </c>
      <c r="E78" s="12">
        <v>3</v>
      </c>
      <c r="F78" s="12" t="s">
        <v>110</v>
      </c>
      <c r="G78" s="11">
        <f t="shared" ref="G78:I78" si="57">G76*R78</f>
        <v>920000</v>
      </c>
      <c r="H78" s="11">
        <f t="shared" si="57"/>
        <v>920000</v>
      </c>
      <c r="I78" s="11">
        <f t="shared" si="57"/>
        <v>1440000000</v>
      </c>
      <c r="J78" s="2">
        <v>0</v>
      </c>
      <c r="K78" s="2">
        <v>1800</v>
      </c>
      <c r="L78" s="2">
        <v>1800</v>
      </c>
      <c r="M78" s="2">
        <v>1800</v>
      </c>
      <c r="N78" s="2">
        <v>99</v>
      </c>
      <c r="O78" s="2">
        <v>0</v>
      </c>
      <c r="P78" s="17" t="s">
        <v>114</v>
      </c>
      <c r="Q78" s="17" t="s">
        <v>115</v>
      </c>
      <c r="R78" s="2">
        <v>1.15</v>
      </c>
      <c r="S78" s="2">
        <v>1.15</v>
      </c>
      <c r="T78" s="2">
        <v>1.2</v>
      </c>
    </row>
    <row r="79" s="2" customFormat="1" customHeight="1" spans="3:20">
      <c r="C79" s="5">
        <v>74</v>
      </c>
      <c r="D79" s="13">
        <v>15</v>
      </c>
      <c r="E79" s="12">
        <v>4</v>
      </c>
      <c r="F79" s="12" t="s">
        <v>110</v>
      </c>
      <c r="G79" s="11">
        <f t="shared" ref="G79:I79" si="58">G76*R79</f>
        <v>960000</v>
      </c>
      <c r="H79" s="11">
        <f t="shared" si="58"/>
        <v>960000</v>
      </c>
      <c r="I79" s="11">
        <f t="shared" si="58"/>
        <v>1560000000</v>
      </c>
      <c r="J79" s="2">
        <v>0</v>
      </c>
      <c r="K79" s="2">
        <v>1800</v>
      </c>
      <c r="L79" s="2">
        <v>1800</v>
      </c>
      <c r="M79" s="2">
        <v>1800</v>
      </c>
      <c r="N79" s="2">
        <v>99</v>
      </c>
      <c r="O79" s="2">
        <v>0</v>
      </c>
      <c r="P79" s="17" t="s">
        <v>116</v>
      </c>
      <c r="Q79" s="17" t="s">
        <v>117</v>
      </c>
      <c r="R79" s="2">
        <v>1.2</v>
      </c>
      <c r="S79" s="2">
        <v>1.2</v>
      </c>
      <c r="T79" s="2">
        <v>1.3</v>
      </c>
    </row>
    <row r="80" s="2" customFormat="1" customHeight="1" spans="3:20">
      <c r="C80" s="5">
        <v>75</v>
      </c>
      <c r="D80" s="13">
        <v>15</v>
      </c>
      <c r="E80" s="12">
        <v>5</v>
      </c>
      <c r="F80" s="12" t="s">
        <v>118</v>
      </c>
      <c r="G80" s="11">
        <f t="shared" ref="G80:I80" si="59">G76*R80</f>
        <v>1000000</v>
      </c>
      <c r="H80" s="11">
        <f t="shared" si="59"/>
        <v>1000000</v>
      </c>
      <c r="I80" s="11">
        <f t="shared" si="59"/>
        <v>1800000000</v>
      </c>
      <c r="J80" s="2">
        <v>0</v>
      </c>
      <c r="K80" s="2">
        <v>1800</v>
      </c>
      <c r="L80" s="2">
        <v>1800</v>
      </c>
      <c r="M80" s="2">
        <v>1800</v>
      </c>
      <c r="N80" s="2">
        <v>99</v>
      </c>
      <c r="O80" s="2">
        <v>0</v>
      </c>
      <c r="P80" s="17" t="s">
        <v>119</v>
      </c>
      <c r="Q80" s="17" t="s">
        <v>120</v>
      </c>
      <c r="R80" s="2">
        <v>1.25</v>
      </c>
      <c r="S80" s="2">
        <v>1.25</v>
      </c>
      <c r="T80" s="2">
        <v>1.5</v>
      </c>
    </row>
    <row r="81" s="3" customFormat="1" customHeight="1" spans="1:20">
      <c r="A81" s="2"/>
      <c r="B81" s="2"/>
      <c r="C81" s="5">
        <v>76</v>
      </c>
      <c r="D81" s="13">
        <v>16</v>
      </c>
      <c r="E81" s="14">
        <v>1</v>
      </c>
      <c r="F81" s="14" t="s">
        <v>121</v>
      </c>
      <c r="G81" s="18" t="s">
        <v>122</v>
      </c>
      <c r="H81" s="18" t="s">
        <v>122</v>
      </c>
      <c r="I81" s="18" t="s">
        <v>123</v>
      </c>
      <c r="J81" s="3">
        <v>0</v>
      </c>
      <c r="K81" s="3">
        <v>1800</v>
      </c>
      <c r="L81" s="3">
        <v>1800</v>
      </c>
      <c r="M81" s="3">
        <v>1800</v>
      </c>
      <c r="N81" s="3">
        <v>99</v>
      </c>
      <c r="O81" s="3">
        <v>0</v>
      </c>
      <c r="P81" s="17" t="s">
        <v>97</v>
      </c>
      <c r="Q81" s="17" t="s">
        <v>113</v>
      </c>
      <c r="R81" s="3">
        <v>1</v>
      </c>
      <c r="S81" s="3">
        <v>1</v>
      </c>
      <c r="T81" s="3">
        <v>1</v>
      </c>
    </row>
    <row r="82" s="2" customFormat="1" customHeight="1" spans="3:20">
      <c r="C82" s="5">
        <v>77</v>
      </c>
      <c r="D82" s="13">
        <v>16</v>
      </c>
      <c r="E82" s="12">
        <v>2</v>
      </c>
      <c r="F82" s="12" t="s">
        <v>121</v>
      </c>
      <c r="G82" s="11">
        <f t="shared" ref="G82:I82" si="60">G81*R82</f>
        <v>1100000</v>
      </c>
      <c r="H82" s="11">
        <f t="shared" si="60"/>
        <v>1100000</v>
      </c>
      <c r="I82" s="11">
        <f t="shared" si="60"/>
        <v>1650000000</v>
      </c>
      <c r="J82" s="2">
        <v>0</v>
      </c>
      <c r="K82" s="2">
        <v>1800</v>
      </c>
      <c r="L82" s="2">
        <v>1800</v>
      </c>
      <c r="M82" s="2">
        <v>1800</v>
      </c>
      <c r="N82" s="2">
        <v>99</v>
      </c>
      <c r="O82" s="2">
        <v>0</v>
      </c>
      <c r="P82" s="17" t="s">
        <v>98</v>
      </c>
      <c r="Q82" s="17" t="s">
        <v>113</v>
      </c>
      <c r="R82" s="2">
        <v>1.1</v>
      </c>
      <c r="S82" s="2">
        <v>1.1</v>
      </c>
      <c r="T82" s="2">
        <v>1.1</v>
      </c>
    </row>
    <row r="83" s="2" customFormat="1" customHeight="1" spans="3:20">
      <c r="C83" s="5">
        <v>78</v>
      </c>
      <c r="D83" s="13">
        <v>16</v>
      </c>
      <c r="E83" s="12">
        <v>3</v>
      </c>
      <c r="F83" s="12" t="s">
        <v>121</v>
      </c>
      <c r="G83" s="11">
        <f t="shared" ref="G83:I83" si="61">G81*R83</f>
        <v>1150000</v>
      </c>
      <c r="H83" s="11">
        <f t="shared" si="61"/>
        <v>1150000</v>
      </c>
      <c r="I83" s="11">
        <f t="shared" si="61"/>
        <v>1800000000</v>
      </c>
      <c r="J83" s="2">
        <v>0</v>
      </c>
      <c r="K83" s="2">
        <v>1800</v>
      </c>
      <c r="L83" s="2">
        <v>1800</v>
      </c>
      <c r="M83" s="2">
        <v>1800</v>
      </c>
      <c r="N83" s="2">
        <v>99</v>
      </c>
      <c r="O83" s="2">
        <v>0</v>
      </c>
      <c r="P83" s="17" t="s">
        <v>114</v>
      </c>
      <c r="Q83" s="17" t="s">
        <v>115</v>
      </c>
      <c r="R83" s="2">
        <v>1.15</v>
      </c>
      <c r="S83" s="2">
        <v>1.15</v>
      </c>
      <c r="T83" s="2">
        <v>1.2</v>
      </c>
    </row>
    <row r="84" s="2" customFormat="1" customHeight="1" spans="3:20">
      <c r="C84" s="5">
        <v>79</v>
      </c>
      <c r="D84" s="13">
        <v>16</v>
      </c>
      <c r="E84" s="12">
        <v>4</v>
      </c>
      <c r="F84" s="12" t="s">
        <v>121</v>
      </c>
      <c r="G84" s="11">
        <f t="shared" ref="G84:I84" si="62">G81*R84</f>
        <v>1200000</v>
      </c>
      <c r="H84" s="11">
        <f t="shared" si="62"/>
        <v>1200000</v>
      </c>
      <c r="I84" s="11">
        <f t="shared" si="62"/>
        <v>1950000000</v>
      </c>
      <c r="J84" s="2">
        <v>0</v>
      </c>
      <c r="K84" s="2">
        <v>1800</v>
      </c>
      <c r="L84" s="2">
        <v>1800</v>
      </c>
      <c r="M84" s="2">
        <v>1800</v>
      </c>
      <c r="N84" s="2">
        <v>99</v>
      </c>
      <c r="O84" s="2">
        <v>0</v>
      </c>
      <c r="P84" s="17" t="s">
        <v>116</v>
      </c>
      <c r="Q84" s="17" t="s">
        <v>117</v>
      </c>
      <c r="R84" s="2">
        <v>1.2</v>
      </c>
      <c r="S84" s="2">
        <v>1.2</v>
      </c>
      <c r="T84" s="2">
        <v>1.3</v>
      </c>
    </row>
    <row r="85" s="2" customFormat="1" customHeight="1" spans="3:20">
      <c r="C85" s="5">
        <v>80</v>
      </c>
      <c r="D85" s="13">
        <v>16</v>
      </c>
      <c r="E85" s="12">
        <v>5</v>
      </c>
      <c r="F85" s="12" t="s">
        <v>124</v>
      </c>
      <c r="G85" s="11">
        <f t="shared" ref="G85:I85" si="63">G81*R85</f>
        <v>1250000</v>
      </c>
      <c r="H85" s="11">
        <f t="shared" si="63"/>
        <v>1250000</v>
      </c>
      <c r="I85" s="11">
        <f t="shared" si="63"/>
        <v>2250000000</v>
      </c>
      <c r="J85" s="2">
        <v>0</v>
      </c>
      <c r="K85" s="2">
        <v>1800</v>
      </c>
      <c r="L85" s="2">
        <v>1800</v>
      </c>
      <c r="M85" s="2">
        <v>1800</v>
      </c>
      <c r="N85" s="2">
        <v>99</v>
      </c>
      <c r="O85" s="2">
        <v>0</v>
      </c>
      <c r="P85" s="17" t="s">
        <v>119</v>
      </c>
      <c r="Q85" s="17" t="s">
        <v>120</v>
      </c>
      <c r="R85" s="2">
        <v>1.25</v>
      </c>
      <c r="S85" s="2">
        <v>1.25</v>
      </c>
      <c r="T8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2025-03-26T06:47:26Z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
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<sst xmlns="http://schemas.openxmlformats.org/spreadsheetml/2006/main" count="231" uniqueCount="81">
  <si>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</si>
  <si>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</si>
  <si>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</si>
  <si>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</si>
  <si>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</si>
  <si>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</si>
  <si>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</si>
  <si>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</si>
  <si>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</si>
  <si>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</si>
  <si>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</si>
  <si>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</si>
  <si>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</si>
  <si>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</si>
  <si>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</si>
  <si>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</si>
  <si>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</si>
  <si>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</si>
  <si>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</si>
  <si>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</si>
  <si>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</si>
  <si>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</si>
  <si>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</si>
  <si>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</si>
  <si>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</si>
  <si>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</si>
  <si>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</si>
  <si>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</si>
  <si>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</si>
  <si>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</si>
  <si>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1000,10</t>
  </si>
  <si>
    <t>神话小鹿</t>
  </si>
  <si>
    <t>50000</t>
  </si>
  <si>
    <t>20000000</t>
  </si>
  <si>
    <t>神话鹿王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</si>
  <si>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</si>
  <si>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</si>
  <si>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</si>
  <si>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</si>
  <si>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</si>
  <si>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</si>
  <si>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</si>
  <si>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</si>
  <si>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</si>
  <si>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神话虎蛇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</si>
  <si>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</si>
  <si>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</si>
  <si>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</si>
  <si>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</si>
  <si>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</si>
  <si>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</si>
  <si>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</si>
  <si>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</si>
  <si>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</si>
  <si>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</si>
  <si>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</si>
  <si>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</si>
  <si>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</si>
  <si>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</si>
  <si>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</si>
  <si>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3002,3007</t>
  </si>
  <si>
    <t>神话沃玛</t>
  </si>
  <si>
    <t>180000</t>
  </si>
  <si>
    <t>210000000</t>
  </si>
  <si>
    <t>2001,2002</t>
  </si>
  <si>
    <t>神话教主</t>
  </si>
  <si>
    <t>3001,3002,1004</t>
  </si>
  <si>
    <t>1000,10,10</t>
  </si>
  <si>
    <t>神话蜈蚣</t>
  </si>
  <si>
    <t>210000</t>
  </si>
  <si>
    <t>300000000</t>
  </si>
  <si>
    <t>神话触龙神</t>
  </si>
  <si>
    <t>3001,3002,2007</t>
  </si>
  <si>
    <t>神话野猪</t>
  </si>
  <si>
    <t>250000</t>
  </si>
  <si>
    <t>400000000</t>
  </si>
  <si>
    <t>神话猪王</t>
  </si>
  <si>
    <t>神话祖玛</t>
  </si>
  <si>
    <t>300000</t>
  </si>
  <si>
    <t>500000000</t>
  </si>
  <si>
    <t>神话教皇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</si>
</sst>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5"/>
  <sheetViews>
    <sheetView tabSelected="1" workbookViewId="0">
      <pane ySplit="5" topLeftCell="A6" activePane="bottomLeft" state="frozen"/>
      <selection/>
      <selection pane="bottomLeft" activeCell="I25" sqref="I25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33000</v>
      </c>
      <c r="H7" s="9">
        <f t="shared" si="0"/>
        <v>33000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23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25</v>
      </c>
      <c r="G8" s="9">
        <f t="shared" ref="G8:I8" si="1">G6*R8</f>
        <v>34500</v>
      </c>
      <c r="H8" s="9">
        <f t="shared" si="1"/>
        <v>34500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26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25</v>
      </c>
      <c r="G9" s="9">
        <f t="shared" ref="G9:I9" si="2">G6*R9</f>
        <v>36000</v>
      </c>
      <c r="H9" s="9">
        <f t="shared" si="2"/>
        <v>36000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27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28</v>
      </c>
      <c r="G10" s="9">
        <f>G6*R10</f>
        <v>37500</v>
      </c>
      <c r="H10" s="9">
        <f t="shared" ref="G10:I10" si="3">H6*S10</f>
        <v>37500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29</v>
      </c>
      <c r="Q10" s="14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31</v>
      </c>
      <c r="G11" s="15" t="s">
        <v>32</v>
      </c>
      <c r="H11" s="15" t="s">
        <v>32</v>
      </c>
      <c r="I11" s="15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23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31</v>
      </c>
      <c r="G12" s="9">
        <f t="shared" ref="G12:I12" si="4">G11*R12</f>
        <v>55000</v>
      </c>
      <c r="H12" s="9">
        <f t="shared" si="4"/>
        <v>55000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23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31</v>
      </c>
      <c r="G13" s="9">
        <f t="shared" ref="G13:I13" si="5">G11*R13</f>
        <v>57500</v>
      </c>
      <c r="H13" s="9">
        <f t="shared" si="5"/>
        <v>57500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26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31</v>
      </c>
      <c r="G14" s="9">
        <f t="shared" ref="G14:I14" si="6">G11*R14</f>
        <v>60000</v>
      </c>
      <c r="H14" s="9">
        <f t="shared" si="6"/>
        <v>60000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27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34</v>
      </c>
      <c r="G15" s="9">
        <f>G11*R15</f>
        <v>62500</v>
      </c>
      <c r="H15" s="9">
        <f t="shared" ref="G15:I15" si="7">H11*S15</f>
        <v>62500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29</v>
      </c>
      <c r="Q15" s="14" t="s">
        <v>30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35</v>
      </c>
      <c r="G16" s="15" t="s">
        <v>36</v>
      </c>
      <c r="H16" s="15" t="s">
        <v>36</v>
      </c>
      <c r="I16" s="15" t="s">
        <v>37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23</v>
      </c>
      <c r="Q16" s="14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35</v>
      </c>
      <c r="G17" s="9">
        <f t="shared" ref="G17:I17" si="8">G16*R17</f>
        <v>77000</v>
      </c>
      <c r="H17" s="9">
        <f t="shared" si="8"/>
        <v>77000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23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35</v>
      </c>
      <c r="G18" s="9">
        <f t="shared" ref="G18:I18" si="9">G16*R18</f>
        <v>80500</v>
      </c>
      <c r="H18" s="9">
        <f t="shared" si="9"/>
        <v>80500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26</v>
      </c>
      <c r="Q18" s="14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35</v>
      </c>
      <c r="G19" s="9">
        <f t="shared" ref="G19:I19" si="10">G16*R19</f>
        <v>84000</v>
      </c>
      <c r="H19" s="9">
        <f t="shared" si="10"/>
        <v>84000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27</v>
      </c>
      <c r="Q19" s="14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38</v>
      </c>
      <c r="G20" s="9">
        <f>G16*R20</f>
        <v>87500</v>
      </c>
      <c r="H20" s="9">
        <f t="shared" ref="G20:I20" si="11">H16*S20</f>
        <v>87500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29</v>
      </c>
      <c r="Q20" s="14" t="s">
        <v>30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39</v>
      </c>
      <c r="G21" s="15" t="s">
        <v>40</v>
      </c>
      <c r="H21" s="15" t="s">
        <v>40</v>
      </c>
      <c r="I21" s="15" t="s">
        <v>41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39</v>
      </c>
      <c r="G22" s="9">
        <f t="shared" ref="G22:I22" si="12">G21*R22</f>
        <v>99000</v>
      </c>
      <c r="H22" s="9">
        <f t="shared" si="12"/>
        <v>99000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42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39</v>
      </c>
      <c r="G23" s="9">
        <f t="shared" ref="G23:I23" si="13">G21*R23</f>
        <v>103500</v>
      </c>
      <c r="H23" s="9">
        <f t="shared" si="13"/>
        <v>103500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26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39</v>
      </c>
      <c r="G24" s="9">
        <f t="shared" ref="G24:I24" si="14">G21*R24</f>
        <v>108000</v>
      </c>
      <c r="H24" s="9">
        <f t="shared" si="14"/>
        <v>108000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27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43</v>
      </c>
      <c r="G25" s="9">
        <f t="shared" ref="G25:I25" si="15">G21*R25</f>
        <v>112500</v>
      </c>
      <c r="H25" s="9">
        <f t="shared" si="15"/>
        <v>112500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29</v>
      </c>
      <c r="Q25" s="14" t="s">
        <v>30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44</v>
      </c>
      <c r="G26" s="15" t="s">
        <v>45</v>
      </c>
      <c r="H26" s="15" t="s">
        <v>45</v>
      </c>
      <c r="I26" s="15" t="s">
        <v>46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27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44</v>
      </c>
      <c r="G27" s="9">
        <f t="shared" ref="G27:I27" si="16">G26*R27</f>
        <v>132000</v>
      </c>
      <c r="H27" s="9">
        <f t="shared" si="16"/>
        <v>132000</v>
      </c>
      <c r="I27" s="9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47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44</v>
      </c>
      <c r="G28" s="9">
        <f t="shared" ref="G28:I28" si="17">G26*R28</f>
        <v>138000</v>
      </c>
      <c r="H28" s="9">
        <f t="shared" si="17"/>
        <v>138000</v>
      </c>
      <c r="I28" s="9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48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44</v>
      </c>
      <c r="G29" s="9">
        <f t="shared" ref="G29:I29" si="18">G26*R29</f>
        <v>144000</v>
      </c>
      <c r="H29" s="9">
        <f t="shared" si="18"/>
        <v>144000</v>
      </c>
      <c r="I29" s="9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49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50</v>
      </c>
      <c r="G30" s="9">
        <f t="shared" ref="G30:I30" si="19">G26*R30</f>
        <v>150000</v>
      </c>
      <c r="H30" s="9">
        <f t="shared" si="19"/>
        <v>150000</v>
      </c>
      <c r="I30" s="9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29</v>
      </c>
      <c r="Q30" s="14" t="s">
        <v>30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51</v>
      </c>
      <c r="G31" s="15" t="s">
        <v>52</v>
      </c>
      <c r="H31" s="15" t="s">
        <v>52</v>
      </c>
      <c r="I31" s="15" t="s">
        <v>53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54</v>
      </c>
      <c r="Q31" s="14" t="s">
        <v>55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51</v>
      </c>
      <c r="G32" s="9">
        <f t="shared" ref="G32:I32" si="20">G31*R32</f>
        <v>165000</v>
      </c>
      <c r="H32" s="9">
        <f t="shared" si="20"/>
        <v>165000</v>
      </c>
      <c r="I32" s="9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56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51</v>
      </c>
      <c r="G33" s="9">
        <f t="shared" ref="G33:I33" si="21">G31*R33</f>
        <v>172500</v>
      </c>
      <c r="H33" s="9">
        <f t="shared" si="21"/>
        <v>172500</v>
      </c>
      <c r="I33" s="9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57</v>
      </c>
      <c r="Q33" s="14" t="s">
        <v>58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51</v>
      </c>
      <c r="G34" s="9">
        <f t="shared" ref="G34:I34" si="22">G31*R34</f>
        <v>180000</v>
      </c>
      <c r="H34" s="9">
        <f t="shared" si="22"/>
        <v>180000</v>
      </c>
      <c r="I34" s="9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29</v>
      </c>
      <c r="Q34" s="14" t="s">
        <v>30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59</v>
      </c>
      <c r="G35" s="9">
        <f t="shared" ref="G35:I35" si="23">G31*R35</f>
        <v>187500</v>
      </c>
      <c r="H35" s="9">
        <f t="shared" si="23"/>
        <v>187500</v>
      </c>
      <c r="I35" s="9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60</v>
      </c>
      <c r="Q35" s="14" t="s">
        <v>58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61</v>
      </c>
      <c r="G36" s="15" t="s">
        <v>62</v>
      </c>
      <c r="H36" s="15" t="s">
        <v>62</v>
      </c>
      <c r="I36" s="15" t="s">
        <v>63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27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61</v>
      </c>
      <c r="G37" s="9">
        <f t="shared" ref="G37:I37" si="24">G36*R37</f>
        <v>198000</v>
      </c>
      <c r="H37" s="9">
        <f t="shared" si="24"/>
        <v>198000</v>
      </c>
      <c r="I37" s="9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42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61</v>
      </c>
      <c r="G38" s="9">
        <f t="shared" ref="G38:I38" si="25">G36*R38</f>
        <v>207000</v>
      </c>
      <c r="H38" s="9">
        <f t="shared" si="25"/>
        <v>207000</v>
      </c>
      <c r="I38" s="9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29</v>
      </c>
      <c r="Q38" s="14" t="s">
        <v>30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61</v>
      </c>
      <c r="G39" s="9">
        <f t="shared" ref="G39:I39" si="26">G36*R39</f>
        <v>216000</v>
      </c>
      <c r="H39" s="9">
        <f t="shared" si="26"/>
        <v>216000</v>
      </c>
      <c r="I39" s="9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64</v>
      </c>
      <c r="Q39" s="14" t="s">
        <v>58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65</v>
      </c>
      <c r="G40" s="9">
        <f t="shared" ref="G40:I40" si="27">G36*R40</f>
        <v>225000</v>
      </c>
      <c r="H40" s="9">
        <f t="shared" si="27"/>
        <v>225000</v>
      </c>
      <c r="I40" s="9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66</v>
      </c>
      <c r="Q40" s="14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68</v>
      </c>
      <c r="G41" s="15" t="s">
        <v>69</v>
      </c>
      <c r="H41" s="15" t="s">
        <v>69</v>
      </c>
      <c r="I41" s="15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27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68</v>
      </c>
      <c r="G42" s="9">
        <f t="shared" ref="G42:I42" si="28">G41*R42</f>
        <v>231000</v>
      </c>
      <c r="H42" s="9">
        <f t="shared" si="28"/>
        <v>231000</v>
      </c>
      <c r="I42" s="9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42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68</v>
      </c>
      <c r="G43" s="9">
        <f t="shared" ref="G43:I43" si="29">G41*R43</f>
        <v>241500</v>
      </c>
      <c r="H43" s="9">
        <f t="shared" si="29"/>
        <v>241500</v>
      </c>
      <c r="I43" s="9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29</v>
      </c>
      <c r="Q43" s="14" t="s">
        <v>30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68</v>
      </c>
      <c r="G44" s="9">
        <f t="shared" ref="G44:I44" si="30">G41*R44</f>
        <v>252000</v>
      </c>
      <c r="H44" s="9">
        <f t="shared" si="30"/>
        <v>252000</v>
      </c>
      <c r="I44" s="9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64</v>
      </c>
      <c r="Q44" s="14" t="s">
        <v>58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71</v>
      </c>
      <c r="G45" s="9">
        <f t="shared" ref="G45:I45" si="31">G41*R45</f>
        <v>262500</v>
      </c>
      <c r="H45" s="9">
        <f t="shared" si="31"/>
        <v>262500</v>
      </c>
      <c r="I45" s="9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72</v>
      </c>
      <c r="Q45" s="14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73</v>
      </c>
      <c r="G46" s="15" t="s">
        <v>74</v>
      </c>
      <c r="H46" s="15" t="s">
        <v>74</v>
      </c>
      <c r="I46" s="15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27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73</v>
      </c>
      <c r="G47" s="9">
        <f t="shared" ref="G47:I47" si="32">G46*R47</f>
        <v>275000</v>
      </c>
      <c r="H47" s="9">
        <f t="shared" si="32"/>
        <v>275000</v>
      </c>
      <c r="I47" s="9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42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73</v>
      </c>
      <c r="G48" s="9">
        <f t="shared" ref="G48:I48" si="33">G46*R48</f>
        <v>287500</v>
      </c>
      <c r="H48" s="9">
        <f t="shared" si="33"/>
        <v>287500</v>
      </c>
      <c r="I48" s="9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29</v>
      </c>
      <c r="Q48" s="14" t="s">
        <v>30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73</v>
      </c>
      <c r="G49" s="9">
        <f t="shared" ref="G49:I49" si="34">G46*R49</f>
        <v>300000</v>
      </c>
      <c r="H49" s="9">
        <f t="shared" si="34"/>
        <v>300000</v>
      </c>
      <c r="I49" s="9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64</v>
      </c>
      <c r="Q49" s="14" t="s">
        <v>58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76</v>
      </c>
      <c r="G50" s="9">
        <f t="shared" ref="G50:I50" si="35">G46*R50</f>
        <v>312500</v>
      </c>
      <c r="H50" s="9">
        <f t="shared" si="35"/>
        <v>312500</v>
      </c>
      <c r="I50" s="9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29</v>
      </c>
      <c r="Q50" s="14" t="s">
        <v>30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77</v>
      </c>
      <c r="G51" s="15" t="s">
        <v>78</v>
      </c>
      <c r="H51" s="15" t="s">
        <v>78</v>
      </c>
      <c r="I51" s="15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27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77</v>
      </c>
      <c r="G52" s="9">
        <f t="shared" ref="G52:I52" si="36">G51*R52</f>
        <v>330000</v>
      </c>
      <c r="H52" s="9">
        <f t="shared" si="36"/>
        <v>330000</v>
      </c>
      <c r="I52" s="9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42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77</v>
      </c>
      <c r="G53" s="9">
        <f t="shared" ref="G53:I53" si="37">G51*R53</f>
        <v>345000</v>
      </c>
      <c r="H53" s="9">
        <f t="shared" si="37"/>
        <v>345000</v>
      </c>
      <c r="I53" s="9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29</v>
      </c>
      <c r="Q53" s="14" t="s">
        <v>30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77</v>
      </c>
      <c r="G54" s="9">
        <f t="shared" ref="G54:I54" si="38">G51*R54</f>
        <v>360000</v>
      </c>
      <c r="H54" s="9">
        <f t="shared" si="38"/>
        <v>360000</v>
      </c>
      <c r="I54" s="9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64</v>
      </c>
      <c r="Q54" s="14" t="s">
        <v>58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80</v>
      </c>
      <c r="G55" s="9">
        <f t="shared" ref="G55:I55" si="39">G51*R55</f>
        <v>375000</v>
      </c>
      <c r="H55" s="9">
        <f t="shared" si="39"/>
        <v>375000</v>
      </c>
      <c r="I55" s="9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72</v>
      </c>
      <c r="Q55" s="14" t="s">
        <v>67</v>
      </c>
      <c r="R55" s="2">
        <v>1.25</v>
      </c>
      <c r="S55" s="2">
        <v>1.25</v>
      </c>
      <c r="T5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2024-12-03T03:21:22Z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
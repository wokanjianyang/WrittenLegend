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<sst xmlns="http://schemas.openxmlformats.org/spreadsheetml/2006/main" count="393" uniqueCount="137">
  <si>
    <t>#</t>
  </si>
  <si>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</si>
  <si>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</si>
  <si>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</si>
  <si>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</si>
  <si>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</si>
  <si>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</si>
  <si>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</si>
  <si>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</si>
  <si>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</si>
  <si>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</si>
  <si>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</si>
  <si>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</si>
  <si>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</si>
  <si>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</si>
  <si>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</si>
  <si>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</si>
  <si>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</si>
  <si>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</si>
  <si>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</si>
  <si>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</si>
  <si>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</si>
  <si>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</si>
  <si>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</si>
  <si>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</si>
  <si>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</si>
  <si>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</si>
  <si>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</si>
  <si>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</si>
  <si>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</si>
  <si>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</si>
  <si>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</si>
  <si>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</si>
  <si>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</si>
  <si>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</si>
  <si>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</si>
  <si>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</si>
  <si>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</si>
  <si>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</si>
  <si>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</si>
  <si>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</si>
  <si>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</si>
  <si>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</si>
  <si>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</si>
  <si>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</si>
  <si>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</si>
  <si>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</si>
  <si>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</si>
  <si>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</si>
  <si>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</si>
  <si>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</si>
  <si>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</si>
  <si>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</si>
  <si>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</si>
  <si>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</si>
  <si>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</si>
  <si>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</si>
  <si>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</si>
  <si>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</si>
  <si>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</si>
  <si>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</si>
  <si>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</si>
  <si>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</si>
  <si>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</si>
  <si>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</si>
  <si>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</si>
  <si>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</si>
  <si>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</si>
  <si>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</si>
  <si>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</si>
  <si>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</si>
  <si>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</si>
  <si>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</si>
  <si>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</si>
  <si>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</si>
  <si>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</si>
  <si>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</si>
  <si>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</si>
  <si>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</si>
  <si>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</si>
  <si>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</si>
  <si>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</si>
  <si>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</si>
  <si>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</si>
  <si>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</si>
  <si>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</si>
  <si>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</si>
  <si>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</si>
  <si>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</si>
  <si>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</si>
  <si>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</si>
  <si>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</si>
  <si>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</si>
  <si>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</si>
  <si>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</si>
  <si>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</si>
  <si>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</si>
  <si>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</si>
  <si>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</si>
  <si>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</si>
  <si>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</si>
  <si>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</si>
  <si>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</si>
  <si>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</si>
  <si>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</si>
  <si>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</si>
  <si>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</si>
  <si>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</si>
  <si>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</si>
  <si>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</si>
  <si>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</si>
  <si>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</si>
  <si>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</si>
  <si>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</si>
  <si>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</si>
  <si>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</si>
  <si>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</si>
  <si>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</si>
  <si>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</si>
  <si>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</si>
  <si>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</si>
  <si>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</si>
  <si>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</si>
  <si>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</si>
  <si>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</si>
  <si>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</si>
  <si>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</si>
  <si>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卧龙战将</t>
  </si>
  <si>
    <t>卧龙统领</t>
  </si>
  <si>
    <t>神话蝙蝠</t>
  </si>
  <si>
    <t>1700000</t>
  </si>
  <si>
    <t>神话蝠王</t>
  </si>
  <si>
    <t>神话蝠皇</t>
  </si>
  <si>
    <t>神话骨魔</t>
  </si>
  <si>
    <t>2100000</t>
  </si>
  <si>
    <t>神话骨王</t>
  </si>
  <si>
    <t>神话骨皇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</si>
</sst>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3"/>
  <sheetViews>
    <sheetView tabSelected="1" workbookViewId="0">
      <pane ySplit="5" topLeftCell="A63" activePane="bottomLeft" state="frozen"/>
      <selection/>
      <selection pane="bottomLeft" activeCell="P90" sqref="P90"/>
    </sheetView>
  </sheetViews>
  <sheetFormatPr defaultColWidth="9" defaultRowHeight="14" customHeight="1"/>
  <cols>
    <col min="1" max="1" width="6.875" style="4" customWidth="1"/>
    <col min="2" max="2" width="8" style="4" customWidth="1"/>
    <col min="3" max="4" width="9.875" style="5" customWidth="1"/>
    <col min="5" max="5" width="9.875" style="1" customWidth="1"/>
    <col min="6" max="6" width="16.25" style="1" customWidth="1"/>
    <col min="7" max="7" width="11.625" style="6" customWidth="1"/>
    <col min="8" max="8" width="17" style="6" customWidth="1"/>
    <col min="9" max="9" width="19.25" style="6" customWidth="1"/>
    <col min="10" max="10" width="11.5" style="4" customWidth="1"/>
    <col min="11" max="11" width="9.875" style="4" customWidth="1"/>
    <col min="12" max="12" width="10.375" style="4" customWidth="1"/>
    <col min="13" max="13" width="12" style="4" customWidth="1"/>
    <col min="14" max="14" width="9.375" style="4" customWidth="1"/>
    <col min="15" max="15" width="12.5" style="4" customWidth="1"/>
    <col min="16" max="16" width="24.875" style="4" customWidth="1"/>
    <col min="17" max="17" width="15.875" style="4" customWidth="1"/>
    <col min="18" max="16384" width="9" style="4"/>
  </cols>
  <sheetData>
    <row r="1" s="1" customFormat="1" customHeight="1" spans="1:20">
      <c r="A1" s="4"/>
      <c r="B1" s="4"/>
      <c r="C1" s="5"/>
      <c r="D1" s="5"/>
      <c r="G1" s="7"/>
      <c r="H1" s="7"/>
      <c r="I1" s="7"/>
      <c r="J1" s="4"/>
      <c r="K1" s="4"/>
      <c r="L1" s="4"/>
      <c r="M1" s="4"/>
      <c r="N1" s="4"/>
      <c r="O1" s="4"/>
      <c r="P1" s="4"/>
      <c r="Q1" s="4"/>
      <c r="R1" s="1" t="s">
        <v>0</v>
      </c>
      <c r="S1" s="1" t="s">
        <v>0</v>
      </c>
      <c r="T1" s="1" t="s">
        <v>0</v>
      </c>
    </row>
    <row r="2" s="1" customFormat="1" customHeight="1" spans="1:20">
      <c r="A2" s="4"/>
      <c r="B2" s="4"/>
      <c r="C2" s="5"/>
      <c r="D2" s="5"/>
      <c r="G2" s="7"/>
      <c r="H2" s="7"/>
      <c r="I2" s="7"/>
      <c r="J2" s="4"/>
      <c r="K2" s="4"/>
      <c r="L2" s="4"/>
      <c r="M2" s="4"/>
      <c r="N2" s="4"/>
      <c r="O2" s="4"/>
      <c r="P2" s="4"/>
      <c r="Q2" s="4"/>
      <c r="R2" s="1" t="s">
        <v>0</v>
      </c>
      <c r="S2" s="1" t="s">
        <v>0</v>
      </c>
      <c r="T2" s="1" t="s">
        <v>0</v>
      </c>
    </row>
    <row r="3" s="1" customFormat="1" customHeight="1" spans="1:17">
      <c r="A3" s="4"/>
      <c r="B3" s="4"/>
      <c r="C3" s="8" t="s">
        <v>1</v>
      </c>
      <c r="D3" s="8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0" t="s">
        <v>7</v>
      </c>
      <c r="J3" s="9" t="s">
        <v>8</v>
      </c>
      <c r="K3" s="9" t="s">
        <v>9</v>
      </c>
      <c r="L3" s="9" t="s">
        <v>10</v>
      </c>
      <c r="M3" s="9" t="s">
        <v>11</v>
      </c>
      <c r="N3" s="9" t="s">
        <v>12</v>
      </c>
      <c r="O3" s="9" t="s">
        <v>13</v>
      </c>
      <c r="P3" s="9" t="s">
        <v>14</v>
      </c>
      <c r="Q3" s="9" t="s">
        <v>15</v>
      </c>
    </row>
    <row r="4" s="1" customFormat="1" customHeight="1" spans="1:17">
      <c r="A4" s="4"/>
      <c r="B4" s="4"/>
      <c r="C4" s="8" t="s">
        <v>16</v>
      </c>
      <c r="D4" s="8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10" t="s">
        <v>7</v>
      </c>
      <c r="J4" s="9" t="s">
        <v>8</v>
      </c>
      <c r="K4" s="9" t="s">
        <v>9</v>
      </c>
      <c r="L4" s="9" t="s">
        <v>10</v>
      </c>
      <c r="M4" s="9" t="s">
        <v>11</v>
      </c>
      <c r="N4" s="9" t="s">
        <v>12</v>
      </c>
      <c r="O4" s="9" t="s">
        <v>13</v>
      </c>
      <c r="P4" s="9" t="s">
        <v>14</v>
      </c>
      <c r="Q4" s="9" t="s">
        <v>15</v>
      </c>
    </row>
    <row r="5" s="1" customFormat="1" customHeight="1" spans="1:17">
      <c r="A5" s="4"/>
      <c r="B5" s="4"/>
      <c r="C5" s="8" t="s">
        <v>17</v>
      </c>
      <c r="D5" s="8" t="s">
        <v>17</v>
      </c>
      <c r="E5" s="9" t="s">
        <v>17</v>
      </c>
      <c r="F5" s="9" t="s">
        <v>18</v>
      </c>
      <c r="G5" s="10" t="s">
        <v>18</v>
      </c>
      <c r="H5" s="10" t="s">
        <v>18</v>
      </c>
      <c r="I5" s="10" t="s">
        <v>18</v>
      </c>
      <c r="J5" s="9" t="s">
        <v>17</v>
      </c>
      <c r="K5" s="9" t="s">
        <v>17</v>
      </c>
      <c r="L5" s="9" t="s">
        <v>17</v>
      </c>
      <c r="M5" s="9" t="s">
        <v>17</v>
      </c>
      <c r="N5" s="9" t="s">
        <v>17</v>
      </c>
      <c r="O5" s="9" t="s">
        <v>17</v>
      </c>
      <c r="P5" s="9" t="s">
        <v>19</v>
      </c>
      <c r="Q5" s="9" t="s">
        <v>19</v>
      </c>
    </row>
    <row r="6" customHeight="1" spans="3:20">
      <c r="C6" s="5">
        <v>1</v>
      </c>
      <c r="D6" s="5">
        <v>1</v>
      </c>
      <c r="E6" s="1">
        <v>1</v>
      </c>
      <c r="F6" s="1" t="s">
        <v>20</v>
      </c>
      <c r="G6" s="14" t="s">
        <v>21</v>
      </c>
      <c r="H6" s="14" t="s">
        <v>21</v>
      </c>
      <c r="I6" s="14" t="s">
        <v>22</v>
      </c>
      <c r="J6" s="2">
        <v>0</v>
      </c>
      <c r="K6" s="2">
        <v>1800</v>
      </c>
      <c r="L6" s="2">
        <v>1800</v>
      </c>
      <c r="M6" s="2">
        <v>1800</v>
      </c>
      <c r="N6" s="2">
        <v>99</v>
      </c>
      <c r="O6" s="2">
        <v>0</v>
      </c>
      <c r="P6" s="15" t="s">
        <v>23</v>
      </c>
      <c r="Q6" s="15" t="s">
        <v>24</v>
      </c>
      <c r="R6" s="4">
        <v>1</v>
      </c>
      <c r="S6" s="4">
        <v>1</v>
      </c>
      <c r="T6" s="4">
        <v>1</v>
      </c>
    </row>
    <row r="7" customHeight="1" spans="3:20">
      <c r="C7" s="5">
        <v>2</v>
      </c>
      <c r="D7" s="5">
        <v>1</v>
      </c>
      <c r="E7" s="1">
        <v>2</v>
      </c>
      <c r="F7" s="1" t="s">
        <v>20</v>
      </c>
      <c r="G7" s="11">
        <f t="shared" ref="G7:I7" si="0">G6*R7</f>
        <v>33000</v>
      </c>
      <c r="H7" s="11">
        <f t="shared" si="0"/>
        <v>33000</v>
      </c>
      <c r="I7" s="11">
        <f t="shared" si="0"/>
        <v>11000000</v>
      </c>
      <c r="J7" s="2">
        <v>0</v>
      </c>
      <c r="K7" s="2">
        <v>1800</v>
      </c>
      <c r="L7" s="2">
        <v>1800</v>
      </c>
      <c r="M7" s="2">
        <v>1800</v>
      </c>
      <c r="N7" s="2">
        <v>99</v>
      </c>
      <c r="O7" s="2">
        <v>0</v>
      </c>
      <c r="P7" s="15" t="s">
        <v>23</v>
      </c>
      <c r="Q7" s="15" t="s">
        <v>24</v>
      </c>
      <c r="R7" s="4">
        <v>1.1</v>
      </c>
      <c r="S7" s="4">
        <v>1.1</v>
      </c>
      <c r="T7" s="4">
        <v>1.1</v>
      </c>
    </row>
    <row r="8" customHeight="1" spans="3:20">
      <c r="C8" s="5">
        <v>3</v>
      </c>
      <c r="D8" s="5">
        <v>1</v>
      </c>
      <c r="E8" s="1">
        <v>3</v>
      </c>
      <c r="F8" s="1" t="s">
        <v>25</v>
      </c>
      <c r="G8" s="11">
        <f t="shared" ref="G8:I8" si="1">G6*R8</f>
        <v>34500</v>
      </c>
      <c r="H8" s="11">
        <f t="shared" si="1"/>
        <v>34500</v>
      </c>
      <c r="I8" s="11">
        <f t="shared" si="1"/>
        <v>12000000</v>
      </c>
      <c r="J8" s="2">
        <v>0</v>
      </c>
      <c r="K8" s="2">
        <v>1800</v>
      </c>
      <c r="L8" s="2">
        <v>1800</v>
      </c>
      <c r="M8" s="2">
        <v>1800</v>
      </c>
      <c r="N8" s="2">
        <v>99</v>
      </c>
      <c r="O8" s="2">
        <v>0</v>
      </c>
      <c r="P8" s="15" t="s">
        <v>26</v>
      </c>
      <c r="Q8" s="15" t="s">
        <v>24</v>
      </c>
      <c r="R8" s="4">
        <v>1.15</v>
      </c>
      <c r="S8" s="4">
        <v>1.15</v>
      </c>
      <c r="T8" s="4">
        <v>1.2</v>
      </c>
    </row>
    <row r="9" customHeight="1" spans="3:20">
      <c r="C9" s="5">
        <v>4</v>
      </c>
      <c r="D9" s="5">
        <v>1</v>
      </c>
      <c r="E9" s="1">
        <v>4</v>
      </c>
      <c r="F9" s="1" t="s">
        <v>25</v>
      </c>
      <c r="G9" s="11">
        <f t="shared" ref="G9:I9" si="2">G6*R9</f>
        <v>36000</v>
      </c>
      <c r="H9" s="11">
        <f t="shared" si="2"/>
        <v>36000</v>
      </c>
      <c r="I9" s="11">
        <f t="shared" si="2"/>
        <v>13000000</v>
      </c>
      <c r="J9" s="2">
        <v>0</v>
      </c>
      <c r="K9" s="2">
        <v>1800</v>
      </c>
      <c r="L9" s="2">
        <v>1800</v>
      </c>
      <c r="M9" s="2">
        <v>1800</v>
      </c>
      <c r="N9" s="2">
        <v>99</v>
      </c>
      <c r="O9" s="2">
        <v>0</v>
      </c>
      <c r="P9" s="15" t="s">
        <v>27</v>
      </c>
      <c r="Q9" s="15" t="s">
        <v>24</v>
      </c>
      <c r="R9" s="4">
        <v>1.2</v>
      </c>
      <c r="S9" s="4">
        <v>1.2</v>
      </c>
      <c r="T9" s="4">
        <v>1.3</v>
      </c>
    </row>
    <row r="10" s="2" customFormat="1" customHeight="1" spans="3:20">
      <c r="C10" s="5">
        <v>5</v>
      </c>
      <c r="D10" s="5">
        <v>1</v>
      </c>
      <c r="E10" s="5">
        <v>5</v>
      </c>
      <c r="F10" s="5" t="s">
        <v>28</v>
      </c>
      <c r="G10" s="11">
        <f>G6*R10</f>
        <v>37500</v>
      </c>
      <c r="H10" s="11">
        <f t="shared" ref="G10:I10" si="3">H6*S10</f>
        <v>37500</v>
      </c>
      <c r="I10" s="11">
        <f t="shared" si="3"/>
        <v>15000000</v>
      </c>
      <c r="J10" s="2">
        <v>0</v>
      </c>
      <c r="K10" s="2">
        <v>1800</v>
      </c>
      <c r="L10" s="2">
        <v>1800</v>
      </c>
      <c r="M10" s="2">
        <v>1800</v>
      </c>
      <c r="N10" s="2">
        <v>99</v>
      </c>
      <c r="O10" s="2">
        <v>0</v>
      </c>
      <c r="P10" s="15" t="s">
        <v>29</v>
      </c>
      <c r="Q10" s="15" t="s">
        <v>30</v>
      </c>
      <c r="R10" s="2">
        <v>1.25</v>
      </c>
      <c r="S10" s="2">
        <v>1.25</v>
      </c>
      <c r="T10" s="2">
        <v>1.5</v>
      </c>
    </row>
    <row r="11" s="3" customFormat="1" customHeight="1" spans="3:20">
      <c r="C11" s="5">
        <v>6</v>
      </c>
      <c r="D11" s="5">
        <v>2</v>
      </c>
      <c r="E11" s="12">
        <v>1</v>
      </c>
      <c r="F11" s="12" t="s">
        <v>31</v>
      </c>
      <c r="G11" s="16" t="s">
        <v>32</v>
      </c>
      <c r="H11" s="16" t="s">
        <v>32</v>
      </c>
      <c r="I11" s="16" t="s">
        <v>33</v>
      </c>
      <c r="J11" s="3">
        <v>0</v>
      </c>
      <c r="K11" s="3">
        <v>1800</v>
      </c>
      <c r="L11" s="3">
        <v>1800</v>
      </c>
      <c r="M11" s="3">
        <v>1800</v>
      </c>
      <c r="N11" s="3">
        <v>99</v>
      </c>
      <c r="O11" s="3">
        <v>0</v>
      </c>
      <c r="P11" s="15" t="s">
        <v>23</v>
      </c>
      <c r="Q11" s="15" t="s">
        <v>24</v>
      </c>
      <c r="R11" s="3">
        <v>1</v>
      </c>
      <c r="S11" s="3">
        <v>1</v>
      </c>
      <c r="T11" s="3">
        <v>1</v>
      </c>
    </row>
    <row r="12" s="2" customFormat="1" customHeight="1" spans="3:20">
      <c r="C12" s="5">
        <v>7</v>
      </c>
      <c r="D12" s="5">
        <v>2</v>
      </c>
      <c r="E12" s="5">
        <v>2</v>
      </c>
      <c r="F12" s="5" t="s">
        <v>31</v>
      </c>
      <c r="G12" s="11">
        <f t="shared" ref="G12:I12" si="4">G11*R12</f>
        <v>55000</v>
      </c>
      <c r="H12" s="11">
        <f t="shared" si="4"/>
        <v>55000</v>
      </c>
      <c r="I12" s="11">
        <f t="shared" si="4"/>
        <v>22000000</v>
      </c>
      <c r="J12" s="2">
        <v>0</v>
      </c>
      <c r="K12" s="2">
        <v>1800</v>
      </c>
      <c r="L12" s="2">
        <v>1800</v>
      </c>
      <c r="M12" s="2">
        <v>1800</v>
      </c>
      <c r="N12" s="2">
        <v>99</v>
      </c>
      <c r="O12" s="2">
        <v>0</v>
      </c>
      <c r="P12" s="15" t="s">
        <v>23</v>
      </c>
      <c r="Q12" s="15" t="s">
        <v>24</v>
      </c>
      <c r="R12" s="2">
        <v>1.1</v>
      </c>
      <c r="S12" s="2">
        <v>1.1</v>
      </c>
      <c r="T12" s="2">
        <v>1.1</v>
      </c>
    </row>
    <row r="13" s="2" customFormat="1" customHeight="1" spans="3:20">
      <c r="C13" s="5">
        <v>8</v>
      </c>
      <c r="D13" s="5">
        <v>2</v>
      </c>
      <c r="E13" s="5">
        <v>3</v>
      </c>
      <c r="F13" s="5" t="s">
        <v>31</v>
      </c>
      <c r="G13" s="11">
        <f t="shared" ref="G13:I13" si="5">G11*R13</f>
        <v>57500</v>
      </c>
      <c r="H13" s="11">
        <f t="shared" si="5"/>
        <v>57500</v>
      </c>
      <c r="I13" s="11">
        <f t="shared" si="5"/>
        <v>24000000</v>
      </c>
      <c r="J13" s="2">
        <v>0</v>
      </c>
      <c r="K13" s="2">
        <v>1800</v>
      </c>
      <c r="L13" s="2">
        <v>1800</v>
      </c>
      <c r="M13" s="2">
        <v>1800</v>
      </c>
      <c r="N13" s="2">
        <v>99</v>
      </c>
      <c r="O13" s="2">
        <v>0</v>
      </c>
      <c r="P13" s="15" t="s">
        <v>26</v>
      </c>
      <c r="Q13" s="15" t="s">
        <v>24</v>
      </c>
      <c r="R13" s="2">
        <v>1.15</v>
      </c>
      <c r="S13" s="2">
        <v>1.15</v>
      </c>
      <c r="T13" s="2">
        <v>1.2</v>
      </c>
    </row>
    <row r="14" s="2" customFormat="1" customHeight="1" spans="3:20">
      <c r="C14" s="5">
        <v>9</v>
      </c>
      <c r="D14" s="5">
        <v>2</v>
      </c>
      <c r="E14" s="5">
        <v>4</v>
      </c>
      <c r="F14" s="5" t="s">
        <v>31</v>
      </c>
      <c r="G14" s="11">
        <f t="shared" ref="G14:I14" si="6">G11*R14</f>
        <v>60000</v>
      </c>
      <c r="H14" s="11">
        <f t="shared" si="6"/>
        <v>60000</v>
      </c>
      <c r="I14" s="11">
        <f t="shared" si="6"/>
        <v>26000000</v>
      </c>
      <c r="J14" s="2">
        <v>0</v>
      </c>
      <c r="K14" s="2">
        <v>1800</v>
      </c>
      <c r="L14" s="2">
        <v>1800</v>
      </c>
      <c r="M14" s="2">
        <v>1800</v>
      </c>
      <c r="N14" s="2">
        <v>99</v>
      </c>
      <c r="O14" s="2">
        <v>0</v>
      </c>
      <c r="P14" s="15" t="s">
        <v>27</v>
      </c>
      <c r="Q14" s="15" t="s">
        <v>24</v>
      </c>
      <c r="R14" s="2">
        <v>1.2</v>
      </c>
      <c r="S14" s="2">
        <v>1.2</v>
      </c>
      <c r="T14" s="2">
        <v>1.3</v>
      </c>
    </row>
    <row r="15" s="2" customFormat="1" customHeight="1" spans="3:20">
      <c r="C15" s="5">
        <v>10</v>
      </c>
      <c r="D15" s="5">
        <v>2</v>
      </c>
      <c r="E15" s="5">
        <v>5</v>
      </c>
      <c r="F15" s="5" t="s">
        <v>34</v>
      </c>
      <c r="G15" s="11">
        <f>G11*R15</f>
        <v>62500</v>
      </c>
      <c r="H15" s="11">
        <f t="shared" ref="G15:I15" si="7">H11*S15</f>
        <v>62500</v>
      </c>
      <c r="I15" s="11">
        <f t="shared" si="7"/>
        <v>30000000</v>
      </c>
      <c r="J15" s="2">
        <v>0</v>
      </c>
      <c r="K15" s="2">
        <v>1800</v>
      </c>
      <c r="L15" s="2">
        <v>1800</v>
      </c>
      <c r="M15" s="2">
        <v>1800</v>
      </c>
      <c r="N15" s="2">
        <v>99</v>
      </c>
      <c r="O15" s="2">
        <v>0</v>
      </c>
      <c r="P15" s="15" t="s">
        <v>29</v>
      </c>
      <c r="Q15" s="15" t="s">
        <v>35</v>
      </c>
      <c r="R15" s="2">
        <v>1.25</v>
      </c>
      <c r="S15" s="2">
        <v>1.25</v>
      </c>
      <c r="T15" s="2">
        <v>1.5</v>
      </c>
    </row>
    <row r="16" s="3" customFormat="1" customHeight="1" spans="3:20">
      <c r="C16" s="5">
        <v>11</v>
      </c>
      <c r="D16" s="5">
        <v>3</v>
      </c>
      <c r="E16" s="12">
        <v>1</v>
      </c>
      <c r="F16" s="12" t="s">
        <v>36</v>
      </c>
      <c r="G16" s="16" t="s">
        <v>37</v>
      </c>
      <c r="H16" s="16" t="s">
        <v>37</v>
      </c>
      <c r="I16" s="16" t="s">
        <v>38</v>
      </c>
      <c r="J16" s="3">
        <v>0</v>
      </c>
      <c r="K16" s="3">
        <v>1800</v>
      </c>
      <c r="L16" s="3">
        <v>1800</v>
      </c>
      <c r="M16" s="3">
        <v>1800</v>
      </c>
      <c r="N16" s="3">
        <v>99</v>
      </c>
      <c r="O16" s="3">
        <v>0</v>
      </c>
      <c r="P16" s="15" t="s">
        <v>23</v>
      </c>
      <c r="Q16" s="15" t="s">
        <v>24</v>
      </c>
      <c r="R16" s="3">
        <v>1</v>
      </c>
      <c r="S16" s="3">
        <v>1</v>
      </c>
      <c r="T16" s="3">
        <v>1</v>
      </c>
    </row>
    <row r="17" s="2" customFormat="1" customHeight="1" spans="3:20">
      <c r="C17" s="5">
        <v>12</v>
      </c>
      <c r="D17" s="5">
        <v>3</v>
      </c>
      <c r="E17" s="5">
        <v>2</v>
      </c>
      <c r="F17" s="5" t="s">
        <v>36</v>
      </c>
      <c r="G17" s="11">
        <f t="shared" ref="G17:I17" si="8">G16*R17</f>
        <v>77000</v>
      </c>
      <c r="H17" s="11">
        <f t="shared" si="8"/>
        <v>77000</v>
      </c>
      <c r="I17" s="11">
        <f t="shared" si="8"/>
        <v>44000000</v>
      </c>
      <c r="J17" s="2">
        <v>0</v>
      </c>
      <c r="K17" s="2">
        <v>1800</v>
      </c>
      <c r="L17" s="2">
        <v>1800</v>
      </c>
      <c r="M17" s="2">
        <v>1800</v>
      </c>
      <c r="N17" s="2">
        <v>99</v>
      </c>
      <c r="O17" s="2">
        <v>0</v>
      </c>
      <c r="P17" s="15" t="s">
        <v>23</v>
      </c>
      <c r="Q17" s="15" t="s">
        <v>24</v>
      </c>
      <c r="R17" s="2">
        <v>1.1</v>
      </c>
      <c r="S17" s="2">
        <v>1.1</v>
      </c>
      <c r="T17" s="2">
        <v>1.1</v>
      </c>
    </row>
    <row r="18" s="2" customFormat="1" customHeight="1" spans="3:20">
      <c r="C18" s="5">
        <v>13</v>
      </c>
      <c r="D18" s="5">
        <v>3</v>
      </c>
      <c r="E18" s="5">
        <v>3</v>
      </c>
      <c r="F18" s="5" t="s">
        <v>36</v>
      </c>
      <c r="G18" s="11">
        <f t="shared" ref="G18:I18" si="9">G16*R18</f>
        <v>80500</v>
      </c>
      <c r="H18" s="11">
        <f t="shared" si="9"/>
        <v>80500</v>
      </c>
      <c r="I18" s="11">
        <f t="shared" si="9"/>
        <v>48000000</v>
      </c>
      <c r="J18" s="2">
        <v>0</v>
      </c>
      <c r="K18" s="2">
        <v>1800</v>
      </c>
      <c r="L18" s="2">
        <v>1800</v>
      </c>
      <c r="M18" s="2">
        <v>1800</v>
      </c>
      <c r="N18" s="2">
        <v>99</v>
      </c>
      <c r="O18" s="2">
        <v>0</v>
      </c>
      <c r="P18" s="15" t="s">
        <v>26</v>
      </c>
      <c r="Q18" s="15" t="s">
        <v>24</v>
      </c>
      <c r="R18" s="2">
        <v>1.15</v>
      </c>
      <c r="S18" s="2">
        <v>1.15</v>
      </c>
      <c r="T18" s="2">
        <v>1.2</v>
      </c>
    </row>
    <row r="19" s="2" customFormat="1" customHeight="1" spans="3:20">
      <c r="C19" s="5">
        <v>14</v>
      </c>
      <c r="D19" s="5">
        <v>3</v>
      </c>
      <c r="E19" s="5">
        <v>4</v>
      </c>
      <c r="F19" s="5" t="s">
        <v>36</v>
      </c>
      <c r="G19" s="11">
        <f t="shared" ref="G19:I19" si="10">G16*R19</f>
        <v>84000</v>
      </c>
      <c r="H19" s="11">
        <f t="shared" si="10"/>
        <v>84000</v>
      </c>
      <c r="I19" s="11">
        <f t="shared" si="10"/>
        <v>52000000</v>
      </c>
      <c r="J19" s="2">
        <v>0</v>
      </c>
      <c r="K19" s="2">
        <v>1800</v>
      </c>
      <c r="L19" s="2">
        <v>1800</v>
      </c>
      <c r="M19" s="2">
        <v>1800</v>
      </c>
      <c r="N19" s="2">
        <v>99</v>
      </c>
      <c r="O19" s="2">
        <v>0</v>
      </c>
      <c r="P19" s="15" t="s">
        <v>27</v>
      </c>
      <c r="Q19" s="15" t="s">
        <v>24</v>
      </c>
      <c r="R19" s="2">
        <v>1.2</v>
      </c>
      <c r="S19" s="2">
        <v>1.2</v>
      </c>
      <c r="T19" s="2">
        <v>1.3</v>
      </c>
    </row>
    <row r="20" s="2" customFormat="1" customHeight="1" spans="3:20">
      <c r="C20" s="5">
        <v>15</v>
      </c>
      <c r="D20" s="5">
        <v>3</v>
      </c>
      <c r="E20" s="5">
        <v>5</v>
      </c>
      <c r="F20" s="5" t="s">
        <v>39</v>
      </c>
      <c r="G20" s="11">
        <f>G16*R20</f>
        <v>87500</v>
      </c>
      <c r="H20" s="11">
        <f t="shared" ref="G20:I20" si="11">H16*S20</f>
        <v>87500</v>
      </c>
      <c r="I20" s="11">
        <f t="shared" si="11"/>
        <v>60000000</v>
      </c>
      <c r="J20" s="2">
        <v>0</v>
      </c>
      <c r="K20" s="2">
        <v>1800</v>
      </c>
      <c r="L20" s="2">
        <v>1800</v>
      </c>
      <c r="M20" s="2">
        <v>1800</v>
      </c>
      <c r="N20" s="2">
        <v>99</v>
      </c>
      <c r="O20" s="2">
        <v>0</v>
      </c>
      <c r="P20" s="15" t="s">
        <v>29</v>
      </c>
      <c r="Q20" s="15" t="s">
        <v>35</v>
      </c>
      <c r="R20" s="2">
        <v>1.25</v>
      </c>
      <c r="S20" s="2">
        <v>1.25</v>
      </c>
      <c r="T20" s="2">
        <v>1.5</v>
      </c>
    </row>
    <row r="21" s="3" customFormat="1" customHeight="1" spans="3:20">
      <c r="C21" s="5">
        <v>16</v>
      </c>
      <c r="D21" s="5">
        <v>4</v>
      </c>
      <c r="E21" s="12">
        <v>1</v>
      </c>
      <c r="F21" s="12" t="s">
        <v>40</v>
      </c>
      <c r="G21" s="16" t="s">
        <v>41</v>
      </c>
      <c r="H21" s="16" t="s">
        <v>41</v>
      </c>
      <c r="I21" s="16" t="s">
        <v>42</v>
      </c>
      <c r="J21" s="3">
        <v>0</v>
      </c>
      <c r="K21" s="3">
        <v>1800</v>
      </c>
      <c r="L21" s="3">
        <v>1800</v>
      </c>
      <c r="M21" s="3">
        <v>1800</v>
      </c>
      <c r="N21" s="3">
        <v>99</v>
      </c>
      <c r="O21" s="3">
        <v>0</v>
      </c>
      <c r="P21" s="15" t="s">
        <v>23</v>
      </c>
      <c r="Q21" s="15" t="s">
        <v>24</v>
      </c>
      <c r="R21" s="3">
        <v>1</v>
      </c>
      <c r="S21" s="3">
        <v>1</v>
      </c>
      <c r="T21" s="3">
        <v>1</v>
      </c>
    </row>
    <row r="22" s="2" customFormat="1" customHeight="1" spans="3:20">
      <c r="C22" s="5">
        <v>17</v>
      </c>
      <c r="D22" s="5">
        <v>4</v>
      </c>
      <c r="E22" s="5">
        <v>2</v>
      </c>
      <c r="F22" s="5" t="s">
        <v>40</v>
      </c>
      <c r="G22" s="11">
        <f t="shared" ref="G22:I22" si="12">G21*R22</f>
        <v>99000</v>
      </c>
      <c r="H22" s="11">
        <f t="shared" si="12"/>
        <v>99000</v>
      </c>
      <c r="I22" s="11">
        <f t="shared" si="12"/>
        <v>77000000</v>
      </c>
      <c r="J22" s="2">
        <v>0</v>
      </c>
      <c r="K22" s="2">
        <v>1800</v>
      </c>
      <c r="L22" s="2">
        <v>1800</v>
      </c>
      <c r="M22" s="2">
        <v>1800</v>
      </c>
      <c r="N22" s="2">
        <v>99</v>
      </c>
      <c r="O22" s="2">
        <v>0</v>
      </c>
      <c r="P22" s="15" t="s">
        <v>43</v>
      </c>
      <c r="Q22" s="15" t="s">
        <v>24</v>
      </c>
      <c r="R22" s="2">
        <v>1.1</v>
      </c>
      <c r="S22" s="2">
        <v>1.1</v>
      </c>
      <c r="T22" s="2">
        <v>1.1</v>
      </c>
    </row>
    <row r="23" s="2" customFormat="1" customHeight="1" spans="3:20">
      <c r="C23" s="5">
        <v>18</v>
      </c>
      <c r="D23" s="5">
        <v>4</v>
      </c>
      <c r="E23" s="5">
        <v>3</v>
      </c>
      <c r="F23" s="5" t="s">
        <v>40</v>
      </c>
      <c r="G23" s="11">
        <f t="shared" ref="G23:I23" si="13">G21*R23</f>
        <v>103500</v>
      </c>
      <c r="H23" s="11">
        <f t="shared" si="13"/>
        <v>103500</v>
      </c>
      <c r="I23" s="11">
        <f t="shared" si="13"/>
        <v>84000000</v>
      </c>
      <c r="J23" s="2">
        <v>0</v>
      </c>
      <c r="K23" s="2">
        <v>1800</v>
      </c>
      <c r="L23" s="2">
        <v>1800</v>
      </c>
      <c r="M23" s="2">
        <v>1800</v>
      </c>
      <c r="N23" s="2">
        <v>99</v>
      </c>
      <c r="O23" s="2">
        <v>0</v>
      </c>
      <c r="P23" s="15" t="s">
        <v>26</v>
      </c>
      <c r="Q23" s="15" t="s">
        <v>24</v>
      </c>
      <c r="R23" s="2">
        <v>1.15</v>
      </c>
      <c r="S23" s="2">
        <v>1.15</v>
      </c>
      <c r="T23" s="2">
        <v>1.2</v>
      </c>
    </row>
    <row r="24" s="2" customFormat="1" customHeight="1" spans="3:20">
      <c r="C24" s="5">
        <v>19</v>
      </c>
      <c r="D24" s="5">
        <v>4</v>
      </c>
      <c r="E24" s="5">
        <v>4</v>
      </c>
      <c r="F24" s="5" t="s">
        <v>40</v>
      </c>
      <c r="G24" s="11">
        <f t="shared" ref="G24:I24" si="14">G21*R24</f>
        <v>108000</v>
      </c>
      <c r="H24" s="11">
        <f t="shared" si="14"/>
        <v>108000</v>
      </c>
      <c r="I24" s="11">
        <f t="shared" si="14"/>
        <v>91000000</v>
      </c>
      <c r="J24" s="2">
        <v>0</v>
      </c>
      <c r="K24" s="2">
        <v>1800</v>
      </c>
      <c r="L24" s="2">
        <v>1800</v>
      </c>
      <c r="M24" s="2">
        <v>1800</v>
      </c>
      <c r="N24" s="2">
        <v>99</v>
      </c>
      <c r="O24" s="2">
        <v>0</v>
      </c>
      <c r="P24" s="15" t="s">
        <v>27</v>
      </c>
      <c r="Q24" s="15" t="s">
        <v>24</v>
      </c>
      <c r="R24" s="2">
        <v>1.2</v>
      </c>
      <c r="S24" s="2">
        <v>1.2</v>
      </c>
      <c r="T24" s="2">
        <v>1.3</v>
      </c>
    </row>
    <row r="25" s="2" customFormat="1" customHeight="1" spans="3:20">
      <c r="C25" s="5">
        <v>20</v>
      </c>
      <c r="D25" s="5">
        <v>4</v>
      </c>
      <c r="E25" s="5">
        <v>5</v>
      </c>
      <c r="F25" s="5" t="s">
        <v>44</v>
      </c>
      <c r="G25" s="11">
        <f t="shared" ref="G25:I25" si="15">G21*R25</f>
        <v>112500</v>
      </c>
      <c r="H25" s="11">
        <f t="shared" si="15"/>
        <v>112500</v>
      </c>
      <c r="I25" s="11">
        <f t="shared" si="15"/>
        <v>105000000</v>
      </c>
      <c r="J25" s="2">
        <v>0</v>
      </c>
      <c r="K25" s="2">
        <v>1800</v>
      </c>
      <c r="L25" s="2">
        <v>1800</v>
      </c>
      <c r="M25" s="2">
        <v>1800</v>
      </c>
      <c r="N25" s="2">
        <v>99</v>
      </c>
      <c r="O25" s="2">
        <v>0</v>
      </c>
      <c r="P25" s="15" t="s">
        <v>29</v>
      </c>
      <c r="Q25" s="15" t="s">
        <v>35</v>
      </c>
      <c r="R25" s="2">
        <v>1.25</v>
      </c>
      <c r="S25" s="2">
        <v>1.25</v>
      </c>
      <c r="T25" s="2">
        <v>1.5</v>
      </c>
    </row>
    <row r="26" s="3" customFormat="1" customHeight="1" spans="3:20">
      <c r="C26" s="5">
        <v>21</v>
      </c>
      <c r="D26" s="5">
        <v>5</v>
      </c>
      <c r="E26" s="12">
        <v>1</v>
      </c>
      <c r="F26" s="12" t="s">
        <v>45</v>
      </c>
      <c r="G26" s="16" t="s">
        <v>46</v>
      </c>
      <c r="H26" s="16" t="s">
        <v>46</v>
      </c>
      <c r="I26" s="16" t="s">
        <v>47</v>
      </c>
      <c r="J26" s="3">
        <v>0</v>
      </c>
      <c r="K26" s="3">
        <v>1800</v>
      </c>
      <c r="L26" s="3">
        <v>1800</v>
      </c>
      <c r="M26" s="3">
        <v>1800</v>
      </c>
      <c r="N26" s="3">
        <v>99</v>
      </c>
      <c r="O26" s="3">
        <v>0</v>
      </c>
      <c r="P26" s="15" t="s">
        <v>27</v>
      </c>
      <c r="Q26" s="15" t="s">
        <v>24</v>
      </c>
      <c r="R26" s="3">
        <v>1</v>
      </c>
      <c r="S26" s="3">
        <v>1</v>
      </c>
      <c r="T26" s="3">
        <v>1</v>
      </c>
    </row>
    <row r="27" s="2" customFormat="1" customHeight="1" spans="3:20">
      <c r="C27" s="5">
        <v>22</v>
      </c>
      <c r="D27" s="5">
        <v>5</v>
      </c>
      <c r="E27" s="5">
        <v>2</v>
      </c>
      <c r="F27" s="5" t="s">
        <v>45</v>
      </c>
      <c r="G27" s="11">
        <f t="shared" ref="G27:I27" si="16">G26*R27</f>
        <v>132000</v>
      </c>
      <c r="H27" s="11">
        <f t="shared" si="16"/>
        <v>132000</v>
      </c>
      <c r="I27" s="11">
        <f t="shared" si="16"/>
        <v>110000000</v>
      </c>
      <c r="J27" s="2">
        <v>0</v>
      </c>
      <c r="K27" s="2">
        <v>1800</v>
      </c>
      <c r="L27" s="2">
        <v>1800</v>
      </c>
      <c r="M27" s="2">
        <v>1800</v>
      </c>
      <c r="N27" s="2">
        <v>99</v>
      </c>
      <c r="O27" s="2">
        <v>0</v>
      </c>
      <c r="P27" s="15" t="s">
        <v>48</v>
      </c>
      <c r="Q27" s="15" t="s">
        <v>24</v>
      </c>
      <c r="R27" s="2">
        <v>1.1</v>
      </c>
      <c r="S27" s="2">
        <v>1.1</v>
      </c>
      <c r="T27" s="2">
        <v>1.1</v>
      </c>
    </row>
    <row r="28" s="2" customFormat="1" customHeight="1" spans="3:20">
      <c r="C28" s="5">
        <v>23</v>
      </c>
      <c r="D28" s="5">
        <v>5</v>
      </c>
      <c r="E28" s="5">
        <v>3</v>
      </c>
      <c r="F28" s="5" t="s">
        <v>45</v>
      </c>
      <c r="G28" s="11">
        <f t="shared" ref="G28:I28" si="17">G26*R28</f>
        <v>138000</v>
      </c>
      <c r="H28" s="11">
        <f t="shared" si="17"/>
        <v>138000</v>
      </c>
      <c r="I28" s="11">
        <f t="shared" si="17"/>
        <v>120000000</v>
      </c>
      <c r="J28" s="2">
        <v>0</v>
      </c>
      <c r="K28" s="2">
        <v>1800</v>
      </c>
      <c r="L28" s="2">
        <v>1800</v>
      </c>
      <c r="M28" s="2">
        <v>1800</v>
      </c>
      <c r="N28" s="2">
        <v>99</v>
      </c>
      <c r="O28" s="2">
        <v>0</v>
      </c>
      <c r="P28" s="15" t="s">
        <v>49</v>
      </c>
      <c r="Q28" s="15" t="s">
        <v>24</v>
      </c>
      <c r="R28" s="2">
        <v>1.15</v>
      </c>
      <c r="S28" s="2">
        <v>1.15</v>
      </c>
      <c r="T28" s="2">
        <v>1.2</v>
      </c>
    </row>
    <row r="29" s="2" customFormat="1" customHeight="1" spans="3:20">
      <c r="C29" s="5">
        <v>24</v>
      </c>
      <c r="D29" s="5">
        <v>5</v>
      </c>
      <c r="E29" s="5">
        <v>4</v>
      </c>
      <c r="F29" s="5" t="s">
        <v>45</v>
      </c>
      <c r="G29" s="11">
        <f t="shared" ref="G29:I29" si="18">G26*R29</f>
        <v>144000</v>
      </c>
      <c r="H29" s="11">
        <f t="shared" si="18"/>
        <v>144000</v>
      </c>
      <c r="I29" s="11">
        <f t="shared" si="18"/>
        <v>130000000</v>
      </c>
      <c r="J29" s="2">
        <v>0</v>
      </c>
      <c r="K29" s="2">
        <v>1800</v>
      </c>
      <c r="L29" s="2">
        <v>1800</v>
      </c>
      <c r="M29" s="2">
        <v>1800</v>
      </c>
      <c r="N29" s="2">
        <v>99</v>
      </c>
      <c r="O29" s="2">
        <v>0</v>
      </c>
      <c r="P29" s="15" t="s">
        <v>50</v>
      </c>
      <c r="Q29" s="15" t="s">
        <v>24</v>
      </c>
      <c r="R29" s="2">
        <v>1.2</v>
      </c>
      <c r="S29" s="2">
        <v>1.2</v>
      </c>
      <c r="T29" s="2">
        <v>1.3</v>
      </c>
    </row>
    <row r="30" s="2" customFormat="1" customHeight="1" spans="3:20">
      <c r="C30" s="5">
        <v>25</v>
      </c>
      <c r="D30" s="5">
        <v>5</v>
      </c>
      <c r="E30" s="5">
        <v>5</v>
      </c>
      <c r="F30" s="5" t="s">
        <v>51</v>
      </c>
      <c r="G30" s="11">
        <f t="shared" ref="G30:I30" si="19">G26*R30</f>
        <v>150000</v>
      </c>
      <c r="H30" s="11">
        <f t="shared" si="19"/>
        <v>150000</v>
      </c>
      <c r="I30" s="11">
        <f t="shared" si="19"/>
        <v>150000000</v>
      </c>
      <c r="J30" s="2">
        <v>0</v>
      </c>
      <c r="K30" s="2">
        <v>1800</v>
      </c>
      <c r="L30" s="2">
        <v>1800</v>
      </c>
      <c r="M30" s="2">
        <v>1800</v>
      </c>
      <c r="N30" s="2">
        <v>99</v>
      </c>
      <c r="O30" s="2">
        <v>0</v>
      </c>
      <c r="P30" s="15" t="s">
        <v>29</v>
      </c>
      <c r="Q30" s="15" t="s">
        <v>35</v>
      </c>
      <c r="R30" s="2">
        <v>1.25</v>
      </c>
      <c r="S30" s="2">
        <v>1.25</v>
      </c>
      <c r="T30" s="2">
        <v>1.5</v>
      </c>
    </row>
    <row r="31" s="3" customFormat="1" customHeight="1" spans="3:20">
      <c r="C31" s="5">
        <v>26</v>
      </c>
      <c r="D31" s="5">
        <v>6</v>
      </c>
      <c r="E31" s="12">
        <v>1</v>
      </c>
      <c r="F31" s="12" t="s">
        <v>52</v>
      </c>
      <c r="G31" s="16" t="s">
        <v>53</v>
      </c>
      <c r="H31" s="16" t="s">
        <v>53</v>
      </c>
      <c r="I31" s="16" t="s">
        <v>54</v>
      </c>
      <c r="J31" s="3">
        <v>0</v>
      </c>
      <c r="K31" s="3">
        <v>1800</v>
      </c>
      <c r="L31" s="3">
        <v>1800</v>
      </c>
      <c r="M31" s="3">
        <v>1800</v>
      </c>
      <c r="N31" s="3">
        <v>99</v>
      </c>
      <c r="O31" s="3">
        <v>0</v>
      </c>
      <c r="P31" s="15" t="s">
        <v>55</v>
      </c>
      <c r="Q31" s="15" t="s">
        <v>56</v>
      </c>
      <c r="R31" s="3">
        <v>1</v>
      </c>
      <c r="S31" s="3">
        <v>1</v>
      </c>
      <c r="T31" s="3">
        <v>1</v>
      </c>
    </row>
    <row r="32" s="2" customFormat="1" customHeight="1" spans="3:20">
      <c r="C32" s="5">
        <v>27</v>
      </c>
      <c r="D32" s="5">
        <v>6</v>
      </c>
      <c r="E32" s="5">
        <v>2</v>
      </c>
      <c r="F32" s="5" t="s">
        <v>52</v>
      </c>
      <c r="G32" s="11">
        <f t="shared" ref="G32:I32" si="20">G31*R32</f>
        <v>165000</v>
      </c>
      <c r="H32" s="11">
        <f t="shared" si="20"/>
        <v>165000</v>
      </c>
      <c r="I32" s="11">
        <f t="shared" si="20"/>
        <v>154000000</v>
      </c>
      <c r="J32" s="2">
        <v>0</v>
      </c>
      <c r="K32" s="2">
        <v>1800</v>
      </c>
      <c r="L32" s="2">
        <v>1800</v>
      </c>
      <c r="M32" s="2">
        <v>1800</v>
      </c>
      <c r="N32" s="2">
        <v>99</v>
      </c>
      <c r="O32" s="2">
        <v>0</v>
      </c>
      <c r="P32" s="15" t="s">
        <v>57</v>
      </c>
      <c r="Q32" s="15" t="s">
        <v>24</v>
      </c>
      <c r="R32" s="2">
        <v>1.1</v>
      </c>
      <c r="S32" s="2">
        <v>1.1</v>
      </c>
      <c r="T32" s="2">
        <v>1.1</v>
      </c>
    </row>
    <row r="33" s="2" customFormat="1" customHeight="1" spans="3:20">
      <c r="C33" s="5">
        <v>28</v>
      </c>
      <c r="D33" s="5">
        <v>6</v>
      </c>
      <c r="E33" s="5">
        <v>3</v>
      </c>
      <c r="F33" s="5" t="s">
        <v>52</v>
      </c>
      <c r="G33" s="11">
        <f t="shared" ref="G33:I33" si="21">G31*R33</f>
        <v>172500</v>
      </c>
      <c r="H33" s="11">
        <f t="shared" si="21"/>
        <v>172500</v>
      </c>
      <c r="I33" s="11">
        <f t="shared" si="21"/>
        <v>168000000</v>
      </c>
      <c r="J33" s="2">
        <v>0</v>
      </c>
      <c r="K33" s="2">
        <v>1800</v>
      </c>
      <c r="L33" s="2">
        <v>1800</v>
      </c>
      <c r="M33" s="2">
        <v>1800</v>
      </c>
      <c r="N33" s="2">
        <v>99</v>
      </c>
      <c r="O33" s="2">
        <v>0</v>
      </c>
      <c r="P33" s="15" t="s">
        <v>58</v>
      </c>
      <c r="Q33" s="15" t="s">
        <v>59</v>
      </c>
      <c r="R33" s="2">
        <v>1.15</v>
      </c>
      <c r="S33" s="2">
        <v>1.15</v>
      </c>
      <c r="T33" s="2">
        <v>1.2</v>
      </c>
    </row>
    <row r="34" s="2" customFormat="1" customHeight="1" spans="3:20">
      <c r="C34" s="5">
        <v>29</v>
      </c>
      <c r="D34" s="5">
        <v>6</v>
      </c>
      <c r="E34" s="5">
        <v>4</v>
      </c>
      <c r="F34" s="5" t="s">
        <v>52</v>
      </c>
      <c r="G34" s="11">
        <f t="shared" ref="G34:I34" si="22">G31*R34</f>
        <v>180000</v>
      </c>
      <c r="H34" s="11">
        <f t="shared" si="22"/>
        <v>180000</v>
      </c>
      <c r="I34" s="11">
        <f t="shared" si="22"/>
        <v>182000000</v>
      </c>
      <c r="J34" s="2">
        <v>0</v>
      </c>
      <c r="K34" s="2">
        <v>1800</v>
      </c>
      <c r="L34" s="2">
        <v>1800</v>
      </c>
      <c r="M34" s="2">
        <v>1800</v>
      </c>
      <c r="N34" s="2">
        <v>99</v>
      </c>
      <c r="O34" s="2">
        <v>0</v>
      </c>
      <c r="P34" s="15" t="s">
        <v>29</v>
      </c>
      <c r="Q34" s="15" t="s">
        <v>35</v>
      </c>
      <c r="R34" s="2">
        <v>1.2</v>
      </c>
      <c r="S34" s="2">
        <v>1.2</v>
      </c>
      <c r="T34" s="2">
        <v>1.3</v>
      </c>
    </row>
    <row r="35" s="2" customFormat="1" customHeight="1" spans="3:20">
      <c r="C35" s="5">
        <v>30</v>
      </c>
      <c r="D35" s="5">
        <v>6</v>
      </c>
      <c r="E35" s="5">
        <v>5</v>
      </c>
      <c r="F35" s="5" t="s">
        <v>60</v>
      </c>
      <c r="G35" s="11">
        <f t="shared" ref="G35:I35" si="23">G31*R35</f>
        <v>187500</v>
      </c>
      <c r="H35" s="11">
        <f t="shared" si="23"/>
        <v>187500</v>
      </c>
      <c r="I35" s="11">
        <f t="shared" si="23"/>
        <v>210000000</v>
      </c>
      <c r="J35" s="2">
        <v>0</v>
      </c>
      <c r="K35" s="2">
        <v>1800</v>
      </c>
      <c r="L35" s="2">
        <v>1800</v>
      </c>
      <c r="M35" s="2">
        <v>1800</v>
      </c>
      <c r="N35" s="2">
        <v>99</v>
      </c>
      <c r="O35" s="2">
        <v>0</v>
      </c>
      <c r="P35" s="15" t="s">
        <v>61</v>
      </c>
      <c r="Q35" s="15" t="s">
        <v>59</v>
      </c>
      <c r="R35" s="2">
        <v>1.25</v>
      </c>
      <c r="S35" s="2">
        <v>1.25</v>
      </c>
      <c r="T35" s="2">
        <v>1.5</v>
      </c>
    </row>
    <row r="36" s="3" customFormat="1" customHeight="1" spans="1:20">
      <c r="A36" s="2"/>
      <c r="B36" s="2"/>
      <c r="C36" s="5">
        <v>31</v>
      </c>
      <c r="D36" s="5">
        <v>7</v>
      </c>
      <c r="E36" s="12">
        <v>1</v>
      </c>
      <c r="F36" s="12" t="s">
        <v>62</v>
      </c>
      <c r="G36" s="16" t="s">
        <v>63</v>
      </c>
      <c r="H36" s="16" t="s">
        <v>63</v>
      </c>
      <c r="I36" s="16" t="s">
        <v>64</v>
      </c>
      <c r="J36" s="3">
        <v>0</v>
      </c>
      <c r="K36" s="3">
        <v>1800</v>
      </c>
      <c r="L36" s="3">
        <v>1800</v>
      </c>
      <c r="M36" s="3">
        <v>1800</v>
      </c>
      <c r="N36" s="3">
        <v>99</v>
      </c>
      <c r="O36" s="3">
        <v>0</v>
      </c>
      <c r="P36" s="15" t="s">
        <v>27</v>
      </c>
      <c r="Q36" s="15" t="s">
        <v>24</v>
      </c>
      <c r="R36" s="3">
        <v>1</v>
      </c>
      <c r="S36" s="3">
        <v>1</v>
      </c>
      <c r="T36" s="3">
        <v>1</v>
      </c>
    </row>
    <row r="37" s="2" customFormat="1" customHeight="1" spans="3:20">
      <c r="C37" s="5">
        <v>32</v>
      </c>
      <c r="D37" s="5">
        <v>7</v>
      </c>
      <c r="E37" s="5">
        <v>2</v>
      </c>
      <c r="F37" s="5" t="s">
        <v>62</v>
      </c>
      <c r="G37" s="11">
        <f t="shared" ref="G37:I37" si="24">G36*R37</f>
        <v>198000</v>
      </c>
      <c r="H37" s="11">
        <f t="shared" si="24"/>
        <v>198000</v>
      </c>
      <c r="I37" s="11">
        <f t="shared" si="24"/>
        <v>231000000</v>
      </c>
      <c r="J37" s="2">
        <v>0</v>
      </c>
      <c r="K37" s="2">
        <v>1800</v>
      </c>
      <c r="L37" s="2">
        <v>1800</v>
      </c>
      <c r="M37" s="2">
        <v>1800</v>
      </c>
      <c r="N37" s="2">
        <v>99</v>
      </c>
      <c r="O37" s="2">
        <v>0</v>
      </c>
      <c r="P37" s="15" t="s">
        <v>43</v>
      </c>
      <c r="Q37" s="15" t="s">
        <v>24</v>
      </c>
      <c r="R37" s="2">
        <v>1.1</v>
      </c>
      <c r="S37" s="2">
        <v>1.1</v>
      </c>
      <c r="T37" s="2">
        <v>1.1</v>
      </c>
    </row>
    <row r="38" s="2" customFormat="1" customHeight="1" spans="3:20">
      <c r="C38" s="5">
        <v>33</v>
      </c>
      <c r="D38" s="5">
        <v>7</v>
      </c>
      <c r="E38" s="5">
        <v>3</v>
      </c>
      <c r="F38" s="5" t="s">
        <v>62</v>
      </c>
      <c r="G38" s="11">
        <f t="shared" ref="G38:I38" si="25">G36*R38</f>
        <v>207000</v>
      </c>
      <c r="H38" s="11">
        <f t="shared" si="25"/>
        <v>207000</v>
      </c>
      <c r="I38" s="11">
        <f t="shared" si="25"/>
        <v>252000000</v>
      </c>
      <c r="J38" s="2">
        <v>0</v>
      </c>
      <c r="K38" s="2">
        <v>1800</v>
      </c>
      <c r="L38" s="2">
        <v>1800</v>
      </c>
      <c r="M38" s="2">
        <v>1800</v>
      </c>
      <c r="N38" s="2">
        <v>99</v>
      </c>
      <c r="O38" s="2">
        <v>0</v>
      </c>
      <c r="P38" s="15" t="s">
        <v>29</v>
      </c>
      <c r="Q38" s="15" t="s">
        <v>35</v>
      </c>
      <c r="R38" s="2">
        <v>1.15</v>
      </c>
      <c r="S38" s="2">
        <v>1.15</v>
      </c>
      <c r="T38" s="2">
        <v>1.2</v>
      </c>
    </row>
    <row r="39" s="2" customFormat="1" customHeight="1" spans="3:20">
      <c r="C39" s="5">
        <v>34</v>
      </c>
      <c r="D39" s="5">
        <v>7</v>
      </c>
      <c r="E39" s="5">
        <v>4</v>
      </c>
      <c r="F39" s="5" t="s">
        <v>62</v>
      </c>
      <c r="G39" s="11">
        <f t="shared" ref="G39:I39" si="26">G36*R39</f>
        <v>216000</v>
      </c>
      <c r="H39" s="11">
        <f t="shared" si="26"/>
        <v>216000</v>
      </c>
      <c r="I39" s="11">
        <f t="shared" si="26"/>
        <v>273000000</v>
      </c>
      <c r="J39" s="2">
        <v>0</v>
      </c>
      <c r="K39" s="2">
        <v>1800</v>
      </c>
      <c r="L39" s="2">
        <v>1800</v>
      </c>
      <c r="M39" s="2">
        <v>1800</v>
      </c>
      <c r="N39" s="2">
        <v>99</v>
      </c>
      <c r="O39" s="2">
        <v>0</v>
      </c>
      <c r="P39" s="15" t="s">
        <v>65</v>
      </c>
      <c r="Q39" s="15" t="s">
        <v>59</v>
      </c>
      <c r="R39" s="2">
        <v>1.2</v>
      </c>
      <c r="S39" s="2">
        <v>1.2</v>
      </c>
      <c r="T39" s="2">
        <v>1.3</v>
      </c>
    </row>
    <row r="40" s="2" customFormat="1" customHeight="1" spans="3:20">
      <c r="C40" s="5">
        <v>35</v>
      </c>
      <c r="D40" s="5">
        <v>7</v>
      </c>
      <c r="E40" s="5">
        <v>5</v>
      </c>
      <c r="F40" s="5" t="s">
        <v>62</v>
      </c>
      <c r="G40" s="11">
        <f t="shared" ref="G40:I40" si="27">G36*R40</f>
        <v>225000</v>
      </c>
      <c r="H40" s="11">
        <f t="shared" si="27"/>
        <v>225000</v>
      </c>
      <c r="I40" s="11">
        <f t="shared" si="27"/>
        <v>315000000</v>
      </c>
      <c r="J40" s="2">
        <v>0</v>
      </c>
      <c r="K40" s="2">
        <v>1800</v>
      </c>
      <c r="L40" s="2">
        <v>1800</v>
      </c>
      <c r="M40" s="2">
        <v>1800</v>
      </c>
      <c r="N40" s="2">
        <v>99</v>
      </c>
      <c r="O40" s="2">
        <v>0</v>
      </c>
      <c r="P40" s="15" t="s">
        <v>66</v>
      </c>
      <c r="Q40" s="15" t="s">
        <v>67</v>
      </c>
      <c r="R40" s="2">
        <v>1.25</v>
      </c>
      <c r="S40" s="2">
        <v>1.25</v>
      </c>
      <c r="T40" s="2">
        <v>1.5</v>
      </c>
    </row>
    <row r="41" s="3" customFormat="1" customHeight="1" spans="1:20">
      <c r="A41" s="2"/>
      <c r="B41" s="2"/>
      <c r="C41" s="5">
        <v>36</v>
      </c>
      <c r="D41" s="5">
        <v>8</v>
      </c>
      <c r="E41" s="12">
        <v>1</v>
      </c>
      <c r="F41" s="12" t="s">
        <v>68</v>
      </c>
      <c r="G41" s="16" t="s">
        <v>69</v>
      </c>
      <c r="H41" s="16" t="s">
        <v>69</v>
      </c>
      <c r="I41" s="16" t="s">
        <v>70</v>
      </c>
      <c r="J41" s="3">
        <v>0</v>
      </c>
      <c r="K41" s="3">
        <v>1800</v>
      </c>
      <c r="L41" s="3">
        <v>1800</v>
      </c>
      <c r="M41" s="3">
        <v>1800</v>
      </c>
      <c r="N41" s="3">
        <v>99</v>
      </c>
      <c r="O41" s="3">
        <v>0</v>
      </c>
      <c r="P41" s="15" t="s">
        <v>27</v>
      </c>
      <c r="Q41" s="15" t="s">
        <v>24</v>
      </c>
      <c r="R41" s="3">
        <v>1</v>
      </c>
      <c r="S41" s="3">
        <v>1</v>
      </c>
      <c r="T41" s="3">
        <v>1</v>
      </c>
    </row>
    <row r="42" s="2" customFormat="1" customHeight="1" spans="3:20">
      <c r="C42" s="5">
        <v>37</v>
      </c>
      <c r="D42" s="5">
        <v>8</v>
      </c>
      <c r="E42" s="5">
        <v>2</v>
      </c>
      <c r="F42" s="5" t="s">
        <v>68</v>
      </c>
      <c r="G42" s="11">
        <f t="shared" ref="G42:I42" si="28">G41*R42</f>
        <v>231000</v>
      </c>
      <c r="H42" s="11">
        <f t="shared" si="28"/>
        <v>231000</v>
      </c>
      <c r="I42" s="11">
        <f t="shared" si="28"/>
        <v>330000000</v>
      </c>
      <c r="J42" s="2">
        <v>0</v>
      </c>
      <c r="K42" s="2">
        <v>1800</v>
      </c>
      <c r="L42" s="2">
        <v>1800</v>
      </c>
      <c r="M42" s="2">
        <v>1800</v>
      </c>
      <c r="N42" s="2">
        <v>99</v>
      </c>
      <c r="O42" s="2">
        <v>0</v>
      </c>
      <c r="P42" s="15" t="s">
        <v>43</v>
      </c>
      <c r="Q42" s="15" t="s">
        <v>24</v>
      </c>
      <c r="R42" s="2">
        <v>1.1</v>
      </c>
      <c r="S42" s="2">
        <v>1.1</v>
      </c>
      <c r="T42" s="2">
        <v>1.1</v>
      </c>
    </row>
    <row r="43" s="2" customFormat="1" customHeight="1" spans="3:20">
      <c r="C43" s="5">
        <v>38</v>
      </c>
      <c r="D43" s="5">
        <v>8</v>
      </c>
      <c r="E43" s="5">
        <v>3</v>
      </c>
      <c r="F43" s="5" t="s">
        <v>68</v>
      </c>
      <c r="G43" s="11">
        <f t="shared" ref="G43:I43" si="29">G41*R43</f>
        <v>241500</v>
      </c>
      <c r="H43" s="11">
        <f t="shared" si="29"/>
        <v>241500</v>
      </c>
      <c r="I43" s="11">
        <f t="shared" si="29"/>
        <v>360000000</v>
      </c>
      <c r="J43" s="2">
        <v>0</v>
      </c>
      <c r="K43" s="2">
        <v>1800</v>
      </c>
      <c r="L43" s="2">
        <v>1800</v>
      </c>
      <c r="M43" s="2">
        <v>1800</v>
      </c>
      <c r="N43" s="2">
        <v>99</v>
      </c>
      <c r="O43" s="2">
        <v>0</v>
      </c>
      <c r="P43" s="15" t="s">
        <v>29</v>
      </c>
      <c r="Q43" s="15" t="s">
        <v>35</v>
      </c>
      <c r="R43" s="2">
        <v>1.15</v>
      </c>
      <c r="S43" s="2">
        <v>1.15</v>
      </c>
      <c r="T43" s="2">
        <v>1.2</v>
      </c>
    </row>
    <row r="44" s="2" customFormat="1" customHeight="1" spans="3:20">
      <c r="C44" s="5">
        <v>39</v>
      </c>
      <c r="D44" s="5">
        <v>8</v>
      </c>
      <c r="E44" s="5">
        <v>4</v>
      </c>
      <c r="F44" s="5" t="s">
        <v>68</v>
      </c>
      <c r="G44" s="11">
        <f t="shared" ref="G44:I44" si="30">G41*R44</f>
        <v>252000</v>
      </c>
      <c r="H44" s="11">
        <f t="shared" si="30"/>
        <v>252000</v>
      </c>
      <c r="I44" s="11">
        <f t="shared" si="30"/>
        <v>390000000</v>
      </c>
      <c r="J44" s="2">
        <v>0</v>
      </c>
      <c r="K44" s="2">
        <v>1800</v>
      </c>
      <c r="L44" s="2">
        <v>1800</v>
      </c>
      <c r="M44" s="2">
        <v>1800</v>
      </c>
      <c r="N44" s="2">
        <v>99</v>
      </c>
      <c r="O44" s="2">
        <v>0</v>
      </c>
      <c r="P44" s="15" t="s">
        <v>65</v>
      </c>
      <c r="Q44" s="15" t="s">
        <v>59</v>
      </c>
      <c r="R44" s="2">
        <v>1.2</v>
      </c>
      <c r="S44" s="2">
        <v>1.2</v>
      </c>
      <c r="T44" s="2">
        <v>1.3</v>
      </c>
    </row>
    <row r="45" s="2" customFormat="1" customHeight="1" spans="3:20">
      <c r="C45" s="5">
        <v>40</v>
      </c>
      <c r="D45" s="5">
        <v>8</v>
      </c>
      <c r="E45" s="5">
        <v>5</v>
      </c>
      <c r="F45" s="5" t="s">
        <v>71</v>
      </c>
      <c r="G45" s="11">
        <f t="shared" ref="G45:I45" si="31">G41*R45</f>
        <v>262500</v>
      </c>
      <c r="H45" s="11">
        <f t="shared" si="31"/>
        <v>262500</v>
      </c>
      <c r="I45" s="11">
        <f t="shared" si="31"/>
        <v>450000000</v>
      </c>
      <c r="J45" s="2">
        <v>0</v>
      </c>
      <c r="K45" s="2">
        <v>1800</v>
      </c>
      <c r="L45" s="2">
        <v>1800</v>
      </c>
      <c r="M45" s="2">
        <v>1800</v>
      </c>
      <c r="N45" s="2">
        <v>99</v>
      </c>
      <c r="O45" s="2">
        <v>0</v>
      </c>
      <c r="P45" s="15" t="s">
        <v>72</v>
      </c>
      <c r="Q45" s="15" t="s">
        <v>67</v>
      </c>
      <c r="R45" s="2">
        <v>1.25</v>
      </c>
      <c r="S45" s="2">
        <v>1.25</v>
      </c>
      <c r="T45" s="2">
        <v>1.5</v>
      </c>
    </row>
    <row r="46" s="3" customFormat="1" customHeight="1" spans="1:20">
      <c r="A46" s="2"/>
      <c r="B46" s="2"/>
      <c r="C46" s="5">
        <v>41</v>
      </c>
      <c r="D46" s="5">
        <v>9</v>
      </c>
      <c r="E46" s="12">
        <v>1</v>
      </c>
      <c r="F46" s="12" t="s">
        <v>73</v>
      </c>
      <c r="G46" s="16" t="s">
        <v>74</v>
      </c>
      <c r="H46" s="16" t="s">
        <v>74</v>
      </c>
      <c r="I46" s="16" t="s">
        <v>75</v>
      </c>
      <c r="J46" s="3">
        <v>0</v>
      </c>
      <c r="K46" s="3">
        <v>1800</v>
      </c>
      <c r="L46" s="3">
        <v>1800</v>
      </c>
      <c r="M46" s="3">
        <v>1800</v>
      </c>
      <c r="N46" s="3">
        <v>99</v>
      </c>
      <c r="O46" s="3">
        <v>0</v>
      </c>
      <c r="P46" s="15" t="s">
        <v>27</v>
      </c>
      <c r="Q46" s="15" t="s">
        <v>24</v>
      </c>
      <c r="R46" s="3">
        <v>1</v>
      </c>
      <c r="S46" s="3">
        <v>1</v>
      </c>
      <c r="T46" s="3">
        <v>1</v>
      </c>
    </row>
    <row r="47" s="2" customFormat="1" customHeight="1" spans="3:20">
      <c r="C47" s="5">
        <v>42</v>
      </c>
      <c r="D47" s="5">
        <v>9</v>
      </c>
      <c r="E47" s="5">
        <v>2</v>
      </c>
      <c r="F47" s="5" t="s">
        <v>73</v>
      </c>
      <c r="G47" s="11">
        <f t="shared" ref="G47:I47" si="32">G46*R47</f>
        <v>275000</v>
      </c>
      <c r="H47" s="11">
        <f t="shared" si="32"/>
        <v>275000</v>
      </c>
      <c r="I47" s="11">
        <f t="shared" si="32"/>
        <v>440000000</v>
      </c>
      <c r="J47" s="2">
        <v>0</v>
      </c>
      <c r="K47" s="2">
        <v>1800</v>
      </c>
      <c r="L47" s="2">
        <v>1800</v>
      </c>
      <c r="M47" s="2">
        <v>1800</v>
      </c>
      <c r="N47" s="2">
        <v>99</v>
      </c>
      <c r="O47" s="2">
        <v>0</v>
      </c>
      <c r="P47" s="15" t="s">
        <v>43</v>
      </c>
      <c r="Q47" s="15" t="s">
        <v>24</v>
      </c>
      <c r="R47" s="2">
        <v>1.1</v>
      </c>
      <c r="S47" s="2">
        <v>1.1</v>
      </c>
      <c r="T47" s="2">
        <v>1.1</v>
      </c>
    </row>
    <row r="48" s="2" customFormat="1" customHeight="1" spans="3:20">
      <c r="C48" s="5">
        <v>43</v>
      </c>
      <c r="D48" s="5">
        <v>9</v>
      </c>
      <c r="E48" s="5">
        <v>3</v>
      </c>
      <c r="F48" s="5" t="s">
        <v>73</v>
      </c>
      <c r="G48" s="11">
        <f t="shared" ref="G48:I48" si="33">G46*R48</f>
        <v>287500</v>
      </c>
      <c r="H48" s="11">
        <f t="shared" si="33"/>
        <v>287500</v>
      </c>
      <c r="I48" s="11">
        <f t="shared" si="33"/>
        <v>480000000</v>
      </c>
      <c r="J48" s="2">
        <v>0</v>
      </c>
      <c r="K48" s="2">
        <v>1800</v>
      </c>
      <c r="L48" s="2">
        <v>1800</v>
      </c>
      <c r="M48" s="2">
        <v>1800</v>
      </c>
      <c r="N48" s="2">
        <v>99</v>
      </c>
      <c r="O48" s="2">
        <v>0</v>
      </c>
      <c r="P48" s="15" t="s">
        <v>29</v>
      </c>
      <c r="Q48" s="15" t="s">
        <v>35</v>
      </c>
      <c r="R48" s="2">
        <v>1.15</v>
      </c>
      <c r="S48" s="2">
        <v>1.15</v>
      </c>
      <c r="T48" s="2">
        <v>1.2</v>
      </c>
    </row>
    <row r="49" s="2" customFormat="1" customHeight="1" spans="3:20">
      <c r="C49" s="5">
        <v>44</v>
      </c>
      <c r="D49" s="5">
        <v>9</v>
      </c>
      <c r="E49" s="5">
        <v>4</v>
      </c>
      <c r="F49" s="5" t="s">
        <v>73</v>
      </c>
      <c r="G49" s="11">
        <f t="shared" ref="G49:I49" si="34">G46*R49</f>
        <v>300000</v>
      </c>
      <c r="H49" s="11">
        <f t="shared" si="34"/>
        <v>300000</v>
      </c>
      <c r="I49" s="11">
        <f t="shared" si="34"/>
        <v>520000000</v>
      </c>
      <c r="J49" s="2">
        <v>0</v>
      </c>
      <c r="K49" s="2">
        <v>1800</v>
      </c>
      <c r="L49" s="2">
        <v>1800</v>
      </c>
      <c r="M49" s="2">
        <v>1800</v>
      </c>
      <c r="N49" s="2">
        <v>99</v>
      </c>
      <c r="O49" s="2">
        <v>0</v>
      </c>
      <c r="P49" s="15" t="s">
        <v>65</v>
      </c>
      <c r="Q49" s="15" t="s">
        <v>59</v>
      </c>
      <c r="R49" s="2">
        <v>1.2</v>
      </c>
      <c r="S49" s="2">
        <v>1.2</v>
      </c>
      <c r="T49" s="2">
        <v>1.3</v>
      </c>
    </row>
    <row r="50" s="2" customFormat="1" customHeight="1" spans="3:20">
      <c r="C50" s="5">
        <v>45</v>
      </c>
      <c r="D50" s="5">
        <v>9</v>
      </c>
      <c r="E50" s="5">
        <v>5</v>
      </c>
      <c r="F50" s="5" t="s">
        <v>76</v>
      </c>
      <c r="G50" s="11">
        <f t="shared" ref="G50:I50" si="35">G46*R50</f>
        <v>312500</v>
      </c>
      <c r="H50" s="11">
        <f t="shared" si="35"/>
        <v>312500</v>
      </c>
      <c r="I50" s="11">
        <f t="shared" si="35"/>
        <v>600000000</v>
      </c>
      <c r="J50" s="2">
        <v>0</v>
      </c>
      <c r="K50" s="2">
        <v>1800</v>
      </c>
      <c r="L50" s="2">
        <v>1800</v>
      </c>
      <c r="M50" s="2">
        <v>1800</v>
      </c>
      <c r="N50" s="2">
        <v>99</v>
      </c>
      <c r="O50" s="2">
        <v>0</v>
      </c>
      <c r="P50" s="15" t="s">
        <v>66</v>
      </c>
      <c r="Q50" s="15" t="s">
        <v>67</v>
      </c>
      <c r="R50" s="2">
        <v>1.25</v>
      </c>
      <c r="S50" s="2">
        <v>1.25</v>
      </c>
      <c r="T50" s="2">
        <v>1.5</v>
      </c>
    </row>
    <row r="51" s="3" customFormat="1" customHeight="1" spans="1:20">
      <c r="A51" s="2"/>
      <c r="B51" s="2"/>
      <c r="C51" s="5">
        <v>46</v>
      </c>
      <c r="D51" s="5">
        <v>10</v>
      </c>
      <c r="E51" s="12">
        <v>1</v>
      </c>
      <c r="F51" s="12" t="s">
        <v>77</v>
      </c>
      <c r="G51" s="16" t="s">
        <v>78</v>
      </c>
      <c r="H51" s="16" t="s">
        <v>78</v>
      </c>
      <c r="I51" s="16" t="s">
        <v>79</v>
      </c>
      <c r="J51" s="3">
        <v>0</v>
      </c>
      <c r="K51" s="3">
        <v>1800</v>
      </c>
      <c r="L51" s="3">
        <v>1800</v>
      </c>
      <c r="M51" s="3">
        <v>1800</v>
      </c>
      <c r="N51" s="3">
        <v>99</v>
      </c>
      <c r="O51" s="3">
        <v>0</v>
      </c>
      <c r="P51" s="15" t="s">
        <v>27</v>
      </c>
      <c r="Q51" s="15" t="s">
        <v>24</v>
      </c>
      <c r="R51" s="3">
        <v>1</v>
      </c>
      <c r="S51" s="3">
        <v>1</v>
      </c>
      <c r="T51" s="3">
        <v>1</v>
      </c>
    </row>
    <row r="52" s="2" customFormat="1" customHeight="1" spans="3:20">
      <c r="C52" s="5">
        <v>47</v>
      </c>
      <c r="D52" s="5">
        <v>10</v>
      </c>
      <c r="E52" s="5">
        <v>2</v>
      </c>
      <c r="F52" s="5" t="s">
        <v>77</v>
      </c>
      <c r="G52" s="11">
        <f t="shared" ref="G52:I52" si="36">G51*R52</f>
        <v>330000</v>
      </c>
      <c r="H52" s="11">
        <f t="shared" si="36"/>
        <v>330000</v>
      </c>
      <c r="I52" s="11">
        <f t="shared" si="36"/>
        <v>550000000</v>
      </c>
      <c r="J52" s="2">
        <v>0</v>
      </c>
      <c r="K52" s="2">
        <v>1800</v>
      </c>
      <c r="L52" s="2">
        <v>1800</v>
      </c>
      <c r="M52" s="2">
        <v>1800</v>
      </c>
      <c r="N52" s="2">
        <v>99</v>
      </c>
      <c r="O52" s="2">
        <v>0</v>
      </c>
      <c r="P52" s="15" t="s">
        <v>43</v>
      </c>
      <c r="Q52" s="15" t="s">
        <v>24</v>
      </c>
      <c r="R52" s="2">
        <v>1.1</v>
      </c>
      <c r="S52" s="2">
        <v>1.1</v>
      </c>
      <c r="T52" s="2">
        <v>1.1</v>
      </c>
    </row>
    <row r="53" s="2" customFormat="1" customHeight="1" spans="3:20">
      <c r="C53" s="5">
        <v>48</v>
      </c>
      <c r="D53" s="5">
        <v>10</v>
      </c>
      <c r="E53" s="5">
        <v>3</v>
      </c>
      <c r="F53" s="5" t="s">
        <v>77</v>
      </c>
      <c r="G53" s="11">
        <f t="shared" ref="G53:I53" si="37">G51*R53</f>
        <v>345000</v>
      </c>
      <c r="H53" s="11">
        <f t="shared" si="37"/>
        <v>345000</v>
      </c>
      <c r="I53" s="11">
        <f t="shared" si="37"/>
        <v>600000000</v>
      </c>
      <c r="J53" s="2">
        <v>0</v>
      </c>
      <c r="K53" s="2">
        <v>1800</v>
      </c>
      <c r="L53" s="2">
        <v>1800</v>
      </c>
      <c r="M53" s="2">
        <v>1800</v>
      </c>
      <c r="N53" s="2">
        <v>99</v>
      </c>
      <c r="O53" s="2">
        <v>0</v>
      </c>
      <c r="P53" s="15" t="s">
        <v>29</v>
      </c>
      <c r="Q53" s="15" t="s">
        <v>35</v>
      </c>
      <c r="R53" s="2">
        <v>1.15</v>
      </c>
      <c r="S53" s="2">
        <v>1.15</v>
      </c>
      <c r="T53" s="2">
        <v>1.2</v>
      </c>
    </row>
    <row r="54" s="2" customFormat="1" customHeight="1" spans="3:20">
      <c r="C54" s="5">
        <v>49</v>
      </c>
      <c r="D54" s="5">
        <v>10</v>
      </c>
      <c r="E54" s="5">
        <v>4</v>
      </c>
      <c r="F54" s="5" t="s">
        <v>77</v>
      </c>
      <c r="G54" s="11">
        <f t="shared" ref="G54:I54" si="38">G51*R54</f>
        <v>360000</v>
      </c>
      <c r="H54" s="11">
        <f t="shared" si="38"/>
        <v>360000</v>
      </c>
      <c r="I54" s="11">
        <f t="shared" si="38"/>
        <v>650000000</v>
      </c>
      <c r="J54" s="2">
        <v>0</v>
      </c>
      <c r="K54" s="2">
        <v>1800</v>
      </c>
      <c r="L54" s="2">
        <v>1800</v>
      </c>
      <c r="M54" s="2">
        <v>1800</v>
      </c>
      <c r="N54" s="2">
        <v>99</v>
      </c>
      <c r="O54" s="2">
        <v>0</v>
      </c>
      <c r="P54" s="15" t="s">
        <v>65</v>
      </c>
      <c r="Q54" s="15" t="s">
        <v>59</v>
      </c>
      <c r="R54" s="2">
        <v>1.2</v>
      </c>
      <c r="S54" s="2">
        <v>1.2</v>
      </c>
      <c r="T54" s="2">
        <v>1.3</v>
      </c>
    </row>
    <row r="55" s="2" customFormat="1" customHeight="1" spans="3:20">
      <c r="C55" s="5">
        <v>50</v>
      </c>
      <c r="D55" s="5">
        <v>10</v>
      </c>
      <c r="E55" s="5">
        <v>5</v>
      </c>
      <c r="F55" s="5" t="s">
        <v>77</v>
      </c>
      <c r="G55" s="11">
        <f t="shared" ref="G55:I55" si="39">G51*R55</f>
        <v>375000</v>
      </c>
      <c r="H55" s="11">
        <f t="shared" si="39"/>
        <v>375000</v>
      </c>
      <c r="I55" s="11">
        <f t="shared" si="39"/>
        <v>750000000</v>
      </c>
      <c r="J55" s="2">
        <v>0</v>
      </c>
      <c r="K55" s="2">
        <v>1800</v>
      </c>
      <c r="L55" s="2">
        <v>1800</v>
      </c>
      <c r="M55" s="2">
        <v>1800</v>
      </c>
      <c r="N55" s="2">
        <v>99</v>
      </c>
      <c r="O55" s="2">
        <v>0</v>
      </c>
      <c r="P55" s="15" t="s">
        <v>72</v>
      </c>
      <c r="Q55" s="15" t="s">
        <v>67</v>
      </c>
      <c r="R55" s="2">
        <v>1.25</v>
      </c>
      <c r="S55" s="2">
        <v>1.25</v>
      </c>
      <c r="T55" s="2">
        <v>1.5</v>
      </c>
    </row>
    <row r="56" s="3" customFormat="1" customHeight="1" spans="1:20">
      <c r="A56" s="2"/>
      <c r="B56" s="2"/>
      <c r="C56" s="5">
        <v>51</v>
      </c>
      <c r="D56" s="5">
        <v>11</v>
      </c>
      <c r="E56" s="12">
        <v>1</v>
      </c>
      <c r="F56" s="12" t="s">
        <v>80</v>
      </c>
      <c r="G56" s="16" t="s">
        <v>81</v>
      </c>
      <c r="H56" s="16" t="s">
        <v>81</v>
      </c>
      <c r="I56" s="16" t="s">
        <v>82</v>
      </c>
      <c r="J56" s="3">
        <v>0</v>
      </c>
      <c r="K56" s="3">
        <v>1800</v>
      </c>
      <c r="L56" s="3">
        <v>1800</v>
      </c>
      <c r="M56" s="3">
        <v>1800</v>
      </c>
      <c r="N56" s="3">
        <v>99</v>
      </c>
      <c r="O56" s="3">
        <v>0</v>
      </c>
      <c r="P56" s="15" t="s">
        <v>27</v>
      </c>
      <c r="Q56" s="15" t="s">
        <v>24</v>
      </c>
      <c r="R56" s="3">
        <v>1</v>
      </c>
      <c r="S56" s="3">
        <v>1</v>
      </c>
      <c r="T56" s="3">
        <v>1</v>
      </c>
    </row>
    <row r="57" s="2" customFormat="1" customHeight="1" spans="3:20">
      <c r="C57" s="5">
        <v>52</v>
      </c>
      <c r="D57" s="5">
        <v>11</v>
      </c>
      <c r="E57" s="5">
        <v>2</v>
      </c>
      <c r="F57" s="5" t="s">
        <v>80</v>
      </c>
      <c r="G57" s="11">
        <f t="shared" ref="G57:I57" si="40">G56*R57</f>
        <v>385000</v>
      </c>
      <c r="H57" s="11">
        <f t="shared" si="40"/>
        <v>385000</v>
      </c>
      <c r="I57" s="11">
        <f t="shared" si="40"/>
        <v>660000000</v>
      </c>
      <c r="J57" s="2">
        <v>0</v>
      </c>
      <c r="K57" s="2">
        <v>1800</v>
      </c>
      <c r="L57" s="2">
        <v>1800</v>
      </c>
      <c r="M57" s="2">
        <v>1800</v>
      </c>
      <c r="N57" s="2">
        <v>99</v>
      </c>
      <c r="O57" s="2">
        <v>0</v>
      </c>
      <c r="P57" s="15" t="s">
        <v>43</v>
      </c>
      <c r="Q57" s="15" t="s">
        <v>24</v>
      </c>
      <c r="R57" s="2">
        <v>1.1</v>
      </c>
      <c r="S57" s="2">
        <v>1.1</v>
      </c>
      <c r="T57" s="2">
        <v>1.1</v>
      </c>
    </row>
    <row r="58" s="2" customFormat="1" customHeight="1" spans="3:20">
      <c r="C58" s="5">
        <v>53</v>
      </c>
      <c r="D58" s="5">
        <v>11</v>
      </c>
      <c r="E58" s="5">
        <v>3</v>
      </c>
      <c r="F58" s="5" t="s">
        <v>80</v>
      </c>
      <c r="G58" s="11">
        <f t="shared" ref="G58:I58" si="41">G56*R58</f>
        <v>402500</v>
      </c>
      <c r="H58" s="11">
        <f t="shared" si="41"/>
        <v>402500</v>
      </c>
      <c r="I58" s="11">
        <f t="shared" si="41"/>
        <v>720000000</v>
      </c>
      <c r="J58" s="2">
        <v>0</v>
      </c>
      <c r="K58" s="2">
        <v>1800</v>
      </c>
      <c r="L58" s="2">
        <v>1800</v>
      </c>
      <c r="M58" s="2">
        <v>1800</v>
      </c>
      <c r="N58" s="2">
        <v>99</v>
      </c>
      <c r="O58" s="2">
        <v>0</v>
      </c>
      <c r="P58" s="15" t="s">
        <v>29</v>
      </c>
      <c r="Q58" s="15" t="s">
        <v>83</v>
      </c>
      <c r="R58" s="2">
        <v>1.15</v>
      </c>
      <c r="S58" s="2">
        <v>1.15</v>
      </c>
      <c r="T58" s="2">
        <v>1.2</v>
      </c>
    </row>
    <row r="59" s="2" customFormat="1" customHeight="1" spans="3:20">
      <c r="C59" s="5">
        <v>54</v>
      </c>
      <c r="D59" s="5">
        <v>11</v>
      </c>
      <c r="E59" s="5">
        <v>4</v>
      </c>
      <c r="F59" s="5" t="s">
        <v>80</v>
      </c>
      <c r="G59" s="11">
        <f t="shared" ref="G59:I59" si="42">G56*R59</f>
        <v>420000</v>
      </c>
      <c r="H59" s="11">
        <f t="shared" si="42"/>
        <v>420000</v>
      </c>
      <c r="I59" s="11">
        <f t="shared" si="42"/>
        <v>780000000</v>
      </c>
      <c r="J59" s="2">
        <v>0</v>
      </c>
      <c r="K59" s="2">
        <v>1800</v>
      </c>
      <c r="L59" s="2">
        <v>1800</v>
      </c>
      <c r="M59" s="2">
        <v>1800</v>
      </c>
      <c r="N59" s="2">
        <v>99</v>
      </c>
      <c r="O59" s="2">
        <v>0</v>
      </c>
      <c r="P59" s="15" t="s">
        <v>84</v>
      </c>
      <c r="Q59" s="15" t="s">
        <v>85</v>
      </c>
      <c r="R59" s="2">
        <v>1.2</v>
      </c>
      <c r="S59" s="2">
        <v>1.2</v>
      </c>
      <c r="T59" s="2">
        <v>1.3</v>
      </c>
    </row>
    <row r="60" s="2" customFormat="1" customHeight="1" spans="3:20">
      <c r="C60" s="5">
        <v>55</v>
      </c>
      <c r="D60" s="5">
        <v>11</v>
      </c>
      <c r="E60" s="5">
        <v>5</v>
      </c>
      <c r="F60" s="5" t="s">
        <v>86</v>
      </c>
      <c r="G60" s="11">
        <f t="shared" ref="G60:I60" si="43">G56*R60</f>
        <v>437500</v>
      </c>
      <c r="H60" s="11">
        <f t="shared" si="43"/>
        <v>437500</v>
      </c>
      <c r="I60" s="11">
        <f t="shared" si="43"/>
        <v>900000000</v>
      </c>
      <c r="J60" s="2">
        <v>0</v>
      </c>
      <c r="K60" s="2">
        <v>1800</v>
      </c>
      <c r="L60" s="2">
        <v>1800</v>
      </c>
      <c r="M60" s="2">
        <v>1800</v>
      </c>
      <c r="N60" s="2">
        <v>99</v>
      </c>
      <c r="O60" s="2">
        <v>0</v>
      </c>
      <c r="P60" s="15" t="s">
        <v>87</v>
      </c>
      <c r="Q60" s="15" t="s">
        <v>88</v>
      </c>
      <c r="R60" s="2">
        <v>1.25</v>
      </c>
      <c r="S60" s="2">
        <v>1.25</v>
      </c>
      <c r="T60" s="2">
        <v>1.5</v>
      </c>
    </row>
    <row r="61" s="3" customFormat="1" customHeight="1" spans="1:20">
      <c r="A61" s="2"/>
      <c r="B61" s="2"/>
      <c r="C61" s="5">
        <v>56</v>
      </c>
      <c r="D61" s="5">
        <v>12</v>
      </c>
      <c r="E61" s="12">
        <v>1</v>
      </c>
      <c r="F61" s="12" t="s">
        <v>89</v>
      </c>
      <c r="G61" s="16" t="s">
        <v>90</v>
      </c>
      <c r="H61" s="16" t="s">
        <v>90</v>
      </c>
      <c r="I61" s="16" t="s">
        <v>91</v>
      </c>
      <c r="J61" s="3">
        <v>0</v>
      </c>
      <c r="K61" s="3">
        <v>1800</v>
      </c>
      <c r="L61" s="3">
        <v>1800</v>
      </c>
      <c r="M61" s="3">
        <v>1800</v>
      </c>
      <c r="N61" s="3">
        <v>99</v>
      </c>
      <c r="O61" s="3">
        <v>0</v>
      </c>
      <c r="P61" s="15" t="s">
        <v>43</v>
      </c>
      <c r="Q61" s="15" t="s">
        <v>24</v>
      </c>
      <c r="R61" s="3">
        <v>1</v>
      </c>
      <c r="S61" s="3">
        <v>1</v>
      </c>
      <c r="T61" s="3">
        <v>1</v>
      </c>
    </row>
    <row r="62" s="2" customFormat="1" customHeight="1" spans="3:20">
      <c r="C62" s="5">
        <v>57</v>
      </c>
      <c r="D62" s="5">
        <v>12</v>
      </c>
      <c r="E62" s="5">
        <v>2</v>
      </c>
      <c r="F62" s="5" t="s">
        <v>89</v>
      </c>
      <c r="G62" s="11">
        <f t="shared" ref="G62:I62" si="44">G61*R62</f>
        <v>440000</v>
      </c>
      <c r="H62" s="11">
        <f t="shared" si="44"/>
        <v>440000</v>
      </c>
      <c r="I62" s="11">
        <f t="shared" si="44"/>
        <v>770000000</v>
      </c>
      <c r="J62" s="2">
        <v>0</v>
      </c>
      <c r="K62" s="2">
        <v>1800</v>
      </c>
      <c r="L62" s="2">
        <v>1800</v>
      </c>
      <c r="M62" s="2">
        <v>1800</v>
      </c>
      <c r="N62" s="2">
        <v>99</v>
      </c>
      <c r="O62" s="2">
        <v>0</v>
      </c>
      <c r="P62" s="15" t="s">
        <v>48</v>
      </c>
      <c r="Q62" s="15" t="s">
        <v>24</v>
      </c>
      <c r="R62" s="2">
        <v>1.1</v>
      </c>
      <c r="S62" s="2">
        <v>1.1</v>
      </c>
      <c r="T62" s="2">
        <v>1.1</v>
      </c>
    </row>
    <row r="63" s="2" customFormat="1" customHeight="1" spans="3:20">
      <c r="C63" s="5">
        <v>58</v>
      </c>
      <c r="D63" s="5">
        <v>12</v>
      </c>
      <c r="E63" s="5">
        <v>3</v>
      </c>
      <c r="F63" s="5" t="s">
        <v>89</v>
      </c>
      <c r="G63" s="11">
        <f t="shared" ref="G63:I63" si="45">G61*R63</f>
        <v>460000</v>
      </c>
      <c r="H63" s="11">
        <f t="shared" si="45"/>
        <v>460000</v>
      </c>
      <c r="I63" s="11">
        <f t="shared" si="45"/>
        <v>840000000</v>
      </c>
      <c r="J63" s="2">
        <v>0</v>
      </c>
      <c r="K63" s="2">
        <v>1800</v>
      </c>
      <c r="L63" s="2">
        <v>1800</v>
      </c>
      <c r="M63" s="2">
        <v>1800</v>
      </c>
      <c r="N63" s="2">
        <v>99</v>
      </c>
      <c r="O63" s="2">
        <v>0</v>
      </c>
      <c r="P63" s="15" t="s">
        <v>29</v>
      </c>
      <c r="Q63" s="15" t="s">
        <v>83</v>
      </c>
      <c r="R63" s="2">
        <v>1.15</v>
      </c>
      <c r="S63" s="2">
        <v>1.15</v>
      </c>
      <c r="T63" s="2">
        <v>1.2</v>
      </c>
    </row>
    <row r="64" s="2" customFormat="1" customHeight="1" spans="3:20">
      <c r="C64" s="5">
        <v>59</v>
      </c>
      <c r="D64" s="5">
        <v>12</v>
      </c>
      <c r="E64" s="5">
        <v>4</v>
      </c>
      <c r="F64" s="5" t="s">
        <v>89</v>
      </c>
      <c r="G64" s="11">
        <f t="shared" ref="G64:I64" si="46">G61*R64</f>
        <v>480000</v>
      </c>
      <c r="H64" s="11">
        <f t="shared" si="46"/>
        <v>480000</v>
      </c>
      <c r="I64" s="11">
        <f t="shared" si="46"/>
        <v>910000000</v>
      </c>
      <c r="J64" s="2">
        <v>0</v>
      </c>
      <c r="K64" s="2">
        <v>1800</v>
      </c>
      <c r="L64" s="2">
        <v>1800</v>
      </c>
      <c r="M64" s="2">
        <v>1800</v>
      </c>
      <c r="N64" s="2">
        <v>99</v>
      </c>
      <c r="O64" s="2">
        <v>0</v>
      </c>
      <c r="P64" s="15" t="s">
        <v>84</v>
      </c>
      <c r="Q64" s="15" t="s">
        <v>85</v>
      </c>
      <c r="R64" s="2">
        <v>1.2</v>
      </c>
      <c r="S64" s="2">
        <v>1.2</v>
      </c>
      <c r="T64" s="2">
        <v>1.3</v>
      </c>
    </row>
    <row r="65" s="2" customFormat="1" customHeight="1" spans="3:20">
      <c r="C65" s="5">
        <v>60</v>
      </c>
      <c r="D65" s="5">
        <v>12</v>
      </c>
      <c r="E65" s="5">
        <v>5</v>
      </c>
      <c r="F65" s="5" t="s">
        <v>92</v>
      </c>
      <c r="G65" s="11">
        <f t="shared" ref="G65:I65" si="47">G61*R65</f>
        <v>500000</v>
      </c>
      <c r="H65" s="11">
        <f t="shared" si="47"/>
        <v>500000</v>
      </c>
      <c r="I65" s="11">
        <f t="shared" si="47"/>
        <v>1050000000</v>
      </c>
      <c r="J65" s="2">
        <v>0</v>
      </c>
      <c r="K65" s="2">
        <v>1800</v>
      </c>
      <c r="L65" s="2">
        <v>1800</v>
      </c>
      <c r="M65" s="2">
        <v>1800</v>
      </c>
      <c r="N65" s="2">
        <v>99</v>
      </c>
      <c r="O65" s="2">
        <v>0</v>
      </c>
      <c r="P65" s="15" t="s">
        <v>93</v>
      </c>
      <c r="Q65" s="15" t="s">
        <v>88</v>
      </c>
      <c r="R65" s="2">
        <v>1.25</v>
      </c>
      <c r="S65" s="2">
        <v>1.25</v>
      </c>
      <c r="T65" s="2">
        <v>1.5</v>
      </c>
    </row>
    <row r="66" s="3" customFormat="1" customHeight="1" spans="1:20">
      <c r="A66" s="2"/>
      <c r="B66" s="2"/>
      <c r="C66" s="5">
        <v>61</v>
      </c>
      <c r="D66" s="5">
        <v>13</v>
      </c>
      <c r="E66" s="12">
        <v>1</v>
      </c>
      <c r="F66" s="12" t="s">
        <v>94</v>
      </c>
      <c r="G66" s="16" t="s">
        <v>95</v>
      </c>
      <c r="H66" s="16" t="s">
        <v>95</v>
      </c>
      <c r="I66" s="16" t="s">
        <v>96</v>
      </c>
      <c r="J66" s="3">
        <v>0</v>
      </c>
      <c r="K66" s="3">
        <v>1800</v>
      </c>
      <c r="L66" s="3">
        <v>1800</v>
      </c>
      <c r="M66" s="3">
        <v>1800</v>
      </c>
      <c r="N66" s="3">
        <v>99</v>
      </c>
      <c r="O66" s="3">
        <v>0</v>
      </c>
      <c r="P66" s="15" t="s">
        <v>97</v>
      </c>
      <c r="Q66" s="15" t="s">
        <v>59</v>
      </c>
      <c r="R66" s="3">
        <v>1</v>
      </c>
      <c r="S66" s="3">
        <v>1</v>
      </c>
      <c r="T66" s="3">
        <v>1</v>
      </c>
    </row>
    <row r="67" s="2" customFormat="1" customHeight="1" spans="3:20">
      <c r="C67" s="5">
        <v>62</v>
      </c>
      <c r="D67" s="5">
        <v>13</v>
      </c>
      <c r="E67" s="5">
        <v>2</v>
      </c>
      <c r="F67" s="5" t="s">
        <v>94</v>
      </c>
      <c r="G67" s="11">
        <f t="shared" ref="G67:I67" si="48">G66*R67</f>
        <v>550000</v>
      </c>
      <c r="H67" s="11">
        <f t="shared" si="48"/>
        <v>550000</v>
      </c>
      <c r="I67" s="11">
        <f t="shared" si="48"/>
        <v>825000000</v>
      </c>
      <c r="J67" s="2">
        <v>0</v>
      </c>
      <c r="K67" s="2">
        <v>1800</v>
      </c>
      <c r="L67" s="2">
        <v>1800</v>
      </c>
      <c r="M67" s="2">
        <v>1800</v>
      </c>
      <c r="N67" s="2">
        <v>99</v>
      </c>
      <c r="O67" s="2">
        <v>0</v>
      </c>
      <c r="P67" s="15" t="s">
        <v>98</v>
      </c>
      <c r="Q67" s="15" t="s">
        <v>59</v>
      </c>
      <c r="R67" s="2">
        <v>1.1</v>
      </c>
      <c r="S67" s="2">
        <v>1.1</v>
      </c>
      <c r="T67" s="2">
        <v>1.1</v>
      </c>
    </row>
    <row r="68" s="2" customFormat="1" customHeight="1" spans="3:20">
      <c r="C68" s="5">
        <v>63</v>
      </c>
      <c r="D68" s="5">
        <v>13</v>
      </c>
      <c r="E68" s="5">
        <v>3</v>
      </c>
      <c r="F68" s="5" t="s">
        <v>94</v>
      </c>
      <c r="G68" s="11">
        <f t="shared" ref="G68:I68" si="49">G66*R68</f>
        <v>575000</v>
      </c>
      <c r="H68" s="11">
        <f t="shared" si="49"/>
        <v>575000</v>
      </c>
      <c r="I68" s="11">
        <f t="shared" si="49"/>
        <v>900000000</v>
      </c>
      <c r="J68" s="2">
        <v>0</v>
      </c>
      <c r="K68" s="2">
        <v>1800</v>
      </c>
      <c r="L68" s="2">
        <v>1800</v>
      </c>
      <c r="M68" s="2">
        <v>1800</v>
      </c>
      <c r="N68" s="2">
        <v>99</v>
      </c>
      <c r="O68" s="2">
        <v>0</v>
      </c>
      <c r="P68" s="15" t="s">
        <v>99</v>
      </c>
      <c r="Q68" s="15" t="s">
        <v>100</v>
      </c>
      <c r="R68" s="2">
        <v>1.15</v>
      </c>
      <c r="S68" s="2">
        <v>1.15</v>
      </c>
      <c r="T68" s="2">
        <v>1.2</v>
      </c>
    </row>
    <row r="69" s="2" customFormat="1" customHeight="1" spans="3:20">
      <c r="C69" s="5">
        <v>64</v>
      </c>
      <c r="D69" s="5">
        <v>13</v>
      </c>
      <c r="E69" s="5">
        <v>4</v>
      </c>
      <c r="F69" s="5" t="s">
        <v>94</v>
      </c>
      <c r="G69" s="11">
        <f t="shared" ref="G69:I69" si="50">G66*R69</f>
        <v>600000</v>
      </c>
      <c r="H69" s="11">
        <f t="shared" si="50"/>
        <v>600000</v>
      </c>
      <c r="I69" s="11">
        <f t="shared" si="50"/>
        <v>975000000</v>
      </c>
      <c r="J69" s="2">
        <v>0</v>
      </c>
      <c r="K69" s="2">
        <v>1800</v>
      </c>
      <c r="L69" s="2">
        <v>1800</v>
      </c>
      <c r="M69" s="2">
        <v>1800</v>
      </c>
      <c r="N69" s="2">
        <v>99</v>
      </c>
      <c r="O69" s="2">
        <v>0</v>
      </c>
      <c r="P69" s="15" t="s">
        <v>101</v>
      </c>
      <c r="Q69" s="15" t="s">
        <v>102</v>
      </c>
      <c r="R69" s="2">
        <v>1.2</v>
      </c>
      <c r="S69" s="2">
        <v>1.2</v>
      </c>
      <c r="T69" s="2">
        <v>1.3</v>
      </c>
    </row>
    <row r="70" s="2" customFormat="1" customHeight="1" spans="3:20">
      <c r="C70" s="5">
        <v>65</v>
      </c>
      <c r="D70" s="5">
        <v>13</v>
      </c>
      <c r="E70" s="5">
        <v>5</v>
      </c>
      <c r="F70" s="5" t="s">
        <v>103</v>
      </c>
      <c r="G70" s="11">
        <f t="shared" ref="G70:I70" si="51">G66*R70</f>
        <v>625000</v>
      </c>
      <c r="H70" s="11">
        <f t="shared" si="51"/>
        <v>625000</v>
      </c>
      <c r="I70" s="11">
        <f t="shared" si="51"/>
        <v>1125000000</v>
      </c>
      <c r="J70" s="2">
        <v>0</v>
      </c>
      <c r="K70" s="2">
        <v>1800</v>
      </c>
      <c r="L70" s="2">
        <v>1800</v>
      </c>
      <c r="M70" s="2">
        <v>1800</v>
      </c>
      <c r="N70" s="2">
        <v>99</v>
      </c>
      <c r="O70" s="2">
        <v>0</v>
      </c>
      <c r="P70" s="15" t="s">
        <v>104</v>
      </c>
      <c r="Q70" s="15" t="s">
        <v>105</v>
      </c>
      <c r="R70" s="2">
        <v>1.25</v>
      </c>
      <c r="S70" s="2">
        <v>1.25</v>
      </c>
      <c r="T70" s="2">
        <v>1.5</v>
      </c>
    </row>
    <row r="71" s="3" customFormat="1" customHeight="1" spans="1:20">
      <c r="A71" s="2"/>
      <c r="B71" s="2"/>
      <c r="C71" s="5">
        <v>66</v>
      </c>
      <c r="D71" s="5">
        <v>14</v>
      </c>
      <c r="E71" s="12">
        <v>1</v>
      </c>
      <c r="F71" s="12" t="s">
        <v>106</v>
      </c>
      <c r="G71" s="16" t="s">
        <v>107</v>
      </c>
      <c r="H71" s="16" t="s">
        <v>107</v>
      </c>
      <c r="I71" s="16" t="s">
        <v>108</v>
      </c>
      <c r="J71" s="3">
        <v>0</v>
      </c>
      <c r="K71" s="3">
        <v>1800</v>
      </c>
      <c r="L71" s="3">
        <v>1800</v>
      </c>
      <c r="M71" s="3">
        <v>1800</v>
      </c>
      <c r="N71" s="3">
        <v>99</v>
      </c>
      <c r="O71" s="3">
        <v>0</v>
      </c>
      <c r="P71" s="15" t="s">
        <v>97</v>
      </c>
      <c r="Q71" s="15" t="s">
        <v>59</v>
      </c>
      <c r="R71" s="3">
        <v>1</v>
      </c>
      <c r="S71" s="3">
        <v>1</v>
      </c>
      <c r="T71" s="3">
        <v>1</v>
      </c>
    </row>
    <row r="72" s="2" customFormat="1" customHeight="1" spans="3:20">
      <c r="C72" s="5">
        <v>67</v>
      </c>
      <c r="D72" s="5">
        <v>14</v>
      </c>
      <c r="E72" s="5">
        <v>2</v>
      </c>
      <c r="F72" s="5" t="s">
        <v>106</v>
      </c>
      <c r="G72" s="11">
        <f t="shared" ref="G72:I72" si="52">G71*R72</f>
        <v>660000</v>
      </c>
      <c r="H72" s="11">
        <f t="shared" si="52"/>
        <v>660000</v>
      </c>
      <c r="I72" s="11">
        <f t="shared" si="52"/>
        <v>990000000</v>
      </c>
      <c r="J72" s="2">
        <v>0</v>
      </c>
      <c r="K72" s="2">
        <v>1800</v>
      </c>
      <c r="L72" s="2">
        <v>1800</v>
      </c>
      <c r="M72" s="2">
        <v>1800</v>
      </c>
      <c r="N72" s="2">
        <v>99</v>
      </c>
      <c r="O72" s="2">
        <v>0</v>
      </c>
      <c r="P72" s="15" t="s">
        <v>98</v>
      </c>
      <c r="Q72" s="15" t="s">
        <v>59</v>
      </c>
      <c r="R72" s="2">
        <v>1.1</v>
      </c>
      <c r="S72" s="2">
        <v>1.1</v>
      </c>
      <c r="T72" s="2">
        <v>1.1</v>
      </c>
    </row>
    <row r="73" s="2" customFormat="1" customHeight="1" spans="3:20">
      <c r="C73" s="5">
        <v>68</v>
      </c>
      <c r="D73" s="5">
        <v>14</v>
      </c>
      <c r="E73" s="5">
        <v>3</v>
      </c>
      <c r="F73" s="5" t="s">
        <v>106</v>
      </c>
      <c r="G73" s="11">
        <f t="shared" ref="G73:I73" si="53">G71*R73</f>
        <v>690000</v>
      </c>
      <c r="H73" s="11">
        <f t="shared" si="53"/>
        <v>690000</v>
      </c>
      <c r="I73" s="11">
        <f t="shared" si="53"/>
        <v>1080000000</v>
      </c>
      <c r="J73" s="2">
        <v>0</v>
      </c>
      <c r="K73" s="2">
        <v>1800</v>
      </c>
      <c r="L73" s="2">
        <v>1800</v>
      </c>
      <c r="M73" s="2">
        <v>1800</v>
      </c>
      <c r="N73" s="2">
        <v>99</v>
      </c>
      <c r="O73" s="2">
        <v>0</v>
      </c>
      <c r="P73" s="15" t="s">
        <v>99</v>
      </c>
      <c r="Q73" s="15" t="s">
        <v>100</v>
      </c>
      <c r="R73" s="2">
        <v>1.15</v>
      </c>
      <c r="S73" s="2">
        <v>1.15</v>
      </c>
      <c r="T73" s="2">
        <v>1.2</v>
      </c>
    </row>
    <row r="74" s="2" customFormat="1" customHeight="1" spans="3:20">
      <c r="C74" s="5">
        <v>69</v>
      </c>
      <c r="D74" s="5">
        <v>14</v>
      </c>
      <c r="E74" s="5">
        <v>4</v>
      </c>
      <c r="F74" s="5" t="s">
        <v>106</v>
      </c>
      <c r="G74" s="11">
        <f t="shared" ref="G74:I74" si="54">G71*R74</f>
        <v>720000</v>
      </c>
      <c r="H74" s="11">
        <f t="shared" si="54"/>
        <v>720000</v>
      </c>
      <c r="I74" s="11">
        <f t="shared" si="54"/>
        <v>1170000000</v>
      </c>
      <c r="J74" s="2">
        <v>0</v>
      </c>
      <c r="K74" s="2">
        <v>1800</v>
      </c>
      <c r="L74" s="2">
        <v>1800</v>
      </c>
      <c r="M74" s="2">
        <v>1800</v>
      </c>
      <c r="N74" s="2">
        <v>99</v>
      </c>
      <c r="O74" s="2">
        <v>0</v>
      </c>
      <c r="P74" s="15" t="s">
        <v>101</v>
      </c>
      <c r="Q74" s="15" t="s">
        <v>102</v>
      </c>
      <c r="R74" s="2">
        <v>1.2</v>
      </c>
      <c r="S74" s="2">
        <v>1.2</v>
      </c>
      <c r="T74" s="2">
        <v>1.3</v>
      </c>
    </row>
    <row r="75" s="2" customFormat="1" customHeight="1" spans="3:20">
      <c r="C75" s="5">
        <v>70</v>
      </c>
      <c r="D75" s="5">
        <v>14</v>
      </c>
      <c r="E75" s="5">
        <v>5</v>
      </c>
      <c r="F75" s="5" t="s">
        <v>109</v>
      </c>
      <c r="G75" s="11">
        <f t="shared" ref="G75:I75" si="55">G71*R75</f>
        <v>750000</v>
      </c>
      <c r="H75" s="11">
        <f t="shared" si="55"/>
        <v>750000</v>
      </c>
      <c r="I75" s="11">
        <f t="shared" si="55"/>
        <v>1350000000</v>
      </c>
      <c r="J75" s="2">
        <v>0</v>
      </c>
      <c r="K75" s="2">
        <v>1800</v>
      </c>
      <c r="L75" s="2">
        <v>1800</v>
      </c>
      <c r="M75" s="2">
        <v>1800</v>
      </c>
      <c r="N75" s="2">
        <v>99</v>
      </c>
      <c r="O75" s="2">
        <v>0</v>
      </c>
      <c r="P75" s="15" t="s">
        <v>104</v>
      </c>
      <c r="Q75" s="15" t="s">
        <v>105</v>
      </c>
      <c r="R75" s="2">
        <v>1.25</v>
      </c>
      <c r="S75" s="2">
        <v>1.25</v>
      </c>
      <c r="T75" s="2">
        <v>1.5</v>
      </c>
    </row>
    <row r="76" s="3" customFormat="1" customHeight="1" spans="1:20">
      <c r="A76" s="2"/>
      <c r="B76" s="2"/>
      <c r="C76" s="5">
        <v>71</v>
      </c>
      <c r="D76" s="5">
        <v>15</v>
      </c>
      <c r="E76" s="12">
        <v>1</v>
      </c>
      <c r="F76" s="12" t="s">
        <v>110</v>
      </c>
      <c r="G76" s="16" t="s">
        <v>111</v>
      </c>
      <c r="H76" s="16" t="s">
        <v>111</v>
      </c>
      <c r="I76" s="16" t="s">
        <v>112</v>
      </c>
      <c r="J76" s="3">
        <v>0</v>
      </c>
      <c r="K76" s="3">
        <v>1800</v>
      </c>
      <c r="L76" s="3">
        <v>1800</v>
      </c>
      <c r="M76" s="3">
        <v>1800</v>
      </c>
      <c r="N76" s="3">
        <v>99</v>
      </c>
      <c r="O76" s="3">
        <v>0</v>
      </c>
      <c r="P76" s="15" t="s">
        <v>97</v>
      </c>
      <c r="Q76" s="15" t="s">
        <v>113</v>
      </c>
      <c r="R76" s="3">
        <v>1</v>
      </c>
      <c r="S76" s="3">
        <v>1</v>
      </c>
      <c r="T76" s="3">
        <v>1</v>
      </c>
    </row>
    <row r="77" s="2" customFormat="1" customHeight="1" spans="3:20">
      <c r="C77" s="5">
        <v>72</v>
      </c>
      <c r="D77" s="5">
        <v>15</v>
      </c>
      <c r="E77" s="5">
        <v>2</v>
      </c>
      <c r="F77" s="5" t="s">
        <v>110</v>
      </c>
      <c r="G77" s="11">
        <f t="shared" ref="G77:I77" si="56">G76*R77</f>
        <v>880000</v>
      </c>
      <c r="H77" s="11">
        <f t="shared" si="56"/>
        <v>880000</v>
      </c>
      <c r="I77" s="11">
        <f t="shared" si="56"/>
        <v>1320000000</v>
      </c>
      <c r="J77" s="2">
        <v>0</v>
      </c>
      <c r="K77" s="2">
        <v>1800</v>
      </c>
      <c r="L77" s="2">
        <v>1800</v>
      </c>
      <c r="M77" s="2">
        <v>1800</v>
      </c>
      <c r="N77" s="2">
        <v>99</v>
      </c>
      <c r="O77" s="2">
        <v>0</v>
      </c>
      <c r="P77" s="15" t="s">
        <v>98</v>
      </c>
      <c r="Q77" s="15" t="s">
        <v>113</v>
      </c>
      <c r="R77" s="2">
        <v>1.1</v>
      </c>
      <c r="S77" s="2">
        <v>1.1</v>
      </c>
      <c r="T77" s="2">
        <v>1.1</v>
      </c>
    </row>
    <row r="78" s="2" customFormat="1" customHeight="1" spans="3:20">
      <c r="C78" s="5">
        <v>73</v>
      </c>
      <c r="D78" s="5">
        <v>15</v>
      </c>
      <c r="E78" s="5">
        <v>3</v>
      </c>
      <c r="F78" s="5" t="s">
        <v>110</v>
      </c>
      <c r="G78" s="11">
        <f t="shared" ref="G78:I78" si="57">G76*R78</f>
        <v>920000</v>
      </c>
      <c r="H78" s="11">
        <f t="shared" si="57"/>
        <v>920000</v>
      </c>
      <c r="I78" s="11">
        <f t="shared" si="57"/>
        <v>1440000000</v>
      </c>
      <c r="J78" s="2">
        <v>0</v>
      </c>
      <c r="K78" s="2">
        <v>1800</v>
      </c>
      <c r="L78" s="2">
        <v>1800</v>
      </c>
      <c r="M78" s="2">
        <v>1800</v>
      </c>
      <c r="N78" s="2">
        <v>99</v>
      </c>
      <c r="O78" s="2">
        <v>0</v>
      </c>
      <c r="P78" s="15" t="s">
        <v>114</v>
      </c>
      <c r="Q78" s="15" t="s">
        <v>115</v>
      </c>
      <c r="R78" s="2">
        <v>1.15</v>
      </c>
      <c r="S78" s="2">
        <v>1.15</v>
      </c>
      <c r="T78" s="2">
        <v>1.2</v>
      </c>
    </row>
    <row r="79" s="2" customFormat="1" customHeight="1" spans="3:20">
      <c r="C79" s="5">
        <v>74</v>
      </c>
      <c r="D79" s="5">
        <v>15</v>
      </c>
      <c r="E79" s="5">
        <v>4</v>
      </c>
      <c r="F79" s="5" t="s">
        <v>110</v>
      </c>
      <c r="G79" s="11">
        <f t="shared" ref="G79:I79" si="58">G76*R79</f>
        <v>960000</v>
      </c>
      <c r="H79" s="11">
        <f t="shared" si="58"/>
        <v>960000</v>
      </c>
      <c r="I79" s="11">
        <f t="shared" si="58"/>
        <v>1560000000</v>
      </c>
      <c r="J79" s="2">
        <v>0</v>
      </c>
      <c r="K79" s="2">
        <v>1800</v>
      </c>
      <c r="L79" s="2">
        <v>1800</v>
      </c>
      <c r="M79" s="2">
        <v>1800</v>
      </c>
      <c r="N79" s="2">
        <v>99</v>
      </c>
      <c r="O79" s="2">
        <v>0</v>
      </c>
      <c r="P79" s="15" t="s">
        <v>116</v>
      </c>
      <c r="Q79" s="15" t="s">
        <v>117</v>
      </c>
      <c r="R79" s="2">
        <v>1.2</v>
      </c>
      <c r="S79" s="2">
        <v>1.2</v>
      </c>
      <c r="T79" s="2">
        <v>1.3</v>
      </c>
    </row>
    <row r="80" s="2" customFormat="1" customHeight="1" spans="3:20">
      <c r="C80" s="5">
        <v>75</v>
      </c>
      <c r="D80" s="5">
        <v>15</v>
      </c>
      <c r="E80" s="5">
        <v>5</v>
      </c>
      <c r="F80" s="5" t="s">
        <v>118</v>
      </c>
      <c r="G80" s="11">
        <f t="shared" ref="G80:I80" si="59">G76*R80</f>
        <v>1000000</v>
      </c>
      <c r="H80" s="11">
        <f t="shared" si="59"/>
        <v>1000000</v>
      </c>
      <c r="I80" s="11">
        <f t="shared" si="59"/>
        <v>1800000000</v>
      </c>
      <c r="J80" s="2">
        <v>0</v>
      </c>
      <c r="K80" s="2">
        <v>1800</v>
      </c>
      <c r="L80" s="2">
        <v>1800</v>
      </c>
      <c r="M80" s="2">
        <v>1800</v>
      </c>
      <c r="N80" s="2">
        <v>99</v>
      </c>
      <c r="O80" s="2">
        <v>0</v>
      </c>
      <c r="P80" s="15" t="s">
        <v>119</v>
      </c>
      <c r="Q80" s="15" t="s">
        <v>120</v>
      </c>
      <c r="R80" s="2">
        <v>1.25</v>
      </c>
      <c r="S80" s="2">
        <v>1.25</v>
      </c>
      <c r="T80" s="2">
        <v>1.5</v>
      </c>
    </row>
    <row r="81" s="3" customFormat="1" customHeight="1" spans="1:20">
      <c r="A81" s="2"/>
      <c r="B81" s="2"/>
      <c r="C81" s="5">
        <v>76</v>
      </c>
      <c r="D81" s="5">
        <v>16</v>
      </c>
      <c r="E81" s="12">
        <v>1</v>
      </c>
      <c r="F81" s="12" t="s">
        <v>121</v>
      </c>
      <c r="G81" s="16" t="s">
        <v>122</v>
      </c>
      <c r="H81" s="16" t="s">
        <v>122</v>
      </c>
      <c r="I81" s="16" t="s">
        <v>123</v>
      </c>
      <c r="J81" s="3">
        <v>0</v>
      </c>
      <c r="K81" s="3">
        <v>1800</v>
      </c>
      <c r="L81" s="3">
        <v>1800</v>
      </c>
      <c r="M81" s="3">
        <v>1800</v>
      </c>
      <c r="N81" s="3">
        <v>99</v>
      </c>
      <c r="O81" s="3">
        <v>0</v>
      </c>
      <c r="P81" s="15" t="s">
        <v>97</v>
      </c>
      <c r="Q81" s="15" t="s">
        <v>113</v>
      </c>
      <c r="R81" s="3">
        <v>1</v>
      </c>
      <c r="S81" s="3">
        <v>1</v>
      </c>
      <c r="T81" s="3">
        <v>1</v>
      </c>
    </row>
    <row r="82" s="2" customFormat="1" customHeight="1" spans="3:20">
      <c r="C82" s="5">
        <v>77</v>
      </c>
      <c r="D82" s="5">
        <v>16</v>
      </c>
      <c r="E82" s="5">
        <v>2</v>
      </c>
      <c r="F82" s="5" t="s">
        <v>121</v>
      </c>
      <c r="G82" s="11">
        <f t="shared" ref="G82:I82" si="60">G81*R82</f>
        <v>1100000</v>
      </c>
      <c r="H82" s="11">
        <f t="shared" si="60"/>
        <v>1100000</v>
      </c>
      <c r="I82" s="11">
        <f t="shared" si="60"/>
        <v>1650000000</v>
      </c>
      <c r="J82" s="2">
        <v>0</v>
      </c>
      <c r="K82" s="2">
        <v>1800</v>
      </c>
      <c r="L82" s="2">
        <v>1800</v>
      </c>
      <c r="M82" s="2">
        <v>1800</v>
      </c>
      <c r="N82" s="2">
        <v>99</v>
      </c>
      <c r="O82" s="2">
        <v>0</v>
      </c>
      <c r="P82" s="15" t="s">
        <v>98</v>
      </c>
      <c r="Q82" s="15" t="s">
        <v>113</v>
      </c>
      <c r="R82" s="2">
        <v>1.1</v>
      </c>
      <c r="S82" s="2">
        <v>1.1</v>
      </c>
      <c r="T82" s="2">
        <v>1.1</v>
      </c>
    </row>
    <row r="83" s="2" customFormat="1" customHeight="1" spans="3:20">
      <c r="C83" s="5">
        <v>78</v>
      </c>
      <c r="D83" s="5">
        <v>16</v>
      </c>
      <c r="E83" s="5">
        <v>3</v>
      </c>
      <c r="F83" s="5" t="s">
        <v>121</v>
      </c>
      <c r="G83" s="11">
        <f t="shared" ref="G83:I83" si="61">G81*R83</f>
        <v>1150000</v>
      </c>
      <c r="H83" s="11">
        <f t="shared" si="61"/>
        <v>1150000</v>
      </c>
      <c r="I83" s="11">
        <f t="shared" si="61"/>
        <v>1800000000</v>
      </c>
      <c r="J83" s="2">
        <v>0</v>
      </c>
      <c r="K83" s="2">
        <v>1800</v>
      </c>
      <c r="L83" s="2">
        <v>1800</v>
      </c>
      <c r="M83" s="2">
        <v>1800</v>
      </c>
      <c r="N83" s="2">
        <v>99</v>
      </c>
      <c r="O83" s="2">
        <v>0</v>
      </c>
      <c r="P83" s="15" t="s">
        <v>114</v>
      </c>
      <c r="Q83" s="15" t="s">
        <v>115</v>
      </c>
      <c r="R83" s="2">
        <v>1.15</v>
      </c>
      <c r="S83" s="2">
        <v>1.15</v>
      </c>
      <c r="T83" s="2">
        <v>1.2</v>
      </c>
    </row>
    <row r="84" s="2" customFormat="1" customHeight="1" spans="3:20">
      <c r="C84" s="5">
        <v>79</v>
      </c>
      <c r="D84" s="5">
        <v>16</v>
      </c>
      <c r="E84" s="5">
        <v>4</v>
      </c>
      <c r="F84" s="5" t="s">
        <v>121</v>
      </c>
      <c r="G84" s="11">
        <f t="shared" ref="G84:I84" si="62">G81*R84</f>
        <v>1200000</v>
      </c>
      <c r="H84" s="11">
        <f t="shared" si="62"/>
        <v>1200000</v>
      </c>
      <c r="I84" s="11">
        <f t="shared" si="62"/>
        <v>1950000000</v>
      </c>
      <c r="J84" s="2">
        <v>0</v>
      </c>
      <c r="K84" s="2">
        <v>1800</v>
      </c>
      <c r="L84" s="2">
        <v>1800</v>
      </c>
      <c r="M84" s="2">
        <v>1800</v>
      </c>
      <c r="N84" s="2">
        <v>99</v>
      </c>
      <c r="O84" s="2">
        <v>0</v>
      </c>
      <c r="P84" s="15" t="s">
        <v>116</v>
      </c>
      <c r="Q84" s="15" t="s">
        <v>117</v>
      </c>
      <c r="R84" s="2">
        <v>1.2</v>
      </c>
      <c r="S84" s="2">
        <v>1.2</v>
      </c>
      <c r="T84" s="2">
        <v>1.3</v>
      </c>
    </row>
    <row r="85" s="2" customFormat="1" customHeight="1" spans="3:20">
      <c r="C85" s="5">
        <v>80</v>
      </c>
      <c r="D85" s="5">
        <v>16</v>
      </c>
      <c r="E85" s="5">
        <v>5</v>
      </c>
      <c r="F85" s="5" t="s">
        <v>124</v>
      </c>
      <c r="G85" s="11">
        <f t="shared" ref="G85:I85" si="63">G81*R85</f>
        <v>1250000</v>
      </c>
      <c r="H85" s="11">
        <f t="shared" si="63"/>
        <v>1250000</v>
      </c>
      <c r="I85" s="11">
        <f t="shared" si="63"/>
        <v>2250000000</v>
      </c>
      <c r="J85" s="2">
        <v>0</v>
      </c>
      <c r="K85" s="2">
        <v>1800</v>
      </c>
      <c r="L85" s="2">
        <v>1800</v>
      </c>
      <c r="M85" s="2">
        <v>1800</v>
      </c>
      <c r="N85" s="2">
        <v>99</v>
      </c>
      <c r="O85" s="2">
        <v>0</v>
      </c>
      <c r="P85" s="15" t="s">
        <v>119</v>
      </c>
      <c r="Q85" s="15" t="s">
        <v>120</v>
      </c>
      <c r="R85" s="2">
        <v>1.25</v>
      </c>
      <c r="S85" s="2">
        <v>1.25</v>
      </c>
      <c r="T85" s="2">
        <v>1.5</v>
      </c>
    </row>
    <row r="87" s="3" customFormat="1" customHeight="1" spans="1:20">
      <c r="A87" s="2"/>
      <c r="B87" s="2"/>
      <c r="C87" s="5">
        <v>81</v>
      </c>
      <c r="D87" s="5">
        <v>17</v>
      </c>
      <c r="E87" s="12">
        <v>1</v>
      </c>
      <c r="F87" s="12" t="s">
        <v>125</v>
      </c>
      <c r="G87" s="16" t="s">
        <v>126</v>
      </c>
      <c r="H87" s="16" t="s">
        <v>122</v>
      </c>
      <c r="I87" s="16" t="s">
        <v>123</v>
      </c>
      <c r="J87" s="3">
        <v>0</v>
      </c>
      <c r="K87" s="3">
        <v>1800</v>
      </c>
      <c r="L87" s="3">
        <v>1800</v>
      </c>
      <c r="M87" s="3">
        <v>1800</v>
      </c>
      <c r="N87" s="3">
        <v>99</v>
      </c>
      <c r="O87" s="3">
        <v>0</v>
      </c>
      <c r="P87" s="15" t="s">
        <v>97</v>
      </c>
      <c r="Q87" s="15" t="s">
        <v>113</v>
      </c>
      <c r="R87" s="3">
        <v>1</v>
      </c>
      <c r="S87" s="3">
        <v>1</v>
      </c>
      <c r="T87" s="3">
        <v>1</v>
      </c>
    </row>
    <row r="88" s="2" customFormat="1" customHeight="1" spans="3:20">
      <c r="C88" s="5">
        <v>82</v>
      </c>
      <c r="D88" s="5">
        <v>17</v>
      </c>
      <c r="E88" s="5">
        <v>2</v>
      </c>
      <c r="F88" s="5" t="s">
        <v>125</v>
      </c>
      <c r="G88" s="11">
        <f t="shared" ref="G88:I88" si="64">G87*R88</f>
        <v>1430000</v>
      </c>
      <c r="H88" s="11">
        <f t="shared" si="64"/>
        <v>1100000</v>
      </c>
      <c r="I88" s="11">
        <f t="shared" si="64"/>
        <v>1650000000</v>
      </c>
      <c r="J88" s="2">
        <v>0</v>
      </c>
      <c r="K88" s="2">
        <v>1800</v>
      </c>
      <c r="L88" s="2">
        <v>1800</v>
      </c>
      <c r="M88" s="2">
        <v>1800</v>
      </c>
      <c r="N88" s="2">
        <v>99</v>
      </c>
      <c r="O88" s="2">
        <v>0</v>
      </c>
      <c r="P88" s="15" t="s">
        <v>98</v>
      </c>
      <c r="Q88" s="15" t="s">
        <v>113</v>
      </c>
      <c r="R88" s="2">
        <v>1.1</v>
      </c>
      <c r="S88" s="2">
        <v>1.1</v>
      </c>
      <c r="T88" s="2">
        <v>1.1</v>
      </c>
    </row>
    <row r="89" s="2" customFormat="1" customHeight="1" spans="3:20">
      <c r="C89" s="5">
        <v>83</v>
      </c>
      <c r="D89" s="5">
        <v>17</v>
      </c>
      <c r="E89" s="5">
        <v>3</v>
      </c>
      <c r="F89" s="5" t="s">
        <v>125</v>
      </c>
      <c r="G89" s="11">
        <f t="shared" ref="G89:I89" si="65">G87*R89</f>
        <v>1495000</v>
      </c>
      <c r="H89" s="11">
        <f t="shared" si="65"/>
        <v>1150000</v>
      </c>
      <c r="I89" s="11">
        <f t="shared" si="65"/>
        <v>1800000000</v>
      </c>
      <c r="J89" s="2">
        <v>0</v>
      </c>
      <c r="K89" s="2">
        <v>1800</v>
      </c>
      <c r="L89" s="2">
        <v>1800</v>
      </c>
      <c r="M89" s="2">
        <v>1800</v>
      </c>
      <c r="N89" s="2">
        <v>99</v>
      </c>
      <c r="O89" s="2">
        <v>0</v>
      </c>
      <c r="P89" s="15" t="s">
        <v>114</v>
      </c>
      <c r="Q89" s="15" t="s">
        <v>115</v>
      </c>
      <c r="R89" s="2">
        <v>1.15</v>
      </c>
      <c r="S89" s="2">
        <v>1.15</v>
      </c>
      <c r="T89" s="2">
        <v>1.2</v>
      </c>
    </row>
    <row r="90" s="2" customFormat="1" customHeight="1" spans="3:20">
      <c r="C90" s="5">
        <v>84</v>
      </c>
      <c r="D90" s="5">
        <v>17</v>
      </c>
      <c r="E90" s="5">
        <v>4</v>
      </c>
      <c r="F90" s="5" t="s">
        <v>127</v>
      </c>
      <c r="G90" s="11">
        <f t="shared" ref="G90:I90" si="66">G87*R90</f>
        <v>1560000</v>
      </c>
      <c r="H90" s="11">
        <f t="shared" si="66"/>
        <v>1200000</v>
      </c>
      <c r="I90" s="11">
        <f t="shared" si="66"/>
        <v>1950000000</v>
      </c>
      <c r="J90" s="2">
        <v>0</v>
      </c>
      <c r="K90" s="2">
        <v>1800</v>
      </c>
      <c r="L90" s="2">
        <v>1800</v>
      </c>
      <c r="M90" s="2">
        <v>1800</v>
      </c>
      <c r="N90" s="2">
        <v>99</v>
      </c>
      <c r="O90" s="2">
        <v>0</v>
      </c>
      <c r="P90" s="15" t="s">
        <v>116</v>
      </c>
      <c r="Q90" s="15" t="s">
        <v>117</v>
      </c>
      <c r="R90" s="2">
        <v>1.2</v>
      </c>
      <c r="S90" s="2">
        <v>1.2</v>
      </c>
      <c r="T90" s="2">
        <v>1.3</v>
      </c>
    </row>
    <row r="91" s="2" customFormat="1" customHeight="1" spans="3:20">
      <c r="C91" s="5">
        <v>85</v>
      </c>
      <c r="D91" s="5">
        <v>17</v>
      </c>
      <c r="E91" s="5">
        <v>5</v>
      </c>
      <c r="F91" s="5" t="s">
        <v>128</v>
      </c>
      <c r="G91" s="11">
        <f t="shared" ref="G91:I91" si="67">G87*R91</f>
        <v>1625000</v>
      </c>
      <c r="H91" s="11">
        <f t="shared" si="67"/>
        <v>1250000</v>
      </c>
      <c r="I91" s="11">
        <f t="shared" si="67"/>
        <v>2250000000</v>
      </c>
      <c r="J91" s="2">
        <v>0</v>
      </c>
      <c r="K91" s="2">
        <v>1800</v>
      </c>
      <c r="L91" s="2">
        <v>1800</v>
      </c>
      <c r="M91" s="2">
        <v>1800</v>
      </c>
      <c r="N91" s="2">
        <v>99</v>
      </c>
      <c r="O91" s="2">
        <v>0</v>
      </c>
      <c r="P91" s="15" t="s">
        <v>119</v>
      </c>
      <c r="Q91" s="15" t="s">
        <v>120</v>
      </c>
      <c r="R91" s="2">
        <v>1.25</v>
      </c>
      <c r="S91" s="2">
        <v>1.25</v>
      </c>
      <c r="T91" s="2">
        <v>1.5</v>
      </c>
    </row>
    <row r="93" s="3" customFormat="1" customHeight="1" spans="1:20">
      <c r="A93" s="2"/>
      <c r="B93" s="2"/>
      <c r="C93" s="5">
        <v>86</v>
      </c>
      <c r="D93" s="5">
        <v>18</v>
      </c>
      <c r="E93" s="12">
        <v>1</v>
      </c>
      <c r="F93" s="12" t="s">
        <v>129</v>
      </c>
      <c r="G93" s="16" t="s">
        <v>130</v>
      </c>
      <c r="H93" s="16" t="s">
        <v>122</v>
      </c>
      <c r="I93" s="16" t="s">
        <v>123</v>
      </c>
      <c r="J93" s="3">
        <v>0</v>
      </c>
      <c r="K93" s="3">
        <v>1800</v>
      </c>
      <c r="L93" s="3">
        <v>1800</v>
      </c>
      <c r="M93" s="3">
        <v>1800</v>
      </c>
      <c r="N93" s="3">
        <v>99</v>
      </c>
      <c r="O93" s="3">
        <v>0</v>
      </c>
      <c r="P93" s="15" t="s">
        <v>97</v>
      </c>
      <c r="Q93" s="15" t="s">
        <v>113</v>
      </c>
      <c r="R93" s="3">
        <v>1</v>
      </c>
      <c r="S93" s="3">
        <v>1</v>
      </c>
      <c r="T93" s="3">
        <v>1</v>
      </c>
    </row>
    <row r="94" s="2" customFormat="1" customHeight="1" spans="3:20">
      <c r="C94" s="5">
        <v>87</v>
      </c>
      <c r="D94" s="5">
        <v>18</v>
      </c>
      <c r="E94" s="5">
        <v>2</v>
      </c>
      <c r="F94" s="5" t="s">
        <v>129</v>
      </c>
      <c r="G94" s="11">
        <f t="shared" ref="G94:I94" si="68">G93*R94</f>
        <v>1870000</v>
      </c>
      <c r="H94" s="11">
        <f t="shared" si="68"/>
        <v>1100000</v>
      </c>
      <c r="I94" s="11">
        <f t="shared" si="68"/>
        <v>1650000000</v>
      </c>
      <c r="J94" s="2">
        <v>0</v>
      </c>
      <c r="K94" s="2">
        <v>1800</v>
      </c>
      <c r="L94" s="2">
        <v>1800</v>
      </c>
      <c r="M94" s="2">
        <v>1800</v>
      </c>
      <c r="N94" s="2">
        <v>99</v>
      </c>
      <c r="O94" s="2">
        <v>0</v>
      </c>
      <c r="P94" s="15" t="s">
        <v>98</v>
      </c>
      <c r="Q94" s="15" t="s">
        <v>113</v>
      </c>
      <c r="R94" s="2">
        <v>1.1</v>
      </c>
      <c r="S94" s="2">
        <v>1.1</v>
      </c>
      <c r="T94" s="2">
        <v>1.1</v>
      </c>
    </row>
    <row r="95" s="2" customFormat="1" customHeight="1" spans="3:20">
      <c r="C95" s="5">
        <v>88</v>
      </c>
      <c r="D95" s="5">
        <v>18</v>
      </c>
      <c r="E95" s="5">
        <v>3</v>
      </c>
      <c r="F95" s="5" t="s">
        <v>129</v>
      </c>
      <c r="G95" s="11">
        <f t="shared" ref="G95:I95" si="69">G93*R95</f>
        <v>1955000</v>
      </c>
      <c r="H95" s="11">
        <f t="shared" si="69"/>
        <v>1150000</v>
      </c>
      <c r="I95" s="11">
        <f t="shared" si="69"/>
        <v>1800000000</v>
      </c>
      <c r="J95" s="2">
        <v>0</v>
      </c>
      <c r="K95" s="2">
        <v>1800</v>
      </c>
      <c r="L95" s="2">
        <v>1800</v>
      </c>
      <c r="M95" s="2">
        <v>1800</v>
      </c>
      <c r="N95" s="2">
        <v>99</v>
      </c>
      <c r="O95" s="2">
        <v>0</v>
      </c>
      <c r="P95" s="15" t="s">
        <v>114</v>
      </c>
      <c r="Q95" s="15" t="s">
        <v>115</v>
      </c>
      <c r="R95" s="2">
        <v>1.15</v>
      </c>
      <c r="S95" s="2">
        <v>1.15</v>
      </c>
      <c r="T95" s="2">
        <v>1.2</v>
      </c>
    </row>
    <row r="96" s="2" customFormat="1" customHeight="1" spans="3:20">
      <c r="C96" s="5">
        <v>89</v>
      </c>
      <c r="D96" s="5">
        <v>18</v>
      </c>
      <c r="E96" s="5">
        <v>4</v>
      </c>
      <c r="F96" s="5" t="s">
        <v>131</v>
      </c>
      <c r="G96" s="11">
        <f t="shared" ref="G96:I96" si="70">G93*R96</f>
        <v>2040000</v>
      </c>
      <c r="H96" s="11">
        <f t="shared" si="70"/>
        <v>1200000</v>
      </c>
      <c r="I96" s="11">
        <f t="shared" si="70"/>
        <v>1950000000</v>
      </c>
      <c r="J96" s="2">
        <v>0</v>
      </c>
      <c r="K96" s="2">
        <v>1800</v>
      </c>
      <c r="L96" s="2">
        <v>1800</v>
      </c>
      <c r="M96" s="2">
        <v>1800</v>
      </c>
      <c r="N96" s="2">
        <v>99</v>
      </c>
      <c r="O96" s="2">
        <v>0</v>
      </c>
      <c r="P96" s="15" t="s">
        <v>116</v>
      </c>
      <c r="Q96" s="15" t="s">
        <v>117</v>
      </c>
      <c r="R96" s="2">
        <v>1.2</v>
      </c>
      <c r="S96" s="2">
        <v>1.2</v>
      </c>
      <c r="T96" s="2">
        <v>1.3</v>
      </c>
    </row>
    <row r="97" s="2" customFormat="1" customHeight="1" spans="3:20">
      <c r="C97" s="5">
        <v>90</v>
      </c>
      <c r="D97" s="5">
        <v>18</v>
      </c>
      <c r="E97" s="5">
        <v>5</v>
      </c>
      <c r="F97" s="5" t="s">
        <v>132</v>
      </c>
      <c r="G97" s="11">
        <f t="shared" ref="G97:I97" si="71">G93*R97</f>
        <v>2125000</v>
      </c>
      <c r="H97" s="11">
        <f t="shared" si="71"/>
        <v>1250000</v>
      </c>
      <c r="I97" s="11">
        <f t="shared" si="71"/>
        <v>2250000000</v>
      </c>
      <c r="J97" s="2">
        <v>0</v>
      </c>
      <c r="K97" s="2">
        <v>1800</v>
      </c>
      <c r="L97" s="2">
        <v>1800</v>
      </c>
      <c r="M97" s="2">
        <v>1800</v>
      </c>
      <c r="N97" s="2">
        <v>99</v>
      </c>
      <c r="O97" s="2">
        <v>0</v>
      </c>
      <c r="P97" s="15" t="s">
        <v>119</v>
      </c>
      <c r="Q97" s="15" t="s">
        <v>120</v>
      </c>
      <c r="R97" s="2">
        <v>1.25</v>
      </c>
      <c r="S97" s="2">
        <v>1.25</v>
      </c>
      <c r="T97" s="2">
        <v>1.5</v>
      </c>
    </row>
    <row r="99" s="3" customFormat="1" customHeight="1" spans="1:20">
      <c r="A99" s="2"/>
      <c r="B99" s="2"/>
      <c r="C99" s="5">
        <v>91</v>
      </c>
      <c r="D99" s="5">
        <v>19</v>
      </c>
      <c r="E99" s="12">
        <v>1</v>
      </c>
      <c r="F99" s="12" t="s">
        <v>133</v>
      </c>
      <c r="G99" s="16" t="s">
        <v>134</v>
      </c>
      <c r="H99" s="16" t="s">
        <v>122</v>
      </c>
      <c r="I99" s="16" t="s">
        <v>123</v>
      </c>
      <c r="J99" s="3">
        <v>0</v>
      </c>
      <c r="K99" s="3">
        <v>1800</v>
      </c>
      <c r="L99" s="3">
        <v>1800</v>
      </c>
      <c r="M99" s="3">
        <v>1800</v>
      </c>
      <c r="N99" s="3">
        <v>99</v>
      </c>
      <c r="O99" s="3">
        <v>0</v>
      </c>
      <c r="P99" s="15" t="s">
        <v>97</v>
      </c>
      <c r="Q99" s="15" t="s">
        <v>113</v>
      </c>
      <c r="R99" s="3">
        <v>1</v>
      </c>
      <c r="S99" s="3">
        <v>1</v>
      </c>
      <c r="T99" s="3">
        <v>1</v>
      </c>
    </row>
    <row r="100" s="2" customFormat="1" customHeight="1" spans="3:20">
      <c r="C100" s="5">
        <v>92</v>
      </c>
      <c r="D100" s="5">
        <v>19</v>
      </c>
      <c r="E100" s="5">
        <v>2</v>
      </c>
      <c r="F100" s="5" t="s">
        <v>133</v>
      </c>
      <c r="G100" s="11">
        <f t="shared" ref="G100:I100" si="72">G99*R100</f>
        <v>2310000</v>
      </c>
      <c r="H100" s="11">
        <f t="shared" si="72"/>
        <v>1100000</v>
      </c>
      <c r="I100" s="11">
        <f t="shared" si="72"/>
        <v>1650000000</v>
      </c>
      <c r="J100" s="2">
        <v>0</v>
      </c>
      <c r="K100" s="2">
        <v>1800</v>
      </c>
      <c r="L100" s="2">
        <v>1800</v>
      </c>
      <c r="M100" s="2">
        <v>1800</v>
      </c>
      <c r="N100" s="2">
        <v>99</v>
      </c>
      <c r="O100" s="2">
        <v>0</v>
      </c>
      <c r="P100" s="15" t="s">
        <v>98</v>
      </c>
      <c r="Q100" s="15" t="s">
        <v>113</v>
      </c>
      <c r="R100" s="2">
        <v>1.1</v>
      </c>
      <c r="S100" s="2">
        <v>1.1</v>
      </c>
      <c r="T100" s="2">
        <v>1.1</v>
      </c>
    </row>
    <row r="101" s="2" customFormat="1" customHeight="1" spans="3:20">
      <c r="C101" s="5">
        <v>93</v>
      </c>
      <c r="D101" s="5">
        <v>19</v>
      </c>
      <c r="E101" s="5">
        <v>3</v>
      </c>
      <c r="F101" s="5" t="s">
        <v>133</v>
      </c>
      <c r="G101" s="11">
        <f t="shared" ref="G101:I101" si="73">G99*R101</f>
        <v>2415000</v>
      </c>
      <c r="H101" s="11">
        <f t="shared" si="73"/>
        <v>1150000</v>
      </c>
      <c r="I101" s="11">
        <f t="shared" si="73"/>
        <v>1800000000</v>
      </c>
      <c r="J101" s="2">
        <v>0</v>
      </c>
      <c r="K101" s="2">
        <v>1800</v>
      </c>
      <c r="L101" s="2">
        <v>1800</v>
      </c>
      <c r="M101" s="2">
        <v>1800</v>
      </c>
      <c r="N101" s="2">
        <v>99</v>
      </c>
      <c r="O101" s="2">
        <v>0</v>
      </c>
      <c r="P101" s="15" t="s">
        <v>114</v>
      </c>
      <c r="Q101" s="15" t="s">
        <v>115</v>
      </c>
      <c r="R101" s="2">
        <v>1.15</v>
      </c>
      <c r="S101" s="2">
        <v>1.15</v>
      </c>
      <c r="T101" s="2">
        <v>1.2</v>
      </c>
    </row>
    <row r="102" s="2" customFormat="1" customHeight="1" spans="3:20">
      <c r="C102" s="5">
        <v>94</v>
      </c>
      <c r="D102" s="5">
        <v>19</v>
      </c>
      <c r="E102" s="5">
        <v>4</v>
      </c>
      <c r="F102" s="5" t="s">
        <v>135</v>
      </c>
      <c r="G102" s="11">
        <f t="shared" ref="G102:I102" si="74">G99*R102</f>
        <v>2520000</v>
      </c>
      <c r="H102" s="11">
        <f t="shared" si="74"/>
        <v>1200000</v>
      </c>
      <c r="I102" s="11">
        <f t="shared" si="74"/>
        <v>1950000000</v>
      </c>
      <c r="J102" s="2">
        <v>0</v>
      </c>
      <c r="K102" s="2">
        <v>1800</v>
      </c>
      <c r="L102" s="2">
        <v>1800</v>
      </c>
      <c r="M102" s="2">
        <v>1800</v>
      </c>
      <c r="N102" s="2">
        <v>99</v>
      </c>
      <c r="O102" s="2">
        <v>0</v>
      </c>
      <c r="P102" s="15" t="s">
        <v>116</v>
      </c>
      <c r="Q102" s="15" t="s">
        <v>117</v>
      </c>
      <c r="R102" s="2">
        <v>1.2</v>
      </c>
      <c r="S102" s="2">
        <v>1.2</v>
      </c>
      <c r="T102" s="2">
        <v>1.3</v>
      </c>
    </row>
    <row r="103" s="2" customFormat="1" customHeight="1" spans="3:20">
      <c r="C103" s="5">
        <v>95</v>
      </c>
      <c r="D103" s="5">
        <v>19</v>
      </c>
      <c r="E103" s="5">
        <v>5</v>
      </c>
      <c r="F103" s="5" t="s">
        <v>136</v>
      </c>
      <c r="G103" s="11">
        <f t="shared" ref="G103:I103" si="75">G99*R103</f>
        <v>2625000</v>
      </c>
      <c r="H103" s="11">
        <f t="shared" si="75"/>
        <v>1250000</v>
      </c>
      <c r="I103" s="11">
        <f t="shared" si="75"/>
        <v>2250000000</v>
      </c>
      <c r="J103" s="2">
        <v>0</v>
      </c>
      <c r="K103" s="2">
        <v>1800</v>
      </c>
      <c r="L103" s="2">
        <v>1800</v>
      </c>
      <c r="M103" s="2">
        <v>1800</v>
      </c>
      <c r="N103" s="2">
        <v>99</v>
      </c>
      <c r="O103" s="2">
        <v>0</v>
      </c>
      <c r="P103" s="15" t="s">
        <v>119</v>
      </c>
      <c r="Q103" s="15" t="s">
        <v>120</v>
      </c>
      <c r="R103" s="2">
        <v>1.25</v>
      </c>
      <c r="S103" s="2">
        <v>1.25</v>
      </c>
      <c r="T103" s="2">
        <v>1.5</v>
      </c>
    </row>
  </sheetData>
  <dataValidations count="1">
    <dataValidation type="custom" allowBlank="1" showErrorMessage="1" errorTitle="拒绝重复输入" error="当前输入的内容，与本区域的其他单元格内容重复。" sqref="C3:Q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2025-07-28T05:08:46Z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
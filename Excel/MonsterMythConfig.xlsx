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<sst xmlns="http://schemas.openxmlformats.org/spreadsheetml/2006/main" count="902" uniqueCount="286">
  <si>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</si>
  <si>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</si>
  <si>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</si>
  <si>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</si>
  <si>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</si>
  <si>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</si>
  <si>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</si>
  <si>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</si>
  <si>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</si>
  <si>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</si>
  <si>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</si>
  <si>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</si>
  <si>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</si>
  <si>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</si>
  <si>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</si>
  <si>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</si>
  <si>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</si>
  <si>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</si>
  <si>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</si>
  <si>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</si>
  <si>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</si>
  <si>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</si>
  <si>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</si>
  <si>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</si>
  <si>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</si>
  <si>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</si>
  <si>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</si>
  <si>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</si>
  <si>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</si>
  <si>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</si>
  <si>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</si>
  <si>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</si>
  <si>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</si>
  <si>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</si>
  <si>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</si>
  <si>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</si>
  <si>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</si>
  <si>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</si>
  <si>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</si>
  <si>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</si>
  <si>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</si>
  <si>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</si>
  <si>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</si>
  <si>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</si>
  <si>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</si>
  <si>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</si>
  <si>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</si>
  <si>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</si>
  <si>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</si>
  <si>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</si>
  <si>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</si>
  <si>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</si>
  <si>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</si>
  <si>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</si>
  <si>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</si>
  <si>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</si>
  <si>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</si>
  <si>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</si>
  <si>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</si>
  <si>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</si>
  <si>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</si>
  <si>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</si>
  <si>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</si>
  <si>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</si>
  <si>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</si>
  <si>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</si>
  <si>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</si>
  <si>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</si>
  <si>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</si>
  <si>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</si>
  <si>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</si>
  <si>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</si>
  <si>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</si>
  <si>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</si>
  <si>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</si>
  <si>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</si>
  <si>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</si>
  <si>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</si>
  <si>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</si>
  <si>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</si>
  <si>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</si>
  <si>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</si>
  <si>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</si>
  <si>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</si>
  <si>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</si>
  <si>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</si>
  <si>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</si>
  <si>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</si>
  <si>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</si>
  <si>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</si>
  <si>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</si>
  <si>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</si>
  <si>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</si>
  <si>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</si>
  <si>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</si>
  <si>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</si>
  <si>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</si>
  <si>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</si>
  <si>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</si>
  <si>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</si>
  <si>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</si>
  <si>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</si>
  <si>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</si>
  <si>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</si>
  <si>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</si>
  <si>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</si>
  <si>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</si>
  <si>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</si>
  <si>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</si>
  <si>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</si>
  <si>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</si>
  <si>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</si>
  <si>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</si>
  <si>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</si>
  <si>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</si>
  <si>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</si>
  <si>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</si>
  <si>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</si>
  <si>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</si>
  <si>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</si>
  <si>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</si>
  <si>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</si>
  <si>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</si>
  <si>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</si>
  <si>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</si>
  <si>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</si>
  <si>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</si>
  <si>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</si>
  <si>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</si>
  <si>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</si>
  <si>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</si>
  <si>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</si>
  <si>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</si>
  <si>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</si>
  <si>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</si>
  <si>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</si>
  <si>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</si>
  <si>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</si>
  <si>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</si>
  <si>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</si>
  <si>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</si>
  <si>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</si>
  <si>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</si>
  <si>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</si>
  <si>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</si>
  <si>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</si>
  <si>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</si>
  <si>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</si>
  <si>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</si>
  <si>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</si>
  <si>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</si>
  <si>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</si>
  <si>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</si>
  <si>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</si>
  <si>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</si>
  <si>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</si>
  <si>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</si>
  <si>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</si>
  <si>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</si>
  <si>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</si>
  <si>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</si>
  <si>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</si>
  <si>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</si>
  <si>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</si>
  <si>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</si>
  <si>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</si>
  <si>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</si>
  <si>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</si>
  <si>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</si>
  <si>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</si>
  <si>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</si>
  <si>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</si>
  <si>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</si>
  <si>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</si>
  <si>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</si>
  <si>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</si>
  <si>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</si>
  <si>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</si>
  <si>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</si>
  <si>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</si>
  <si>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</si>
  <si>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</si>
  <si>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</si>
  <si>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</si>
  <si>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</si>
  <si>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</si>
  <si>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</si>
  <si>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</si>
  <si>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</si>
  <si>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</si>
  <si>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</si>
  <si>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</si>
  <si>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</si>
  <si>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</si>
  <si>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</si>
  <si>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</si>
  <si>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</si>
  <si>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</si>
  <si>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</si>
  <si>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</si>
  <si>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</si>
  <si>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</si>
  <si>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</si>
  <si>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</si>
  <si>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</si>
  <si>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</si>
  <si>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</si>
  <si>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</si>
  <si>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</si>
  <si>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</si>
  <si>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</si>
  <si>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</si>
  <si>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</si>
  <si>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</si>
  <si>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</si>
  <si>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</si>
  <si>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</si>
  <si>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</si>
  <si>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</si>
  <si>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</si>
  <si>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</si>
  <si>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</si>
  <si>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</si>
  <si>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</si>
  <si>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</si>
  <si>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</si>
  <si>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</si>
  <si>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</si>
  <si>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</si>
  <si>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</si>
  <si>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</si>
  <si>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</si>
  <si>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</si>
  <si>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</si>
  <si>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</si>
  <si>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</si>
  <si>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</si>
  <si>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</si>
  <si>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</si>
  <si>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</si>
  <si>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</si>
  <si>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</si>
  <si>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</si>
  <si>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</si>
  <si>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</si>
  <si>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</si>
  <si>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</si>
  <si>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</si>
  <si>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</si>
  <si>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</si>
  <si>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</si>
  <si>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</si>
  <si>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</si>
  <si>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</si>
  <si>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</si>
  <si>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</si>
  <si>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</si>
  <si>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</si>
  <si>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</si>
  <si>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</si>
  <si>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</si>
  <si>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</si>
  <si>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</si>
  <si>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</si>
  <si>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</si>
  <si>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</si>
  <si>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</si>
  <si>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</si>
  <si>
    <t>废墟石灵</t>
  </si>
  <si>
    <t>360000000</t>
  </si>
  <si>
    <t>35000000</t>
  </si>
  <si>
    <t>47000000000000</t>
  </si>
  <si>
    <t>废墟仙将</t>
  </si>
  <si>
    <t>废墟统领</t>
  </si>
  <si>
    <t>凌霄守卫</t>
  </si>
  <si>
    <t>440000000</t>
  </si>
  <si>
    <t>42000000</t>
  </si>
  <si>
    <t>58000000000000</t>
  </si>
  <si>
    <t>凌霄仙将</t>
  </si>
  <si>
    <t>凌霄统领</t>
  </si>
  <si>
    <t>白虎守卫</t>
  </si>
  <si>
    <t>550000000</t>
  </si>
  <si>
    <t>50000000</t>
  </si>
  <si>
    <t>70000000000000</t>
  </si>
  <si>
    <t>白虎将军</t>
  </si>
  <si>
    <t>白虎统领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</si>
</sst>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1"/>
  <sheetViews>
    <sheetView tabSelected="1" workbookViewId="0">
      <pane ySplit="5" topLeftCell="A198" activePane="bottomLeft" state="frozen"/>
      <selection/>
      <selection pane="bottomLeft" activeCell="J247" sqref="J247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34</v>
      </c>
      <c r="H153" s="16" t="s">
        <v>23</v>
      </c>
      <c r="I153" s="16" t="s">
        <v>204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22000000</v>
      </c>
      <c r="H154" s="11">
        <f>H153*T154</f>
        <v>11000000</v>
      </c>
      <c r="I154" s="11">
        <f t="shared" ref="G154:I154" si="110">I153*U154</f>
        <v>960000000000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23000000</v>
      </c>
      <c r="H155" s="11">
        <f>H153*T155</f>
        <v>11500000</v>
      </c>
      <c r="I155" s="11">
        <f t="shared" ref="G155:I155" si="112">I153*U155</f>
        <v>1200000000000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1">
        <f>G153*S156</f>
        <v>24000000</v>
      </c>
      <c r="H156" s="11">
        <f>H153*T156</f>
        <v>12000000</v>
      </c>
      <c r="I156" s="11">
        <f t="shared" ref="G156:I156" si="113">I153*U156</f>
        <v>1440000000000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1">
        <f>G153*S157</f>
        <v>25000000</v>
      </c>
      <c r="H157" s="11">
        <f>H153*T157</f>
        <v>12500000</v>
      </c>
      <c r="I157" s="11">
        <f t="shared" ref="G157:I157" si="114">I153*U157</f>
        <v>2000000000000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207</v>
      </c>
      <c r="G159" s="16" t="s">
        <v>208</v>
      </c>
      <c r="H159" s="16" t="s">
        <v>209</v>
      </c>
      <c r="I159" s="16" t="s">
        <v>210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1">
        <f>G159*S160</f>
        <v>29700000</v>
      </c>
      <c r="H160" s="11">
        <f>H159*T160</f>
        <v>12100000</v>
      </c>
      <c r="I160" s="11">
        <f t="shared" ref="G160:I160" si="115">I159*U160</f>
        <v>1680000000000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1">
        <f>G159*S161</f>
        <v>31050000</v>
      </c>
      <c r="H161" s="11">
        <f>H159*T161</f>
        <v>12650000</v>
      </c>
      <c r="I161" s="11">
        <f t="shared" ref="G161:I161" si="117">I159*U161</f>
        <v>2100000000000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1">
        <f>G159*S162</f>
        <v>32400000</v>
      </c>
      <c r="H162" s="11">
        <f>H159*T162</f>
        <v>13200000</v>
      </c>
      <c r="I162" s="11">
        <f t="shared" ref="G162:I162" si="118">I159*U162</f>
        <v>2520000000000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1">
        <f>G159*S163</f>
        <v>33750000</v>
      </c>
      <c r="H163" s="11">
        <f>H159*T163</f>
        <v>13750000</v>
      </c>
      <c r="I163" s="11">
        <f t="shared" ref="G163:I163" si="119">I159*U163</f>
        <v>3500000000000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213</v>
      </c>
      <c r="G165" s="16" t="s">
        <v>214</v>
      </c>
      <c r="H165" s="16" t="s">
        <v>193</v>
      </c>
      <c r="I165" s="16" t="s">
        <v>215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1">
        <f t="shared" ref="G166:I166" si="120">G165*S166</f>
        <v>39600000</v>
      </c>
      <c r="H166" s="11">
        <f t="shared" si="120"/>
        <v>13200000</v>
      </c>
      <c r="I166" s="11">
        <f t="shared" si="120"/>
        <v>2400000000000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1">
        <f t="shared" ref="G167:I167" si="122">G165*S167</f>
        <v>41400000</v>
      </c>
      <c r="H167" s="11">
        <f t="shared" si="122"/>
        <v>13800000</v>
      </c>
      <c r="I167" s="11">
        <f t="shared" si="122"/>
        <v>3000000000000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1">
        <f t="shared" ref="G168:I168" si="123">G165*S168</f>
        <v>43200000</v>
      </c>
      <c r="H168" s="11">
        <f t="shared" si="123"/>
        <v>14400000</v>
      </c>
      <c r="I168" s="11">
        <f t="shared" si="123"/>
        <v>3600000000000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1">
        <f t="shared" ref="G169:I169" si="124">G165*S169</f>
        <v>45000000</v>
      </c>
      <c r="H169" s="11">
        <f t="shared" si="124"/>
        <v>15000000</v>
      </c>
      <c r="I169" s="11">
        <f t="shared" si="124"/>
        <v>5000000000000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  <row r="171" customHeight="1" spans="3:22">
      <c r="C171" s="5">
        <v>151</v>
      </c>
      <c r="D171" s="5">
        <v>31</v>
      </c>
      <c r="E171" s="12">
        <v>1</v>
      </c>
      <c r="F171" s="12" t="s">
        <v>218</v>
      </c>
      <c r="G171" s="16" t="s">
        <v>219</v>
      </c>
      <c r="H171" s="16" t="s">
        <v>220</v>
      </c>
      <c r="I171" s="16" t="s">
        <v>221</v>
      </c>
      <c r="J171" s="11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5" t="s">
        <v>182</v>
      </c>
      <c r="R171" s="15" t="s">
        <v>183</v>
      </c>
      <c r="S171" s="3">
        <v>1</v>
      </c>
      <c r="T171" s="3">
        <v>1</v>
      </c>
      <c r="U171" s="3">
        <v>1</v>
      </c>
      <c r="V171" s="15" t="s">
        <v>184</v>
      </c>
    </row>
    <row r="172" customHeight="1" spans="3:22">
      <c r="C172" s="5">
        <v>152</v>
      </c>
      <c r="D172" s="5">
        <v>31</v>
      </c>
      <c r="E172" s="5">
        <v>2</v>
      </c>
      <c r="F172" s="5" t="s">
        <v>218</v>
      </c>
      <c r="G172" s="11">
        <f t="shared" ref="G172:I172" si="125">G171*S172</f>
        <v>49500000</v>
      </c>
      <c r="H172" s="11">
        <f t="shared" si="125"/>
        <v>14300000</v>
      </c>
      <c r="I172" s="11">
        <f t="shared" si="125"/>
        <v>3600000000000</v>
      </c>
      <c r="J172" s="11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5" t="s">
        <v>185</v>
      </c>
      <c r="R172" s="15" t="s">
        <v>183</v>
      </c>
      <c r="S172" s="2">
        <v>1.1</v>
      </c>
      <c r="T172" s="2">
        <v>1.1</v>
      </c>
      <c r="U172" s="2">
        <v>1.2</v>
      </c>
      <c r="V172" s="15" t="s">
        <v>186</v>
      </c>
    </row>
    <row r="173" customHeight="1" spans="3:22">
      <c r="C173" s="5">
        <v>153</v>
      </c>
      <c r="D173" s="5">
        <v>31</v>
      </c>
      <c r="E173" s="5">
        <v>3</v>
      </c>
      <c r="F173" s="5" t="s">
        <v>218</v>
      </c>
      <c r="G173" s="11">
        <f t="shared" ref="G173:I173" si="127">G171*S173</f>
        <v>51750000</v>
      </c>
      <c r="H173" s="11">
        <f t="shared" si="127"/>
        <v>14950000</v>
      </c>
      <c r="I173" s="11">
        <f t="shared" si="127"/>
        <v>4500000000000</v>
      </c>
      <c r="J173" s="11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5" t="s">
        <v>182</v>
      </c>
      <c r="R173" s="15" t="s">
        <v>183</v>
      </c>
      <c r="S173" s="2">
        <v>1.15</v>
      </c>
      <c r="T173" s="2">
        <v>1.15</v>
      </c>
      <c r="U173" s="2">
        <v>1.5</v>
      </c>
      <c r="V173" s="15" t="s">
        <v>184</v>
      </c>
    </row>
    <row r="174" customHeight="1" spans="3:22">
      <c r="C174" s="5">
        <v>154</v>
      </c>
      <c r="D174" s="5">
        <v>31</v>
      </c>
      <c r="E174" s="5">
        <v>4</v>
      </c>
      <c r="F174" s="5" t="s">
        <v>222</v>
      </c>
      <c r="G174" s="11">
        <f t="shared" ref="G174:I174" si="128">G171*S174</f>
        <v>54000000</v>
      </c>
      <c r="H174" s="11">
        <f t="shared" si="128"/>
        <v>15600000</v>
      </c>
      <c r="I174" s="11">
        <f t="shared" si="128"/>
        <v>5400000000000</v>
      </c>
      <c r="J174" s="11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5" t="s">
        <v>188</v>
      </c>
      <c r="R174" s="15" t="s">
        <v>189</v>
      </c>
      <c r="S174" s="2">
        <v>1.2</v>
      </c>
      <c r="T174" s="2">
        <v>1.2</v>
      </c>
      <c r="U174" s="2">
        <v>1.8</v>
      </c>
      <c r="V174" s="15" t="s">
        <v>117</v>
      </c>
    </row>
    <row r="175" customHeight="1" spans="3:22">
      <c r="C175" s="5">
        <v>155</v>
      </c>
      <c r="D175" s="5">
        <v>31</v>
      </c>
      <c r="E175" s="5">
        <v>5</v>
      </c>
      <c r="F175" s="5" t="s">
        <v>223</v>
      </c>
      <c r="G175" s="11">
        <f t="shared" ref="G175:I175" si="129">G171*S175</f>
        <v>56250000</v>
      </c>
      <c r="H175" s="11">
        <f t="shared" si="129"/>
        <v>16250000</v>
      </c>
      <c r="I175" s="11">
        <f t="shared" si="129"/>
        <v>7500000000000</v>
      </c>
      <c r="J175" s="11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5" t="s">
        <v>191</v>
      </c>
      <c r="R175" s="15" t="s">
        <v>189</v>
      </c>
      <c r="S175" s="2">
        <v>1.25</v>
      </c>
      <c r="T175" s="2">
        <v>1.25</v>
      </c>
      <c r="U175" s="2">
        <v>2.5</v>
      </c>
      <c r="V175" s="15" t="s">
        <v>191</v>
      </c>
    </row>
    <row r="177" customHeight="1" spans="3:22">
      <c r="C177" s="5">
        <v>156</v>
      </c>
      <c r="D177" s="5">
        <v>32</v>
      </c>
      <c r="E177" s="12">
        <v>1</v>
      </c>
      <c r="F177" s="12" t="s">
        <v>224</v>
      </c>
      <c r="G177" s="16" t="s">
        <v>225</v>
      </c>
      <c r="H177" s="16" t="s">
        <v>226</v>
      </c>
      <c r="I177" s="16" t="s">
        <v>227</v>
      </c>
      <c r="J177" s="11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5" t="s">
        <v>182</v>
      </c>
      <c r="R177" s="15" t="s">
        <v>183</v>
      </c>
      <c r="S177" s="3">
        <v>1</v>
      </c>
      <c r="T177" s="3">
        <v>1</v>
      </c>
      <c r="U177" s="3">
        <v>1</v>
      </c>
      <c r="V177" s="15" t="s">
        <v>184</v>
      </c>
    </row>
    <row r="178" customHeight="1" spans="3:22">
      <c r="C178" s="5">
        <v>157</v>
      </c>
      <c r="D178" s="5">
        <v>32</v>
      </c>
      <c r="E178" s="5">
        <v>2</v>
      </c>
      <c r="F178" s="5" t="s">
        <v>224</v>
      </c>
      <c r="G178" s="11">
        <f t="shared" ref="G178:I178" si="130">G177*S178</f>
        <v>66000000</v>
      </c>
      <c r="H178" s="11">
        <f t="shared" si="130"/>
        <v>15400000</v>
      </c>
      <c r="I178" s="11">
        <f t="shared" si="130"/>
        <v>6000000000000</v>
      </c>
      <c r="J178" s="11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5" t="s">
        <v>185</v>
      </c>
      <c r="R178" s="15" t="s">
        <v>183</v>
      </c>
      <c r="S178" s="2">
        <v>1.1</v>
      </c>
      <c r="T178" s="2">
        <v>1.1</v>
      </c>
      <c r="U178" s="2">
        <v>1.2</v>
      </c>
      <c r="V178" s="15" t="s">
        <v>186</v>
      </c>
    </row>
    <row r="179" customHeight="1" spans="3:22">
      <c r="C179" s="5">
        <v>158</v>
      </c>
      <c r="D179" s="5">
        <v>32</v>
      </c>
      <c r="E179" s="5">
        <v>3</v>
      </c>
      <c r="F179" s="5" t="s">
        <v>224</v>
      </c>
      <c r="G179" s="11">
        <f t="shared" ref="G179:I179" si="132">G177*S179</f>
        <v>69000000</v>
      </c>
      <c r="H179" s="11">
        <f t="shared" si="132"/>
        <v>16100000</v>
      </c>
      <c r="I179" s="11">
        <f t="shared" si="132"/>
        <v>7500000000000</v>
      </c>
      <c r="J179" s="11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5" t="s">
        <v>182</v>
      </c>
      <c r="R179" s="15" t="s">
        <v>183</v>
      </c>
      <c r="S179" s="2">
        <v>1.15</v>
      </c>
      <c r="T179" s="2">
        <v>1.15</v>
      </c>
      <c r="U179" s="2">
        <v>1.5</v>
      </c>
      <c r="V179" s="15" t="s">
        <v>184</v>
      </c>
    </row>
    <row r="180" customHeight="1" spans="3:22">
      <c r="C180" s="5">
        <v>159</v>
      </c>
      <c r="D180" s="5">
        <v>32</v>
      </c>
      <c r="E180" s="5">
        <v>4</v>
      </c>
      <c r="F180" s="5" t="s">
        <v>228</v>
      </c>
      <c r="G180" s="11">
        <f t="shared" ref="G180:I180" si="133">G177*S180</f>
        <v>72000000</v>
      </c>
      <c r="H180" s="11">
        <f t="shared" si="133"/>
        <v>16800000</v>
      </c>
      <c r="I180" s="11">
        <f t="shared" si="133"/>
        <v>9000000000000</v>
      </c>
      <c r="J180" s="11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5" t="s">
        <v>188</v>
      </c>
      <c r="R180" s="15" t="s">
        <v>189</v>
      </c>
      <c r="S180" s="2">
        <v>1.2</v>
      </c>
      <c r="T180" s="2">
        <v>1.2</v>
      </c>
      <c r="U180" s="2">
        <v>1.8</v>
      </c>
      <c r="V180" s="15" t="s">
        <v>117</v>
      </c>
    </row>
    <row r="181" customHeight="1" spans="3:22">
      <c r="C181" s="5">
        <v>160</v>
      </c>
      <c r="D181" s="5">
        <v>32</v>
      </c>
      <c r="E181" s="5">
        <v>5</v>
      </c>
      <c r="F181" s="5" t="s">
        <v>229</v>
      </c>
      <c r="G181" s="11">
        <f t="shared" ref="G181:I181" si="134">G177*S181</f>
        <v>75000000</v>
      </c>
      <c r="H181" s="11">
        <f t="shared" si="134"/>
        <v>17500000</v>
      </c>
      <c r="I181" s="11">
        <f t="shared" si="134"/>
        <v>12500000000000</v>
      </c>
      <c r="J181" s="11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5" t="s">
        <v>191</v>
      </c>
      <c r="R181" s="15" t="s">
        <v>189</v>
      </c>
      <c r="S181" s="2">
        <v>1.25</v>
      </c>
      <c r="T181" s="2">
        <v>1.25</v>
      </c>
      <c r="U181" s="2">
        <v>2.5</v>
      </c>
      <c r="V181" s="15" t="s">
        <v>191</v>
      </c>
    </row>
    <row r="183" customHeight="1" spans="3:22">
      <c r="C183" s="5">
        <v>161</v>
      </c>
      <c r="D183" s="5">
        <v>33</v>
      </c>
      <c r="E183" s="12">
        <v>1</v>
      </c>
      <c r="F183" s="12" t="s">
        <v>230</v>
      </c>
      <c r="G183" s="16" t="s">
        <v>231</v>
      </c>
      <c r="H183" s="16" t="s">
        <v>199</v>
      </c>
      <c r="I183" s="16" t="s">
        <v>232</v>
      </c>
      <c r="J183" s="11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5" t="s">
        <v>182</v>
      </c>
      <c r="R183" s="15" t="s">
        <v>183</v>
      </c>
      <c r="S183" s="3">
        <v>1</v>
      </c>
      <c r="T183" s="3">
        <v>1</v>
      </c>
      <c r="U183" s="3">
        <v>1</v>
      </c>
      <c r="V183" s="15" t="s">
        <v>184</v>
      </c>
    </row>
    <row r="184" customHeight="1" spans="3:22">
      <c r="C184" s="5">
        <v>162</v>
      </c>
      <c r="D184" s="5">
        <v>33</v>
      </c>
      <c r="E184" s="5">
        <v>2</v>
      </c>
      <c r="F184" s="5" t="s">
        <v>230</v>
      </c>
      <c r="G184" s="11">
        <f t="shared" ref="G184:I184" si="135">G183*S184</f>
        <v>88000000</v>
      </c>
      <c r="H184" s="11">
        <f t="shared" si="135"/>
        <v>16500000</v>
      </c>
      <c r="I184" s="11">
        <f t="shared" si="135"/>
        <v>9600000000000</v>
      </c>
      <c r="J184" s="11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5" t="s">
        <v>185</v>
      </c>
      <c r="R184" s="15" t="s">
        <v>183</v>
      </c>
      <c r="S184" s="2">
        <v>1.1</v>
      </c>
      <c r="T184" s="2">
        <v>1.1</v>
      </c>
      <c r="U184" s="2">
        <v>1.2</v>
      </c>
      <c r="V184" s="15" t="s">
        <v>186</v>
      </c>
    </row>
    <row r="185" customHeight="1" spans="3:22">
      <c r="C185" s="5">
        <v>163</v>
      </c>
      <c r="D185" s="5">
        <v>33</v>
      </c>
      <c r="E185" s="5">
        <v>3</v>
      </c>
      <c r="F185" s="5" t="s">
        <v>230</v>
      </c>
      <c r="G185" s="11">
        <f t="shared" ref="G185:I185" si="137">G183*S185</f>
        <v>92000000</v>
      </c>
      <c r="H185" s="11">
        <f t="shared" si="137"/>
        <v>17250000</v>
      </c>
      <c r="I185" s="11">
        <f t="shared" si="137"/>
        <v>12000000000000</v>
      </c>
      <c r="J185" s="11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5" t="s">
        <v>182</v>
      </c>
      <c r="R185" s="15" t="s">
        <v>183</v>
      </c>
      <c r="S185" s="2">
        <v>1.15</v>
      </c>
      <c r="T185" s="2">
        <v>1.15</v>
      </c>
      <c r="U185" s="2">
        <v>1.5</v>
      </c>
      <c r="V185" s="15" t="s">
        <v>184</v>
      </c>
    </row>
    <row r="186" customHeight="1" spans="3:22">
      <c r="C186" s="5">
        <v>164</v>
      </c>
      <c r="D186" s="5">
        <v>33</v>
      </c>
      <c r="E186" s="5">
        <v>4</v>
      </c>
      <c r="F186" s="5" t="s">
        <v>233</v>
      </c>
      <c r="G186" s="11">
        <f t="shared" ref="G186:I186" si="138">G183*S186</f>
        <v>96000000</v>
      </c>
      <c r="H186" s="11">
        <f t="shared" si="138"/>
        <v>18000000</v>
      </c>
      <c r="I186" s="11">
        <f t="shared" si="138"/>
        <v>14400000000000</v>
      </c>
      <c r="J186" s="11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5" t="s">
        <v>188</v>
      </c>
      <c r="R186" s="15" t="s">
        <v>189</v>
      </c>
      <c r="S186" s="2">
        <v>1.2</v>
      </c>
      <c r="T186" s="2">
        <v>1.2</v>
      </c>
      <c r="U186" s="2">
        <v>1.8</v>
      </c>
      <c r="V186" s="15" t="s">
        <v>117</v>
      </c>
    </row>
    <row r="187" customHeight="1" spans="3:22">
      <c r="C187" s="5">
        <v>165</v>
      </c>
      <c r="D187" s="5">
        <v>33</v>
      </c>
      <c r="E187" s="5">
        <v>5</v>
      </c>
      <c r="F187" s="5" t="s">
        <v>234</v>
      </c>
      <c r="G187" s="11">
        <f t="shared" ref="G187:I187" si="139">G183*S187</f>
        <v>100000000</v>
      </c>
      <c r="H187" s="11">
        <f t="shared" si="139"/>
        <v>18750000</v>
      </c>
      <c r="I187" s="11">
        <f t="shared" si="139"/>
        <v>20000000000000</v>
      </c>
      <c r="J187" s="11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5" t="s">
        <v>191</v>
      </c>
      <c r="R187" s="15" t="s">
        <v>189</v>
      </c>
      <c r="S187" s="2">
        <v>1.25</v>
      </c>
      <c r="T187" s="2">
        <v>1.25</v>
      </c>
      <c r="U187" s="2">
        <v>2.5</v>
      </c>
      <c r="V187" s="15" t="s">
        <v>191</v>
      </c>
    </row>
    <row r="189" customHeight="1" spans="3:22">
      <c r="C189" s="5">
        <v>166</v>
      </c>
      <c r="D189" s="5">
        <v>34</v>
      </c>
      <c r="E189" s="12">
        <v>1</v>
      </c>
      <c r="F189" s="12" t="s">
        <v>235</v>
      </c>
      <c r="G189" s="16" t="s">
        <v>236</v>
      </c>
      <c r="H189" s="16" t="s">
        <v>237</v>
      </c>
      <c r="I189" s="16" t="s">
        <v>238</v>
      </c>
      <c r="J189" s="11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15" t="s">
        <v>182</v>
      </c>
      <c r="R189" s="15" t="s">
        <v>183</v>
      </c>
      <c r="S189" s="3">
        <v>1</v>
      </c>
      <c r="T189" s="3">
        <v>1</v>
      </c>
      <c r="U189" s="3">
        <v>1</v>
      </c>
      <c r="V189" s="15" t="s">
        <v>184</v>
      </c>
    </row>
    <row r="190" customHeight="1" spans="3:22">
      <c r="C190" s="5">
        <v>167</v>
      </c>
      <c r="D190" s="5">
        <v>34</v>
      </c>
      <c r="E190" s="5">
        <v>2</v>
      </c>
      <c r="F190" s="5" t="s">
        <v>235</v>
      </c>
      <c r="G190" s="11">
        <f t="shared" ref="G190:I190" si="140">G189*S190</f>
        <v>121000000</v>
      </c>
      <c r="H190" s="11">
        <f t="shared" si="140"/>
        <v>17600000</v>
      </c>
      <c r="I190" s="11">
        <f t="shared" si="140"/>
        <v>14400000000000</v>
      </c>
      <c r="J190" s="11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15" t="s">
        <v>185</v>
      </c>
      <c r="R190" s="15" t="s">
        <v>183</v>
      </c>
      <c r="S190" s="2">
        <v>1.1</v>
      </c>
      <c r="T190" s="2">
        <v>1.1</v>
      </c>
      <c r="U190" s="2">
        <v>1.2</v>
      </c>
      <c r="V190" s="15" t="s">
        <v>186</v>
      </c>
    </row>
    <row r="191" customHeight="1" spans="3:22">
      <c r="C191" s="5">
        <v>168</v>
      </c>
      <c r="D191" s="5">
        <v>34</v>
      </c>
      <c r="E191" s="5">
        <v>3</v>
      </c>
      <c r="F191" s="5" t="s">
        <v>235</v>
      </c>
      <c r="G191" s="11">
        <f t="shared" ref="G191:I191" si="142">G189*S191</f>
        <v>126500000</v>
      </c>
      <c r="H191" s="11">
        <f t="shared" si="142"/>
        <v>18400000</v>
      </c>
      <c r="I191" s="11">
        <f t="shared" si="142"/>
        <v>18000000000000</v>
      </c>
      <c r="J191" s="11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15" t="s">
        <v>182</v>
      </c>
      <c r="R191" s="15" t="s">
        <v>183</v>
      </c>
      <c r="S191" s="2">
        <v>1.15</v>
      </c>
      <c r="T191" s="2">
        <v>1.15</v>
      </c>
      <c r="U191" s="2">
        <v>1.5</v>
      </c>
      <c r="V191" s="15" t="s">
        <v>184</v>
      </c>
    </row>
    <row r="192" customHeight="1" spans="3:22">
      <c r="C192" s="5">
        <v>169</v>
      </c>
      <c r="D192" s="5">
        <v>34</v>
      </c>
      <c r="E192" s="5">
        <v>4</v>
      </c>
      <c r="F192" s="5" t="s">
        <v>239</v>
      </c>
      <c r="G192" s="11">
        <f t="shared" ref="G192:I192" si="143">G189*S192</f>
        <v>132000000</v>
      </c>
      <c r="H192" s="11">
        <f t="shared" si="143"/>
        <v>19200000</v>
      </c>
      <c r="I192" s="11">
        <f t="shared" si="143"/>
        <v>21600000000000</v>
      </c>
      <c r="J192" s="11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15" t="s">
        <v>188</v>
      </c>
      <c r="R192" s="15" t="s">
        <v>189</v>
      </c>
      <c r="S192" s="2">
        <v>1.2</v>
      </c>
      <c r="T192" s="2">
        <v>1.2</v>
      </c>
      <c r="U192" s="2">
        <v>1.8</v>
      </c>
      <c r="V192" s="15" t="s">
        <v>117</v>
      </c>
    </row>
    <row r="193" customHeight="1" spans="3:22">
      <c r="C193" s="5">
        <v>170</v>
      </c>
      <c r="D193" s="5">
        <v>34</v>
      </c>
      <c r="E193" s="5">
        <v>5</v>
      </c>
      <c r="F193" s="5" t="s">
        <v>240</v>
      </c>
      <c r="G193" s="11">
        <f t="shared" ref="G193:I193" si="144">G189*S193</f>
        <v>137500000</v>
      </c>
      <c r="H193" s="11">
        <f t="shared" si="144"/>
        <v>20000000</v>
      </c>
      <c r="I193" s="11">
        <f t="shared" si="144"/>
        <v>30000000000000</v>
      </c>
      <c r="J193" s="11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15" t="s">
        <v>191</v>
      </c>
      <c r="R193" s="15" t="s">
        <v>189</v>
      </c>
      <c r="S193" s="2">
        <v>1.25</v>
      </c>
      <c r="T193" s="2">
        <v>1.25</v>
      </c>
      <c r="U193" s="2">
        <v>2.5</v>
      </c>
      <c r="V193" s="15" t="s">
        <v>191</v>
      </c>
    </row>
    <row r="195" customHeight="1" spans="3:22">
      <c r="C195" s="5">
        <v>171</v>
      </c>
      <c r="D195" s="5">
        <v>35</v>
      </c>
      <c r="E195" s="12">
        <v>1</v>
      </c>
      <c r="F195" s="12" t="s">
        <v>241</v>
      </c>
      <c r="G195" s="16" t="s">
        <v>55</v>
      </c>
      <c r="H195" s="16" t="s">
        <v>242</v>
      </c>
      <c r="I195" s="16" t="s">
        <v>243</v>
      </c>
      <c r="J195" s="11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15" t="s">
        <v>182</v>
      </c>
      <c r="R195" s="15" t="s">
        <v>183</v>
      </c>
      <c r="S195" s="3">
        <v>1</v>
      </c>
      <c r="T195" s="3">
        <v>1</v>
      </c>
      <c r="U195" s="3">
        <v>1</v>
      </c>
      <c r="V195" s="15" t="s">
        <v>184</v>
      </c>
    </row>
    <row r="196" customHeight="1" spans="3:22">
      <c r="C196" s="5">
        <v>172</v>
      </c>
      <c r="D196" s="5">
        <v>35</v>
      </c>
      <c r="E196" s="5">
        <v>2</v>
      </c>
      <c r="F196" s="5" t="s">
        <v>241</v>
      </c>
      <c r="G196" s="11">
        <f t="shared" ref="G196:I196" si="145">G195*S196</f>
        <v>154000000</v>
      </c>
      <c r="H196" s="11">
        <f t="shared" si="145"/>
        <v>19800000</v>
      </c>
      <c r="I196" s="11">
        <f t="shared" si="145"/>
        <v>19200000000000</v>
      </c>
      <c r="J196" s="11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15" t="s">
        <v>185</v>
      </c>
      <c r="R196" s="15" t="s">
        <v>183</v>
      </c>
      <c r="S196" s="2">
        <v>1.1</v>
      </c>
      <c r="T196" s="2">
        <v>1.1</v>
      </c>
      <c r="U196" s="2">
        <v>1.2</v>
      </c>
      <c r="V196" s="15" t="s">
        <v>186</v>
      </c>
    </row>
    <row r="197" customHeight="1" spans="3:22">
      <c r="C197" s="5">
        <v>173</v>
      </c>
      <c r="D197" s="5">
        <v>35</v>
      </c>
      <c r="E197" s="5">
        <v>3</v>
      </c>
      <c r="F197" s="5" t="s">
        <v>241</v>
      </c>
      <c r="G197" s="11">
        <f t="shared" ref="G197:I197" si="147">G195*S197</f>
        <v>161000000</v>
      </c>
      <c r="H197" s="11">
        <f t="shared" si="147"/>
        <v>20700000</v>
      </c>
      <c r="I197" s="11">
        <f t="shared" si="147"/>
        <v>24000000000000</v>
      </c>
      <c r="J197" s="11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15" t="s">
        <v>182</v>
      </c>
      <c r="R197" s="15" t="s">
        <v>183</v>
      </c>
      <c r="S197" s="2">
        <v>1.15</v>
      </c>
      <c r="T197" s="2">
        <v>1.15</v>
      </c>
      <c r="U197" s="2">
        <v>1.5</v>
      </c>
      <c r="V197" s="15" t="s">
        <v>184</v>
      </c>
    </row>
    <row r="198" customHeight="1" spans="3:22">
      <c r="C198" s="5">
        <v>174</v>
      </c>
      <c r="D198" s="5">
        <v>35</v>
      </c>
      <c r="E198" s="5">
        <v>4</v>
      </c>
      <c r="F198" s="5" t="s">
        <v>244</v>
      </c>
      <c r="G198" s="11">
        <f t="shared" ref="G198:I198" si="148">G195*S198</f>
        <v>168000000</v>
      </c>
      <c r="H198" s="11">
        <f t="shared" si="148"/>
        <v>21600000</v>
      </c>
      <c r="I198" s="11">
        <f t="shared" si="148"/>
        <v>28800000000000</v>
      </c>
      <c r="J198" s="11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15" t="s">
        <v>188</v>
      </c>
      <c r="R198" s="15" t="s">
        <v>189</v>
      </c>
      <c r="S198" s="2">
        <v>1.2</v>
      </c>
      <c r="T198" s="2">
        <v>1.2</v>
      </c>
      <c r="U198" s="2">
        <v>1.8</v>
      </c>
      <c r="V198" s="15" t="s">
        <v>117</v>
      </c>
    </row>
    <row r="199" customHeight="1" spans="3:22">
      <c r="C199" s="5">
        <v>175</v>
      </c>
      <c r="D199" s="5">
        <v>35</v>
      </c>
      <c r="E199" s="5">
        <v>5</v>
      </c>
      <c r="F199" s="5" t="s">
        <v>245</v>
      </c>
      <c r="G199" s="11">
        <f t="shared" ref="G199:I199" si="149">G195*S199</f>
        <v>175000000</v>
      </c>
      <c r="H199" s="11">
        <f t="shared" si="149"/>
        <v>22500000</v>
      </c>
      <c r="I199" s="11">
        <f t="shared" si="149"/>
        <v>40000000000000</v>
      </c>
      <c r="J199" s="11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15" t="s">
        <v>191</v>
      </c>
      <c r="R199" s="15" t="s">
        <v>189</v>
      </c>
      <c r="S199" s="2">
        <v>1.25</v>
      </c>
      <c r="T199" s="2">
        <v>1.25</v>
      </c>
      <c r="U199" s="2">
        <v>2.5</v>
      </c>
      <c r="V199" s="15" t="s">
        <v>191</v>
      </c>
    </row>
    <row r="200" customHeight="1" spans="3:22">
      <c r="G200" s="1"/>
    </row>
    <row r="201" customHeight="1" spans="3:22">
      <c r="C201" s="5">
        <v>176</v>
      </c>
      <c r="D201" s="5">
        <v>36</v>
      </c>
      <c r="E201" s="12">
        <v>1</v>
      </c>
      <c r="F201" s="12" t="s">
        <v>246</v>
      </c>
      <c r="G201" s="16" t="s">
        <v>247</v>
      </c>
      <c r="H201" s="16" t="s">
        <v>34</v>
      </c>
      <c r="I201" s="16" t="s">
        <v>248</v>
      </c>
      <c r="J201" s="11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15" t="s">
        <v>182</v>
      </c>
      <c r="R201" s="15" t="s">
        <v>183</v>
      </c>
      <c r="S201" s="3">
        <v>1</v>
      </c>
      <c r="T201" s="3">
        <v>1</v>
      </c>
      <c r="U201" s="3">
        <v>1</v>
      </c>
      <c r="V201" s="15" t="s">
        <v>184</v>
      </c>
    </row>
    <row r="202" customHeight="1" spans="3:22">
      <c r="C202" s="5">
        <v>177</v>
      </c>
      <c r="D202" s="5">
        <v>36</v>
      </c>
      <c r="E202" s="5">
        <v>2</v>
      </c>
      <c r="F202" s="5" t="s">
        <v>246</v>
      </c>
      <c r="G202" s="11">
        <f t="shared" ref="G202:I202" si="150">G201*S202</f>
        <v>198000000</v>
      </c>
      <c r="H202" s="11">
        <f t="shared" si="150"/>
        <v>22000000</v>
      </c>
      <c r="I202" s="11">
        <f t="shared" si="150"/>
        <v>24000000000000</v>
      </c>
      <c r="J202" s="11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15" t="s">
        <v>185</v>
      </c>
      <c r="R202" s="15" t="s">
        <v>183</v>
      </c>
      <c r="S202" s="2">
        <v>1.1</v>
      </c>
      <c r="T202" s="2">
        <v>1.1</v>
      </c>
      <c r="U202" s="2">
        <v>1.2</v>
      </c>
      <c r="V202" s="15" t="s">
        <v>186</v>
      </c>
    </row>
    <row r="203" customHeight="1" spans="3:22">
      <c r="C203" s="5">
        <v>178</v>
      </c>
      <c r="D203" s="5">
        <v>36</v>
      </c>
      <c r="E203" s="5">
        <v>3</v>
      </c>
      <c r="F203" s="5" t="s">
        <v>246</v>
      </c>
      <c r="G203" s="11">
        <f t="shared" ref="G203:I203" si="152">G201*S203</f>
        <v>207000000</v>
      </c>
      <c r="H203" s="11">
        <f t="shared" si="152"/>
        <v>23000000</v>
      </c>
      <c r="I203" s="11">
        <f t="shared" si="152"/>
        <v>30000000000000</v>
      </c>
      <c r="J203" s="11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15" t="s">
        <v>182</v>
      </c>
      <c r="R203" s="15" t="s">
        <v>183</v>
      </c>
      <c r="S203" s="2">
        <v>1.15</v>
      </c>
      <c r="T203" s="2">
        <v>1.15</v>
      </c>
      <c r="U203" s="2">
        <v>1.5</v>
      </c>
      <c r="V203" s="15" t="s">
        <v>184</v>
      </c>
    </row>
    <row r="204" customHeight="1" spans="3:22">
      <c r="C204" s="5">
        <v>179</v>
      </c>
      <c r="D204" s="5">
        <v>36</v>
      </c>
      <c r="E204" s="5">
        <v>4</v>
      </c>
      <c r="F204" s="5" t="s">
        <v>249</v>
      </c>
      <c r="G204" s="11">
        <f t="shared" ref="G204:I204" si="153">G201*S204</f>
        <v>216000000</v>
      </c>
      <c r="H204" s="11">
        <f t="shared" si="153"/>
        <v>24000000</v>
      </c>
      <c r="I204" s="11">
        <f t="shared" si="153"/>
        <v>36000000000000</v>
      </c>
      <c r="J204" s="11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15" t="s">
        <v>188</v>
      </c>
      <c r="R204" s="15" t="s">
        <v>189</v>
      </c>
      <c r="S204" s="2">
        <v>1.2</v>
      </c>
      <c r="T204" s="2">
        <v>1.2</v>
      </c>
      <c r="U204" s="2">
        <v>1.8</v>
      </c>
      <c r="V204" s="15" t="s">
        <v>117</v>
      </c>
    </row>
    <row r="205" customHeight="1" spans="3:22">
      <c r="C205" s="5">
        <v>180</v>
      </c>
      <c r="D205" s="5">
        <v>36</v>
      </c>
      <c r="E205" s="5">
        <v>5</v>
      </c>
      <c r="F205" s="5" t="s">
        <v>250</v>
      </c>
      <c r="G205" s="11">
        <f t="shared" ref="G205:I205" si="154">G201*S205</f>
        <v>225000000</v>
      </c>
      <c r="H205" s="11">
        <f t="shared" si="154"/>
        <v>25000000</v>
      </c>
      <c r="I205" s="11">
        <f t="shared" si="154"/>
        <v>50000000000000</v>
      </c>
      <c r="J205" s="11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15" t="s">
        <v>191</v>
      </c>
      <c r="R205" s="15" t="s">
        <v>189</v>
      </c>
      <c r="S205" s="2">
        <v>1.25</v>
      </c>
      <c r="T205" s="2">
        <v>1.25</v>
      </c>
      <c r="U205" s="2">
        <v>2.5</v>
      </c>
      <c r="V205" s="15" t="s">
        <v>191</v>
      </c>
    </row>
    <row r="206" customHeight="1" spans="3:22">
      <c r="G206" s="1"/>
    </row>
    <row r="207" customHeight="1" spans="3:22">
      <c r="C207" s="5">
        <v>181</v>
      </c>
      <c r="D207" s="5">
        <v>37</v>
      </c>
      <c r="E207" s="12">
        <v>1</v>
      </c>
      <c r="F207" s="12" t="s">
        <v>251</v>
      </c>
      <c r="G207" s="16" t="s">
        <v>252</v>
      </c>
      <c r="H207" s="16" t="s">
        <v>253</v>
      </c>
      <c r="I207" s="16" t="s">
        <v>254</v>
      </c>
      <c r="J207" s="11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15" t="s">
        <v>182</v>
      </c>
      <c r="R207" s="15" t="s">
        <v>183</v>
      </c>
      <c r="S207" s="3">
        <v>1</v>
      </c>
      <c r="T207" s="3">
        <v>1</v>
      </c>
      <c r="U207" s="3">
        <v>1</v>
      </c>
      <c r="V207" s="15" t="s">
        <v>184</v>
      </c>
    </row>
    <row r="208" customHeight="1" spans="3:22">
      <c r="C208" s="5">
        <v>182</v>
      </c>
      <c r="D208" s="5">
        <v>37</v>
      </c>
      <c r="E208" s="5">
        <v>2</v>
      </c>
      <c r="F208" s="5" t="s">
        <v>251</v>
      </c>
      <c r="G208" s="11">
        <f t="shared" ref="G208:I208" si="155">G207*S208</f>
        <v>242000000</v>
      </c>
      <c r="H208" s="11">
        <f t="shared" si="155"/>
        <v>24200000</v>
      </c>
      <c r="I208" s="11">
        <f t="shared" si="155"/>
        <v>30000000000000</v>
      </c>
      <c r="J208" s="11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15" t="s">
        <v>185</v>
      </c>
      <c r="R208" s="15" t="s">
        <v>183</v>
      </c>
      <c r="S208" s="2">
        <v>1.1</v>
      </c>
      <c r="T208" s="2">
        <v>1.1</v>
      </c>
      <c r="U208" s="2">
        <v>1.2</v>
      </c>
      <c r="V208" s="15" t="s">
        <v>186</v>
      </c>
    </row>
    <row r="209" customHeight="1" spans="3:22">
      <c r="C209" s="5">
        <v>183</v>
      </c>
      <c r="D209" s="5">
        <v>37</v>
      </c>
      <c r="E209" s="5">
        <v>3</v>
      </c>
      <c r="F209" s="5" t="s">
        <v>251</v>
      </c>
      <c r="G209" s="11">
        <f t="shared" ref="G209:I209" si="157">G207*S209</f>
        <v>253000000</v>
      </c>
      <c r="H209" s="11">
        <f t="shared" si="157"/>
        <v>25300000</v>
      </c>
      <c r="I209" s="11">
        <f t="shared" si="157"/>
        <v>37500000000000</v>
      </c>
      <c r="J209" s="11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15" t="s">
        <v>182</v>
      </c>
      <c r="R209" s="15" t="s">
        <v>183</v>
      </c>
      <c r="S209" s="2">
        <v>1.15</v>
      </c>
      <c r="T209" s="2">
        <v>1.15</v>
      </c>
      <c r="U209" s="2">
        <v>1.5</v>
      </c>
      <c r="V209" s="15" t="s">
        <v>184</v>
      </c>
    </row>
    <row r="210" customHeight="1" spans="3:22">
      <c r="C210" s="5">
        <v>184</v>
      </c>
      <c r="D210" s="5">
        <v>37</v>
      </c>
      <c r="E210" s="5">
        <v>4</v>
      </c>
      <c r="F210" s="5" t="s">
        <v>255</v>
      </c>
      <c r="G210" s="11">
        <f t="shared" ref="G210:I210" si="158">G207*S210</f>
        <v>264000000</v>
      </c>
      <c r="H210" s="11">
        <f t="shared" si="158"/>
        <v>26400000</v>
      </c>
      <c r="I210" s="11">
        <f t="shared" si="158"/>
        <v>45000000000000</v>
      </c>
      <c r="J210" s="11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15" t="s">
        <v>188</v>
      </c>
      <c r="R210" s="15" t="s">
        <v>189</v>
      </c>
      <c r="S210" s="2">
        <v>1.2</v>
      </c>
      <c r="T210" s="2">
        <v>1.2</v>
      </c>
      <c r="U210" s="2">
        <v>1.8</v>
      </c>
      <c r="V210" s="15" t="s">
        <v>117</v>
      </c>
    </row>
    <row r="211" customHeight="1" spans="3:22">
      <c r="C211" s="5">
        <v>185</v>
      </c>
      <c r="D211" s="5">
        <v>37</v>
      </c>
      <c r="E211" s="5">
        <v>5</v>
      </c>
      <c r="F211" s="5" t="s">
        <v>256</v>
      </c>
      <c r="G211" s="11">
        <f t="shared" ref="G211:I211" si="159">G207*S211</f>
        <v>275000000</v>
      </c>
      <c r="H211" s="11">
        <f t="shared" si="159"/>
        <v>27500000</v>
      </c>
      <c r="I211" s="11">
        <f t="shared" si="159"/>
        <v>62500000000000</v>
      </c>
      <c r="J211" s="11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15" t="s">
        <v>191</v>
      </c>
      <c r="R211" s="15" t="s">
        <v>189</v>
      </c>
      <c r="S211" s="2">
        <v>1.25</v>
      </c>
      <c r="T211" s="2">
        <v>1.25</v>
      </c>
      <c r="U211" s="2">
        <v>2.5</v>
      </c>
      <c r="V211" s="15" t="s">
        <v>191</v>
      </c>
    </row>
    <row r="212" customHeight="1" spans="3:22">
      <c r="G212" s="1"/>
    </row>
    <row r="213" customHeight="1" spans="3:22">
      <c r="C213" s="5">
        <v>186</v>
      </c>
      <c r="D213" s="5">
        <v>38</v>
      </c>
      <c r="E213" s="12">
        <v>1</v>
      </c>
      <c r="F213" s="12" t="s">
        <v>257</v>
      </c>
      <c r="G213" s="16" t="s">
        <v>258</v>
      </c>
      <c r="H213" s="16" t="s">
        <v>259</v>
      </c>
      <c r="I213" s="16" t="s">
        <v>260</v>
      </c>
      <c r="J213" s="11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15" t="s">
        <v>182</v>
      </c>
      <c r="R213" s="15" t="s">
        <v>183</v>
      </c>
      <c r="S213" s="3">
        <v>1</v>
      </c>
      <c r="T213" s="3">
        <v>1</v>
      </c>
      <c r="U213" s="3">
        <v>1</v>
      </c>
      <c r="V213" s="15" t="s">
        <v>184</v>
      </c>
    </row>
    <row r="214" customHeight="1" spans="3:22">
      <c r="C214" s="5">
        <v>187</v>
      </c>
      <c r="D214" s="5">
        <v>38</v>
      </c>
      <c r="E214" s="5">
        <v>2</v>
      </c>
      <c r="F214" s="5" t="s">
        <v>257</v>
      </c>
      <c r="G214" s="11">
        <f t="shared" ref="G214:I214" si="160">G213*S214</f>
        <v>286000000</v>
      </c>
      <c r="H214" s="11">
        <f t="shared" si="160"/>
        <v>27500000</v>
      </c>
      <c r="I214" s="11">
        <f t="shared" si="160"/>
        <v>37200000000000</v>
      </c>
      <c r="J214" s="11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15" t="s">
        <v>185</v>
      </c>
      <c r="R214" s="15" t="s">
        <v>183</v>
      </c>
      <c r="S214" s="2">
        <v>1.1</v>
      </c>
      <c r="T214" s="2">
        <v>1.1</v>
      </c>
      <c r="U214" s="2">
        <v>1.2</v>
      </c>
      <c r="V214" s="15" t="s">
        <v>186</v>
      </c>
    </row>
    <row r="215" customHeight="1" spans="3:22">
      <c r="C215" s="5">
        <v>188</v>
      </c>
      <c r="D215" s="5">
        <v>38</v>
      </c>
      <c r="E215" s="5">
        <v>3</v>
      </c>
      <c r="F215" s="5" t="s">
        <v>257</v>
      </c>
      <c r="G215" s="11">
        <f t="shared" ref="G215:I215" si="162">G213*S215</f>
        <v>299000000</v>
      </c>
      <c r="H215" s="11">
        <f t="shared" si="162"/>
        <v>28750000</v>
      </c>
      <c r="I215" s="11">
        <f t="shared" si="162"/>
        <v>46500000000000</v>
      </c>
      <c r="J215" s="11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15" t="s">
        <v>182</v>
      </c>
      <c r="R215" s="15" t="s">
        <v>183</v>
      </c>
      <c r="S215" s="2">
        <v>1.15</v>
      </c>
      <c r="T215" s="2">
        <v>1.15</v>
      </c>
      <c r="U215" s="2">
        <v>1.5</v>
      </c>
      <c r="V215" s="15" t="s">
        <v>184</v>
      </c>
    </row>
    <row r="216" customHeight="1" spans="3:22">
      <c r="C216" s="5">
        <v>189</v>
      </c>
      <c r="D216" s="5">
        <v>38</v>
      </c>
      <c r="E216" s="5">
        <v>4</v>
      </c>
      <c r="F216" s="5" t="s">
        <v>261</v>
      </c>
      <c r="G216" s="11">
        <f t="shared" ref="G216:I216" si="163">G213*S216</f>
        <v>312000000</v>
      </c>
      <c r="H216" s="11">
        <f t="shared" si="163"/>
        <v>30000000</v>
      </c>
      <c r="I216" s="11">
        <f t="shared" si="163"/>
        <v>55800000000000</v>
      </c>
      <c r="J216" s="11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15" t="s">
        <v>188</v>
      </c>
      <c r="R216" s="15" t="s">
        <v>189</v>
      </c>
      <c r="S216" s="2">
        <v>1.2</v>
      </c>
      <c r="T216" s="2">
        <v>1.2</v>
      </c>
      <c r="U216" s="2">
        <v>1.8</v>
      </c>
      <c r="V216" s="15" t="s">
        <v>117</v>
      </c>
    </row>
    <row r="217" customHeight="1" spans="3:22">
      <c r="C217" s="5">
        <v>190</v>
      </c>
      <c r="D217" s="5">
        <v>38</v>
      </c>
      <c r="E217" s="5">
        <v>5</v>
      </c>
      <c r="F217" s="5" t="s">
        <v>262</v>
      </c>
      <c r="G217" s="11">
        <f t="shared" ref="G217:I217" si="164">G213*S217</f>
        <v>325000000</v>
      </c>
      <c r="H217" s="11">
        <f t="shared" si="164"/>
        <v>31250000</v>
      </c>
      <c r="I217" s="11">
        <f t="shared" si="164"/>
        <v>77500000000000</v>
      </c>
      <c r="J217" s="11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15" t="s">
        <v>191</v>
      </c>
      <c r="R217" s="15" t="s">
        <v>189</v>
      </c>
      <c r="S217" s="2">
        <v>1.25</v>
      </c>
      <c r="T217" s="2">
        <v>1.25</v>
      </c>
      <c r="U217" s="2">
        <v>2.5</v>
      </c>
      <c r="V217" s="15" t="s">
        <v>191</v>
      </c>
    </row>
    <row r="218" customHeight="1" spans="3:22">
      <c r="G218" s="1"/>
    </row>
    <row r="219" customHeight="1" spans="3:22">
      <c r="C219" s="5">
        <v>191</v>
      </c>
      <c r="D219" s="5">
        <v>39</v>
      </c>
      <c r="E219" s="12">
        <v>1</v>
      </c>
      <c r="F219" s="12" t="s">
        <v>263</v>
      </c>
      <c r="G219" s="16" t="s">
        <v>71</v>
      </c>
      <c r="H219" s="16" t="s">
        <v>264</v>
      </c>
      <c r="I219" s="16" t="s">
        <v>265</v>
      </c>
      <c r="J219" s="11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15" t="s">
        <v>182</v>
      </c>
      <c r="R219" s="15" t="s">
        <v>183</v>
      </c>
      <c r="S219" s="3">
        <v>1</v>
      </c>
      <c r="T219" s="3">
        <v>1</v>
      </c>
      <c r="U219" s="3">
        <v>1</v>
      </c>
      <c r="V219" s="15" t="s">
        <v>184</v>
      </c>
    </row>
    <row r="220" customHeight="1" spans="3:22">
      <c r="C220" s="5">
        <v>192</v>
      </c>
      <c r="D220" s="5">
        <v>39</v>
      </c>
      <c r="E220" s="5">
        <v>2</v>
      </c>
      <c r="F220" s="5" t="s">
        <v>263</v>
      </c>
      <c r="G220" s="11">
        <f t="shared" ref="G220:I220" si="165">G219*S220</f>
        <v>330000000</v>
      </c>
      <c r="H220" s="11">
        <f t="shared" si="165"/>
        <v>33000000</v>
      </c>
      <c r="I220" s="11">
        <f t="shared" si="165"/>
        <v>45600000000000</v>
      </c>
      <c r="J220" s="11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15" t="s">
        <v>185</v>
      </c>
      <c r="R220" s="15" t="s">
        <v>183</v>
      </c>
      <c r="S220" s="2">
        <v>1.1</v>
      </c>
      <c r="T220" s="2">
        <v>1.1</v>
      </c>
      <c r="U220" s="2">
        <v>1.2</v>
      </c>
      <c r="V220" s="15" t="s">
        <v>186</v>
      </c>
    </row>
    <row r="221" customHeight="1" spans="3:22">
      <c r="C221" s="5">
        <v>193</v>
      </c>
      <c r="D221" s="5">
        <v>39</v>
      </c>
      <c r="E221" s="5">
        <v>3</v>
      </c>
      <c r="F221" s="5" t="s">
        <v>263</v>
      </c>
      <c r="G221" s="11">
        <f t="shared" ref="G221:I221" si="167">G219*S221</f>
        <v>345000000</v>
      </c>
      <c r="H221" s="11">
        <f t="shared" si="167"/>
        <v>34500000</v>
      </c>
      <c r="I221" s="11">
        <f t="shared" si="167"/>
        <v>57000000000000</v>
      </c>
      <c r="J221" s="11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15" t="s">
        <v>182</v>
      </c>
      <c r="R221" s="15" t="s">
        <v>183</v>
      </c>
      <c r="S221" s="2">
        <v>1.15</v>
      </c>
      <c r="T221" s="2">
        <v>1.15</v>
      </c>
      <c r="U221" s="2">
        <v>1.5</v>
      </c>
      <c r="V221" s="15" t="s">
        <v>184</v>
      </c>
    </row>
    <row r="222" customHeight="1" spans="3:22">
      <c r="C222" s="5">
        <v>194</v>
      </c>
      <c r="D222" s="5">
        <v>39</v>
      </c>
      <c r="E222" s="5">
        <v>4</v>
      </c>
      <c r="F222" s="5" t="s">
        <v>266</v>
      </c>
      <c r="G222" s="11">
        <f t="shared" ref="G222:I222" si="168">G219*S222</f>
        <v>360000000</v>
      </c>
      <c r="H222" s="11">
        <f t="shared" si="168"/>
        <v>36000000</v>
      </c>
      <c r="I222" s="11">
        <f t="shared" si="168"/>
        <v>68400000000000</v>
      </c>
      <c r="J222" s="11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15" t="s">
        <v>188</v>
      </c>
      <c r="R222" s="15" t="s">
        <v>189</v>
      </c>
      <c r="S222" s="2">
        <v>1.2</v>
      </c>
      <c r="T222" s="2">
        <v>1.2</v>
      </c>
      <c r="U222" s="2">
        <v>1.8</v>
      </c>
      <c r="V222" s="15" t="s">
        <v>117</v>
      </c>
    </row>
    <row r="223" customHeight="1" spans="3:22">
      <c r="C223" s="5">
        <v>195</v>
      </c>
      <c r="D223" s="5">
        <v>39</v>
      </c>
      <c r="E223" s="5">
        <v>5</v>
      </c>
      <c r="F223" s="5" t="s">
        <v>267</v>
      </c>
      <c r="G223" s="11">
        <f t="shared" ref="G223:I223" si="169">G219*S223</f>
        <v>375000000</v>
      </c>
      <c r="H223" s="11">
        <f t="shared" si="169"/>
        <v>37500000</v>
      </c>
      <c r="I223" s="11">
        <f t="shared" si="169"/>
        <v>95000000000000</v>
      </c>
      <c r="J223" s="11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15" t="s">
        <v>191</v>
      </c>
      <c r="R223" s="15" t="s">
        <v>189</v>
      </c>
      <c r="S223" s="2">
        <v>1.25</v>
      </c>
      <c r="T223" s="2">
        <v>1.25</v>
      </c>
      <c r="U223" s="2">
        <v>2.5</v>
      </c>
      <c r="V223" s="15" t="s">
        <v>191</v>
      </c>
    </row>
    <row r="224" customHeight="1" spans="3:22">
      <c r="G224" s="1"/>
    </row>
    <row r="225" customHeight="1" spans="3:22">
      <c r="C225" s="5">
        <v>196</v>
      </c>
      <c r="D225" s="5">
        <v>40</v>
      </c>
      <c r="E225" s="12">
        <v>1</v>
      </c>
      <c r="F225" s="12" t="s">
        <v>268</v>
      </c>
      <c r="G225" s="16" t="s">
        <v>269</v>
      </c>
      <c r="H225" s="16" t="s">
        <v>270</v>
      </c>
      <c r="I225" s="16" t="s">
        <v>271</v>
      </c>
      <c r="J225" s="11">
        <v>340</v>
      </c>
      <c r="K225" s="3">
        <v>100</v>
      </c>
      <c r="L225" s="3">
        <v>1800</v>
      </c>
      <c r="M225" s="3">
        <v>1800</v>
      </c>
      <c r="N225" s="3">
        <v>1800</v>
      </c>
      <c r="O225" s="3">
        <v>99</v>
      </c>
      <c r="P225" s="3">
        <v>0</v>
      </c>
      <c r="Q225" s="15" t="s">
        <v>182</v>
      </c>
      <c r="R225" s="15" t="s">
        <v>183</v>
      </c>
      <c r="S225" s="3">
        <v>1</v>
      </c>
      <c r="T225" s="3">
        <v>1</v>
      </c>
      <c r="U225" s="3">
        <v>1</v>
      </c>
      <c r="V225" s="15" t="s">
        <v>184</v>
      </c>
    </row>
    <row r="226" customHeight="1" spans="3:22">
      <c r="C226" s="5">
        <v>197</v>
      </c>
      <c r="D226" s="5">
        <v>40</v>
      </c>
      <c r="E226" s="5">
        <v>2</v>
      </c>
      <c r="F226" s="5" t="s">
        <v>268</v>
      </c>
      <c r="G226" s="11">
        <f t="shared" ref="G226:I226" si="170">G225*S226</f>
        <v>396000000</v>
      </c>
      <c r="H226" s="11">
        <f t="shared" si="170"/>
        <v>38500000</v>
      </c>
      <c r="I226" s="11">
        <f t="shared" si="170"/>
        <v>56400000000000</v>
      </c>
      <c r="J226" s="11">
        <f t="shared" ref="J226:J229" si="171">J225+10</f>
        <v>350</v>
      </c>
      <c r="K226" s="3">
        <v>100</v>
      </c>
      <c r="L226" s="2">
        <v>1800</v>
      </c>
      <c r="M226" s="2">
        <v>1800</v>
      </c>
      <c r="N226" s="2">
        <v>1800</v>
      </c>
      <c r="O226" s="2">
        <v>99</v>
      </c>
      <c r="P226" s="2">
        <v>0</v>
      </c>
      <c r="Q226" s="15" t="s">
        <v>185</v>
      </c>
      <c r="R226" s="15" t="s">
        <v>183</v>
      </c>
      <c r="S226" s="2">
        <v>1.1</v>
      </c>
      <c r="T226" s="2">
        <v>1.1</v>
      </c>
      <c r="U226" s="2">
        <v>1.2</v>
      </c>
      <c r="V226" s="15" t="s">
        <v>186</v>
      </c>
    </row>
    <row r="227" customHeight="1" spans="3:22">
      <c r="C227" s="5">
        <v>198</v>
      </c>
      <c r="D227" s="5">
        <v>40</v>
      </c>
      <c r="E227" s="5">
        <v>3</v>
      </c>
      <c r="F227" s="5" t="s">
        <v>268</v>
      </c>
      <c r="G227" s="11">
        <f t="shared" ref="G227:I227" si="172">G225*S227</f>
        <v>414000000</v>
      </c>
      <c r="H227" s="11">
        <f t="shared" si="172"/>
        <v>40250000</v>
      </c>
      <c r="I227" s="11">
        <f t="shared" si="172"/>
        <v>70500000000000</v>
      </c>
      <c r="J227" s="11">
        <f t="shared" si="171"/>
        <v>360</v>
      </c>
      <c r="K227" s="3">
        <v>100</v>
      </c>
      <c r="L227" s="2">
        <v>1800</v>
      </c>
      <c r="M227" s="2">
        <v>1800</v>
      </c>
      <c r="N227" s="2">
        <v>1800</v>
      </c>
      <c r="O227" s="2">
        <v>99</v>
      </c>
      <c r="P227" s="2">
        <v>0</v>
      </c>
      <c r="Q227" s="15" t="s">
        <v>182</v>
      </c>
      <c r="R227" s="15" t="s">
        <v>183</v>
      </c>
      <c r="S227" s="2">
        <v>1.15</v>
      </c>
      <c r="T227" s="2">
        <v>1.15</v>
      </c>
      <c r="U227" s="2">
        <v>1.5</v>
      </c>
      <c r="V227" s="15" t="s">
        <v>184</v>
      </c>
    </row>
    <row r="228" customHeight="1" spans="3:22">
      <c r="C228" s="5">
        <v>199</v>
      </c>
      <c r="D228" s="5">
        <v>40</v>
      </c>
      <c r="E228" s="5">
        <v>4</v>
      </c>
      <c r="F228" s="5" t="s">
        <v>272</v>
      </c>
      <c r="G228" s="11">
        <f t="shared" ref="G228:I228" si="173">G225*S228</f>
        <v>432000000</v>
      </c>
      <c r="H228" s="11">
        <f t="shared" si="173"/>
        <v>42000000</v>
      </c>
      <c r="I228" s="11">
        <f t="shared" si="173"/>
        <v>84600000000000</v>
      </c>
      <c r="J228" s="11">
        <f t="shared" si="171"/>
        <v>370</v>
      </c>
      <c r="K228" s="3">
        <v>100</v>
      </c>
      <c r="L228" s="2">
        <v>1800</v>
      </c>
      <c r="M228" s="2">
        <v>1800</v>
      </c>
      <c r="N228" s="2">
        <v>1800</v>
      </c>
      <c r="O228" s="2">
        <v>99</v>
      </c>
      <c r="P228" s="2">
        <v>0</v>
      </c>
      <c r="Q228" s="15" t="s">
        <v>188</v>
      </c>
      <c r="R228" s="15" t="s">
        <v>189</v>
      </c>
      <c r="S228" s="2">
        <v>1.2</v>
      </c>
      <c r="T228" s="2">
        <v>1.2</v>
      </c>
      <c r="U228" s="2">
        <v>1.8</v>
      </c>
      <c r="V228" s="15" t="s">
        <v>117</v>
      </c>
    </row>
    <row r="229" customHeight="1" spans="3:22">
      <c r="C229" s="5">
        <v>200</v>
      </c>
      <c r="D229" s="5">
        <v>40</v>
      </c>
      <c r="E229" s="5">
        <v>5</v>
      </c>
      <c r="F229" s="5" t="s">
        <v>273</v>
      </c>
      <c r="G229" s="11">
        <f t="shared" ref="G229:I229" si="174">G225*S229</f>
        <v>450000000</v>
      </c>
      <c r="H229" s="11">
        <f t="shared" si="174"/>
        <v>43750000</v>
      </c>
      <c r="I229" s="11">
        <f t="shared" si="174"/>
        <v>117500000000000</v>
      </c>
      <c r="J229" s="11">
        <f t="shared" si="171"/>
        <v>380</v>
      </c>
      <c r="K229" s="3">
        <v>100</v>
      </c>
      <c r="L229" s="2">
        <v>1800</v>
      </c>
      <c r="M229" s="2">
        <v>1800</v>
      </c>
      <c r="N229" s="2">
        <v>1800</v>
      </c>
      <c r="O229" s="2">
        <v>99</v>
      </c>
      <c r="P229" s="2">
        <v>0</v>
      </c>
      <c r="Q229" s="15" t="s">
        <v>191</v>
      </c>
      <c r="R229" s="15" t="s">
        <v>189</v>
      </c>
      <c r="S229" s="2">
        <v>1.25</v>
      </c>
      <c r="T229" s="2">
        <v>1.25</v>
      </c>
      <c r="U229" s="2">
        <v>2.5</v>
      </c>
      <c r="V229" s="15" t="s">
        <v>191</v>
      </c>
    </row>
    <row r="230" customHeight="1" spans="3:22">
      <c r="G230" s="1"/>
    </row>
    <row r="231" customHeight="1" spans="3:22">
      <c r="C231" s="5">
        <v>201</v>
      </c>
      <c r="D231" s="5">
        <v>41</v>
      </c>
      <c r="E231" s="12">
        <v>1</v>
      </c>
      <c r="F231" s="12" t="s">
        <v>274</v>
      </c>
      <c r="G231" s="16" t="s">
        <v>275</v>
      </c>
      <c r="H231" s="16" t="s">
        <v>276</v>
      </c>
      <c r="I231" s="16" t="s">
        <v>277</v>
      </c>
      <c r="J231" s="11">
        <v>350</v>
      </c>
      <c r="K231" s="3">
        <v>100</v>
      </c>
      <c r="L231" s="3">
        <v>1800</v>
      </c>
      <c r="M231" s="3">
        <v>1800</v>
      </c>
      <c r="N231" s="3">
        <v>1800</v>
      </c>
      <c r="O231" s="3">
        <v>99</v>
      </c>
      <c r="P231" s="3">
        <v>0</v>
      </c>
      <c r="Q231" s="15" t="s">
        <v>182</v>
      </c>
      <c r="R231" s="15" t="s">
        <v>183</v>
      </c>
      <c r="S231" s="3">
        <v>1</v>
      </c>
      <c r="T231" s="3">
        <v>1</v>
      </c>
      <c r="U231" s="3">
        <v>1</v>
      </c>
      <c r="V231" s="15" t="s">
        <v>184</v>
      </c>
    </row>
    <row r="232" customHeight="1" spans="3:22">
      <c r="C232" s="5">
        <v>202</v>
      </c>
      <c r="D232" s="5">
        <v>41</v>
      </c>
      <c r="E232" s="5">
        <v>2</v>
      </c>
      <c r="F232" s="5" t="s">
        <v>274</v>
      </c>
      <c r="G232" s="11">
        <f t="shared" ref="G232:I232" si="175">G231*S232</f>
        <v>484000000</v>
      </c>
      <c r="H232" s="11">
        <f t="shared" si="175"/>
        <v>46200000</v>
      </c>
      <c r="I232" s="11">
        <f t="shared" si="175"/>
        <v>69600000000000</v>
      </c>
      <c r="J232" s="11">
        <f t="shared" ref="J232:J235" si="176">J231+10</f>
        <v>360</v>
      </c>
      <c r="K232" s="3">
        <v>100</v>
      </c>
      <c r="L232" s="2">
        <v>1800</v>
      </c>
      <c r="M232" s="2">
        <v>1800</v>
      </c>
      <c r="N232" s="2">
        <v>1800</v>
      </c>
      <c r="O232" s="2">
        <v>99</v>
      </c>
      <c r="P232" s="2">
        <v>0</v>
      </c>
      <c r="Q232" s="15" t="s">
        <v>185</v>
      </c>
      <c r="R232" s="15" t="s">
        <v>183</v>
      </c>
      <c r="S232" s="2">
        <v>1.1</v>
      </c>
      <c r="T232" s="2">
        <v>1.1</v>
      </c>
      <c r="U232" s="2">
        <v>1.2</v>
      </c>
      <c r="V232" s="15" t="s">
        <v>186</v>
      </c>
    </row>
    <row r="233" customHeight="1" spans="3:22">
      <c r="C233" s="5">
        <v>203</v>
      </c>
      <c r="D233" s="5">
        <v>41</v>
      </c>
      <c r="E233" s="5">
        <v>3</v>
      </c>
      <c r="F233" s="5" t="s">
        <v>274</v>
      </c>
      <c r="G233" s="11">
        <f t="shared" ref="G233:I233" si="177">G231*S233</f>
        <v>506000000</v>
      </c>
      <c r="H233" s="11">
        <f t="shared" si="177"/>
        <v>48300000</v>
      </c>
      <c r="I233" s="11">
        <f t="shared" si="177"/>
        <v>87000000000000</v>
      </c>
      <c r="J233" s="11">
        <f t="shared" si="176"/>
        <v>370</v>
      </c>
      <c r="K233" s="3">
        <v>100</v>
      </c>
      <c r="L233" s="2">
        <v>1800</v>
      </c>
      <c r="M233" s="2">
        <v>1800</v>
      </c>
      <c r="N233" s="2">
        <v>1800</v>
      </c>
      <c r="O233" s="2">
        <v>99</v>
      </c>
      <c r="P233" s="2">
        <v>0</v>
      </c>
      <c r="Q233" s="15" t="s">
        <v>182</v>
      </c>
      <c r="R233" s="15" t="s">
        <v>183</v>
      </c>
      <c r="S233" s="2">
        <v>1.15</v>
      </c>
      <c r="T233" s="2">
        <v>1.15</v>
      </c>
      <c r="U233" s="2">
        <v>1.5</v>
      </c>
      <c r="V233" s="15" t="s">
        <v>184</v>
      </c>
    </row>
    <row r="234" customHeight="1" spans="3:22">
      <c r="C234" s="5">
        <v>204</v>
      </c>
      <c r="D234" s="5">
        <v>41</v>
      </c>
      <c r="E234" s="5">
        <v>4</v>
      </c>
      <c r="F234" s="5" t="s">
        <v>278</v>
      </c>
      <c r="G234" s="11">
        <f t="shared" ref="G234:I234" si="178">G231*S234</f>
        <v>528000000</v>
      </c>
      <c r="H234" s="11">
        <f t="shared" si="178"/>
        <v>50400000</v>
      </c>
      <c r="I234" s="11">
        <f t="shared" si="178"/>
        <v>104400000000000</v>
      </c>
      <c r="J234" s="11">
        <f t="shared" si="176"/>
        <v>380</v>
      </c>
      <c r="K234" s="3">
        <v>100</v>
      </c>
      <c r="L234" s="2">
        <v>1800</v>
      </c>
      <c r="M234" s="2">
        <v>1800</v>
      </c>
      <c r="N234" s="2">
        <v>1800</v>
      </c>
      <c r="O234" s="2">
        <v>99</v>
      </c>
      <c r="P234" s="2">
        <v>0</v>
      </c>
      <c r="Q234" s="15" t="s">
        <v>188</v>
      </c>
      <c r="R234" s="15" t="s">
        <v>189</v>
      </c>
      <c r="S234" s="2">
        <v>1.2</v>
      </c>
      <c r="T234" s="2">
        <v>1.2</v>
      </c>
      <c r="U234" s="2">
        <v>1.8</v>
      </c>
      <c r="V234" s="15" t="s">
        <v>117</v>
      </c>
    </row>
    <row r="235" customHeight="1" spans="3:22">
      <c r="C235" s="5">
        <v>205</v>
      </c>
      <c r="D235" s="5">
        <v>41</v>
      </c>
      <c r="E235" s="5">
        <v>5</v>
      </c>
      <c r="F235" s="5" t="s">
        <v>279</v>
      </c>
      <c r="G235" s="11">
        <f t="shared" ref="G235:I235" si="179">G231*S235</f>
        <v>550000000</v>
      </c>
      <c r="H235" s="11">
        <f t="shared" si="179"/>
        <v>52500000</v>
      </c>
      <c r="I235" s="11">
        <f t="shared" si="179"/>
        <v>145000000000000</v>
      </c>
      <c r="J235" s="11">
        <f t="shared" si="176"/>
        <v>390</v>
      </c>
      <c r="K235" s="3">
        <v>100</v>
      </c>
      <c r="L235" s="2">
        <v>1800</v>
      </c>
      <c r="M235" s="2">
        <v>1800</v>
      </c>
      <c r="N235" s="2">
        <v>1800</v>
      </c>
      <c r="O235" s="2">
        <v>99</v>
      </c>
      <c r="P235" s="2">
        <v>0</v>
      </c>
      <c r="Q235" s="15" t="s">
        <v>191</v>
      </c>
      <c r="R235" s="15" t="s">
        <v>189</v>
      </c>
      <c r="S235" s="2">
        <v>1.25</v>
      </c>
      <c r="T235" s="2">
        <v>1.25</v>
      </c>
      <c r="U235" s="2">
        <v>2.5</v>
      </c>
      <c r="V235" s="15" t="s">
        <v>191</v>
      </c>
    </row>
    <row r="236" customHeight="1" spans="3:22">
      <c r="G236" s="1"/>
    </row>
    <row r="237" customHeight="1" spans="3:22">
      <c r="C237" s="5">
        <v>206</v>
      </c>
      <c r="D237" s="5">
        <v>42</v>
      </c>
      <c r="E237" s="12">
        <v>1</v>
      </c>
      <c r="F237" s="12" t="s">
        <v>280</v>
      </c>
      <c r="G237" s="16" t="s">
        <v>281</v>
      </c>
      <c r="H237" s="16" t="s">
        <v>282</v>
      </c>
      <c r="I237" s="16" t="s">
        <v>283</v>
      </c>
      <c r="J237" s="11">
        <v>360</v>
      </c>
      <c r="K237" s="3">
        <v>100</v>
      </c>
      <c r="L237" s="3">
        <v>1800</v>
      </c>
      <c r="M237" s="3">
        <v>1800</v>
      </c>
      <c r="N237" s="3">
        <v>1800</v>
      </c>
      <c r="O237" s="3">
        <v>99</v>
      </c>
      <c r="P237" s="3">
        <v>0</v>
      </c>
      <c r="Q237" s="15" t="s">
        <v>182</v>
      </c>
      <c r="R237" s="15" t="s">
        <v>183</v>
      </c>
      <c r="S237" s="3">
        <v>1</v>
      </c>
      <c r="T237" s="3">
        <v>1</v>
      </c>
      <c r="U237" s="3">
        <v>1</v>
      </c>
      <c r="V237" s="15" t="s">
        <v>184</v>
      </c>
    </row>
    <row r="238" customHeight="1" spans="3:22">
      <c r="C238" s="5">
        <v>207</v>
      </c>
      <c r="D238" s="5">
        <v>42</v>
      </c>
      <c r="E238" s="5">
        <v>2</v>
      </c>
      <c r="F238" s="5" t="s">
        <v>280</v>
      </c>
      <c r="G238" s="11">
        <f t="shared" ref="G238:I238" si="180">G237*S238</f>
        <v>605000000</v>
      </c>
      <c r="H238" s="11">
        <f t="shared" si="180"/>
        <v>55000000</v>
      </c>
      <c r="I238" s="11">
        <f t="shared" si="180"/>
        <v>84000000000000</v>
      </c>
      <c r="J238" s="11">
        <f t="shared" ref="J238:J241" si="181">J237+10</f>
        <v>370</v>
      </c>
      <c r="K238" s="3">
        <v>100</v>
      </c>
      <c r="L238" s="2">
        <v>1800</v>
      </c>
      <c r="M238" s="2">
        <v>1800</v>
      </c>
      <c r="N238" s="2">
        <v>1800</v>
      </c>
      <c r="O238" s="2">
        <v>99</v>
      </c>
      <c r="P238" s="2">
        <v>0</v>
      </c>
      <c r="Q238" s="15" t="s">
        <v>185</v>
      </c>
      <c r="R238" s="15" t="s">
        <v>183</v>
      </c>
      <c r="S238" s="2">
        <v>1.1</v>
      </c>
      <c r="T238" s="2">
        <v>1.1</v>
      </c>
      <c r="U238" s="2">
        <v>1.2</v>
      </c>
      <c r="V238" s="15" t="s">
        <v>186</v>
      </c>
    </row>
    <row r="239" customHeight="1" spans="3:22">
      <c r="C239" s="5">
        <v>208</v>
      </c>
      <c r="D239" s="5">
        <v>42</v>
      </c>
      <c r="E239" s="5">
        <v>3</v>
      </c>
      <c r="F239" s="5" t="s">
        <v>280</v>
      </c>
      <c r="G239" s="11">
        <f t="shared" ref="G239:I239" si="182">G237*S239</f>
        <v>632500000</v>
      </c>
      <c r="H239" s="11">
        <f t="shared" si="182"/>
        <v>57500000</v>
      </c>
      <c r="I239" s="11">
        <f t="shared" si="182"/>
        <v>105000000000000</v>
      </c>
      <c r="J239" s="11">
        <f t="shared" si="181"/>
        <v>380</v>
      </c>
      <c r="K239" s="3">
        <v>100</v>
      </c>
      <c r="L239" s="2">
        <v>1800</v>
      </c>
      <c r="M239" s="2">
        <v>1800</v>
      </c>
      <c r="N239" s="2">
        <v>1800</v>
      </c>
      <c r="O239" s="2">
        <v>99</v>
      </c>
      <c r="P239" s="2">
        <v>0</v>
      </c>
      <c r="Q239" s="15" t="s">
        <v>182</v>
      </c>
      <c r="R239" s="15" t="s">
        <v>183</v>
      </c>
      <c r="S239" s="2">
        <v>1.15</v>
      </c>
      <c r="T239" s="2">
        <v>1.15</v>
      </c>
      <c r="U239" s="2">
        <v>1.5</v>
      </c>
      <c r="V239" s="15" t="s">
        <v>184</v>
      </c>
    </row>
    <row r="240" customHeight="1" spans="3:22">
      <c r="C240" s="5">
        <v>209</v>
      </c>
      <c r="D240" s="5">
        <v>42</v>
      </c>
      <c r="E240" s="5">
        <v>4</v>
      </c>
      <c r="F240" s="5" t="s">
        <v>284</v>
      </c>
      <c r="G240" s="11">
        <f t="shared" ref="G240:I240" si="183">G237*S240</f>
        <v>660000000</v>
      </c>
      <c r="H240" s="11">
        <f t="shared" si="183"/>
        <v>60000000</v>
      </c>
      <c r="I240" s="11">
        <f t="shared" si="183"/>
        <v>126000000000000</v>
      </c>
      <c r="J240" s="11">
        <f t="shared" si="181"/>
        <v>390</v>
      </c>
      <c r="K240" s="3">
        <v>100</v>
      </c>
      <c r="L240" s="2">
        <v>1800</v>
      </c>
      <c r="M240" s="2">
        <v>1800</v>
      </c>
      <c r="N240" s="2">
        <v>1800</v>
      </c>
      <c r="O240" s="2">
        <v>99</v>
      </c>
      <c r="P240" s="2">
        <v>0</v>
      </c>
      <c r="Q240" s="15" t="s">
        <v>188</v>
      </c>
      <c r="R240" s="15" t="s">
        <v>189</v>
      </c>
      <c r="S240" s="2">
        <v>1.2</v>
      </c>
      <c r="T240" s="2">
        <v>1.2</v>
      </c>
      <c r="U240" s="2">
        <v>1.8</v>
      </c>
      <c r="V240" s="15" t="s">
        <v>117</v>
      </c>
    </row>
    <row r="241" customHeight="1" spans="3:22">
      <c r="C241" s="5">
        <v>210</v>
      </c>
      <c r="D241" s="5">
        <v>42</v>
      </c>
      <c r="E241" s="5">
        <v>5</v>
      </c>
      <c r="F241" s="5" t="s">
        <v>285</v>
      </c>
      <c r="G241" s="11">
        <f t="shared" ref="G241:I241" si="184">G237*S241</f>
        <v>687500000</v>
      </c>
      <c r="H241" s="11">
        <f t="shared" si="184"/>
        <v>62500000</v>
      </c>
      <c r="I241" s="11">
        <f t="shared" si="184"/>
        <v>175000000000000</v>
      </c>
      <c r="J241" s="11">
        <f t="shared" si="181"/>
        <v>400</v>
      </c>
      <c r="K241" s="3">
        <v>100</v>
      </c>
      <c r="L241" s="2">
        <v>1800</v>
      </c>
      <c r="M241" s="2">
        <v>1800</v>
      </c>
      <c r="N241" s="2">
        <v>1800</v>
      </c>
      <c r="O241" s="2">
        <v>99</v>
      </c>
      <c r="P241" s="2">
        <v>0</v>
      </c>
      <c r="Q241" s="15" t="s">
        <v>191</v>
      </c>
      <c r="R241" s="15" t="s">
        <v>189</v>
      </c>
      <c r="S241" s="2">
        <v>1.25</v>
      </c>
      <c r="T241" s="2">
        <v>1.25</v>
      </c>
      <c r="U241" s="2">
        <v>2.5</v>
      </c>
      <c r="V241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2026-07-16T10:52:51Z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
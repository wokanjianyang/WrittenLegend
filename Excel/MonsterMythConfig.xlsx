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1"/>
  </bookViews>
  <sheets>
    <sheet name="生成配置" sheetId="2" r:id="rId1"/>
    <sheet name="Sheet1" sheetId="3" r:id="rId2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<sst xmlns="http://schemas.openxmlformats.org/spreadsheetml/2006/main" count="1165" uniqueCount="330">
  <si>
    <t>#</t>
  </si>
  <si>
    <t>ID</t>
  </si>
  <si>
    <t>MapId</t>
  </si>
  <si>
    <t>Quality</t>
  </si>
  <si>
    <t>MonsterName</t>
  </si>
  <si>
    <t>Attr</t>
  </si>
  <si>
    <t>Def</t>
  </si>
  <si>
    <t>HP</t>
  </si>
  <si>
    <t>Speed</t>
  </si>
  <si>
    <t>DamageIncrea</t>
  </si>
  <si>
    <t>DamageResist</t>
  </si>
  <si>
    <t>CritRateResist</t>
  </si>
  <si>
    <t>CritDamageResist</t>
  </si>
  <si>
    <t>Protect</t>
  </si>
  <si>
    <t>ResotrePercent</t>
  </si>
  <si>
    <t>SkillIdList</t>
  </si>
  <si>
    <t>SkillLevelList</t>
  </si>
  <si>
    <t>Id</t>
  </si>
  <si>
    <t>int</t>
  </si>
  <si>
    <t>string</t>
  </si>
  <si>
    <t>int[]</t>
  </si>
  <si>
    <t>神话小鸡</t>
  </si>
  <si>
    <t>30000</t>
  </si>
  <si>
    <t>10000000</t>
  </si>
  <si>
    <t>1001</t>
  </si>
  <si>
    <t>10</t>
  </si>
  <si>
    <t>神话大鸡</t>
  </si>
  <si>
    <t>1003</t>
  </si>
  <si>
    <t>2001</t>
  </si>
  <si>
    <t>神话鸡王</t>
  </si>
  <si>
    <t>3001,3002</t>
  </si>
  <si>
    <t>100,10</t>
  </si>
  <si>
    <t>神话小鹿</t>
  </si>
  <si>
    <t>50000</t>
  </si>
  <si>
    <t>20000000</t>
  </si>
  <si>
    <t>神话鹿王</t>
  </si>
  <si>
    <t>1000,10</t>
  </si>
  <si>
    <t>神话小花</t>
  </si>
  <si>
    <t>70000</t>
  </si>
  <si>
    <t>40000000</t>
  </si>
  <si>
    <t>神话花王</t>
  </si>
  <si>
    <t>神话骷髅</t>
  </si>
  <si>
    <t>90000</t>
  </si>
  <si>
    <t>70000000</t>
  </si>
  <si>
    <t>1002</t>
  </si>
  <si>
    <t>神话骷髅王</t>
  </si>
  <si>
    <t>神话毒蛇</t>
  </si>
  <si>
    <t>120000</t>
  </si>
  <si>
    <t>100000000</t>
  </si>
  <si>
    <t>2002</t>
  </si>
  <si>
    <t>2003</t>
  </si>
  <si>
    <t>2004</t>
  </si>
  <si>
    <t>神话蛇王</t>
  </si>
  <si>
    <t>神话僵尸</t>
  </si>
  <si>
    <t>150000</t>
  </si>
  <si>
    <t>140000000</t>
  </si>
  <si>
    <t>3001</t>
  </si>
  <si>
    <t>200</t>
  </si>
  <si>
    <t>3002</t>
  </si>
  <si>
    <t>3002,3003</t>
  </si>
  <si>
    <t>10,10</t>
  </si>
  <si>
    <t>神话尸王</t>
  </si>
  <si>
    <t>3002,2009</t>
  </si>
  <si>
    <t>神话恶魔</t>
  </si>
  <si>
    <t>180000</t>
  </si>
  <si>
    <t>210000000</t>
  </si>
  <si>
    <t>2001,2002</t>
  </si>
  <si>
    <t>3001,3002,1004</t>
  </si>
  <si>
    <t>1000,10,10</t>
  </si>
  <si>
    <t>神话蜈蚣</t>
  </si>
  <si>
    <t>210000</t>
  </si>
  <si>
    <t>300000000</t>
  </si>
  <si>
    <t>神话蜈蚣王</t>
  </si>
  <si>
    <t>3001,3002,2007</t>
  </si>
  <si>
    <t>神话野猪</t>
  </si>
  <si>
    <t>250000</t>
  </si>
  <si>
    <t>400000000</t>
  </si>
  <si>
    <t>神话猪王</t>
  </si>
  <si>
    <t>神话邪魔</t>
  </si>
  <si>
    <t>300000</t>
  </si>
  <si>
    <t>500000000</t>
  </si>
  <si>
    <t>神话红蛛</t>
  </si>
  <si>
    <t>350000</t>
  </si>
  <si>
    <t>600000000</t>
  </si>
  <si>
    <t>1500,10</t>
  </si>
  <si>
    <t>1002,2002,2003</t>
  </si>
  <si>
    <t>10,10,10</t>
  </si>
  <si>
    <t>神话蛛王</t>
  </si>
  <si>
    <t>1002,1009,1004,1008</t>
  </si>
  <si>
    <t>1500,10,10,10</t>
  </si>
  <si>
    <t>神话魔龙</t>
  </si>
  <si>
    <t>400000</t>
  </si>
  <si>
    <t>700000000</t>
  </si>
  <si>
    <t>神话魔王</t>
  </si>
  <si>
    <t>2002,2009,2007,2008</t>
  </si>
  <si>
    <t>神话雷龙</t>
  </si>
  <si>
    <t>500000</t>
  </si>
  <si>
    <t>750000000</t>
  </si>
  <si>
    <t>1002,1008</t>
  </si>
  <si>
    <t>2002,2008</t>
  </si>
  <si>
    <t>3001,3002,3008</t>
  </si>
  <si>
    <t>1500,10,10</t>
  </si>
  <si>
    <t>1002,2002,2003,1009</t>
  </si>
  <si>
    <t>10,10,10,10</t>
  </si>
  <si>
    <t>神话雷龙王</t>
  </si>
  <si>
    <t>3001,1002,2009,2007,3008,2010</t>
  </si>
  <si>
    <t>1500,10,10,10,10,10</t>
  </si>
  <si>
    <t>神话冰龙</t>
  </si>
  <si>
    <t>600000</t>
  </si>
  <si>
    <t>900000000</t>
  </si>
  <si>
    <t>神话冰龙王</t>
  </si>
  <si>
    <t>神话月狐</t>
  </si>
  <si>
    <t>800000</t>
  </si>
  <si>
    <t>1200000000</t>
  </si>
  <si>
    <t>20,20</t>
  </si>
  <si>
    <t>1001,1004,1007</t>
  </si>
  <si>
    <t>3000,20,20</t>
  </si>
  <si>
    <t>2002,2007,2008,2009</t>
  </si>
  <si>
    <t>20,20,20,20</t>
  </si>
  <si>
    <t>神话狐王</t>
  </si>
  <si>
    <t>3001,1004,2009,2007,3008,2010,1001</t>
  </si>
  <si>
    <t>3000,20,20,20,20,20,20</t>
  </si>
  <si>
    <t>神话巨魔</t>
  </si>
  <si>
    <t>1000000</t>
  </si>
  <si>
    <t>1500000000</t>
  </si>
  <si>
    <t>神话泰坦</t>
  </si>
  <si>
    <t>卧龙小兵</t>
  </si>
  <si>
    <t>1300000</t>
  </si>
  <si>
    <t>1950000000</t>
  </si>
  <si>
    <t>1001,1004,1007,1005</t>
  </si>
  <si>
    <t>3000,20,20,200</t>
  </si>
  <si>
    <t>卧龙战将</t>
  </si>
  <si>
    <t>2002,2007,2008,2009,1005</t>
  </si>
  <si>
    <t>20,20,20,20,200</t>
  </si>
  <si>
    <t>卧龙统领</t>
  </si>
  <si>
    <t>3001,1004,2009,2007,3008,2010,1001,1005</t>
  </si>
  <si>
    <t>3000,20,20,20,20,20,20,200</t>
  </si>
  <si>
    <t>神话蝙蝠</t>
  </si>
  <si>
    <t>1600000</t>
  </si>
  <si>
    <t>2400000000</t>
  </si>
  <si>
    <t>1001,1004,1007,2005</t>
  </si>
  <si>
    <t>神话蝠王</t>
  </si>
  <si>
    <t>2002,2007,2008,2009,2005</t>
  </si>
  <si>
    <t>神话蝠皇</t>
  </si>
  <si>
    <t>3001,1004,2009,2007,3008,2010,1001,2005</t>
  </si>
  <si>
    <t>神话骨魔</t>
  </si>
  <si>
    <t>2000000</t>
  </si>
  <si>
    <t>3000000000</t>
  </si>
  <si>
    <t>1001,1004,1007,3005</t>
  </si>
  <si>
    <t>神话骨王</t>
  </si>
  <si>
    <t>2002,2007,2008,2009,3005</t>
  </si>
  <si>
    <t>神话骨皇</t>
  </si>
  <si>
    <t>3001,1004,2009,2007,3008,2010,1001,3005</t>
  </si>
  <si>
    <t>神话金龙</t>
  </si>
  <si>
    <t>2500000</t>
  </si>
  <si>
    <t>6000000000</t>
  </si>
  <si>
    <t>神话金龙王</t>
  </si>
  <si>
    <t>神话金龙皇</t>
  </si>
  <si>
    <t>神话木龙</t>
  </si>
  <si>
    <t>3000000</t>
  </si>
  <si>
    <t>9000000000</t>
  </si>
  <si>
    <t>神话木龙王</t>
  </si>
  <si>
    <t>神话木龙皇</t>
  </si>
  <si>
    <t>神话水龙</t>
  </si>
  <si>
    <t>4000000</t>
  </si>
  <si>
    <t>14000000000</t>
  </si>
  <si>
    <t>神话水龙王</t>
  </si>
  <si>
    <t>神话水龙皇</t>
  </si>
  <si>
    <t>神话火龙</t>
  </si>
  <si>
    <t>5000000</t>
  </si>
  <si>
    <t>20000000000</t>
  </si>
  <si>
    <t>神话火龙王</t>
  </si>
  <si>
    <t>神话火龙皇</t>
  </si>
  <si>
    <t>神话土龙</t>
  </si>
  <si>
    <t>6000000</t>
  </si>
  <si>
    <t>30000000000</t>
  </si>
  <si>
    <t>神话土龙王</t>
  </si>
  <si>
    <t>神话土龙皇</t>
  </si>
  <si>
    <t>仙域小鸡</t>
  </si>
  <si>
    <t>9000000</t>
  </si>
  <si>
    <t>7000000</t>
  </si>
  <si>
    <t>150000000000</t>
  </si>
  <si>
    <t>1012,1004</t>
  </si>
  <si>
    <t>1,1,1</t>
  </si>
  <si>
    <t>1012,1004,1008</t>
  </si>
  <si>
    <t>2002,2007</t>
  </si>
  <si>
    <t>2002,2007,2008</t>
  </si>
  <si>
    <t>仙域小鸡王</t>
  </si>
  <si>
    <t>2002,2007,2009</t>
  </si>
  <si>
    <t>1,1,1,1,1,1</t>
  </si>
  <si>
    <t>仙域小鸡皇</t>
  </si>
  <si>
    <t>1012,2007,2009,3008,2010</t>
  </si>
  <si>
    <t>仙域小鹿</t>
  </si>
  <si>
    <t>12000000</t>
  </si>
  <si>
    <t>8000000</t>
  </si>
  <si>
    <t>300000000000</t>
  </si>
  <si>
    <t>仙域小鹿王</t>
  </si>
  <si>
    <t>仙域小鹿皇</t>
  </si>
  <si>
    <t>仙域灵花</t>
  </si>
  <si>
    <t>15000000</t>
  </si>
  <si>
    <t>500000000000</t>
  </si>
  <si>
    <t>仙域灵花王</t>
  </si>
  <si>
    <t>仙域灵花皇</t>
  </si>
  <si>
    <t>仙域战魂</t>
  </si>
  <si>
    <t>800000000000</t>
  </si>
  <si>
    <t>仙域战魂王</t>
  </si>
  <si>
    <t>仙域战魂皇</t>
  </si>
  <si>
    <t>仙域蛟蛇</t>
  </si>
  <si>
    <t>27000000</t>
  </si>
  <si>
    <t>11000000</t>
  </si>
  <si>
    <t>1400000000000</t>
  </si>
  <si>
    <t>仙域蛟蛇王</t>
  </si>
  <si>
    <t>仙域蛟蛇皇</t>
  </si>
  <si>
    <t>仙域傀儡</t>
  </si>
  <si>
    <t>36000000</t>
  </si>
  <si>
    <t>2000000000000</t>
  </si>
  <si>
    <t>仙域傀儡王</t>
  </si>
  <si>
    <t>仙域傀儡皇</t>
  </si>
  <si>
    <t>仙域鹰</t>
  </si>
  <si>
    <t>45000000</t>
  </si>
  <si>
    <t>13000000</t>
  </si>
  <si>
    <t>3000000000000</t>
  </si>
  <si>
    <t>仙域鹰王</t>
  </si>
  <si>
    <t>仙域鹰皇</t>
  </si>
  <si>
    <t>仙域虫</t>
  </si>
  <si>
    <t>60000000</t>
  </si>
  <si>
    <t>14000000</t>
  </si>
  <si>
    <t>5000000000000</t>
  </si>
  <si>
    <t>仙域虫王</t>
  </si>
  <si>
    <t>仙域虫皇</t>
  </si>
  <si>
    <t>仙域猪</t>
  </si>
  <si>
    <t>80000000</t>
  </si>
  <si>
    <t>8000000000000</t>
  </si>
  <si>
    <t>仙域猪王</t>
  </si>
  <si>
    <t>仙域猪皇</t>
  </si>
  <si>
    <t>仙域邪魔</t>
  </si>
  <si>
    <t>110000000</t>
  </si>
  <si>
    <t>16000000</t>
  </si>
  <si>
    <t>12000000000000</t>
  </si>
  <si>
    <t>仙域邪王</t>
  </si>
  <si>
    <t>仙域邪皇</t>
  </si>
  <si>
    <t>仙域魔蛛</t>
  </si>
  <si>
    <t>18000000</t>
  </si>
  <si>
    <t>16000000000000</t>
  </si>
  <si>
    <t>仙域蛛王</t>
  </si>
  <si>
    <t>仙域蛛皇</t>
  </si>
  <si>
    <t>仙域魔龙</t>
  </si>
  <si>
    <t>180000000</t>
  </si>
  <si>
    <t>20000000000000</t>
  </si>
  <si>
    <t>仙域魔龙王</t>
  </si>
  <si>
    <t>仙域魔龙皇</t>
  </si>
  <si>
    <t>仙域雷龙</t>
  </si>
  <si>
    <t>220000000</t>
  </si>
  <si>
    <t>22000000</t>
  </si>
  <si>
    <t>25000000000000</t>
  </si>
  <si>
    <t>仙域雷龙王</t>
  </si>
  <si>
    <t>仙域雷龙皇</t>
  </si>
  <si>
    <t>仙域冰龙</t>
  </si>
  <si>
    <t>260000000</t>
  </si>
  <si>
    <t>25000000</t>
  </si>
  <si>
    <t>31000000000000</t>
  </si>
  <si>
    <t>仙域冰龙王</t>
  </si>
  <si>
    <t>仙域冰龙皇</t>
  </si>
  <si>
    <t>仙域狐仙</t>
  </si>
  <si>
    <t>30000000</t>
  </si>
  <si>
    <t>38000000000000</t>
  </si>
  <si>
    <t>仙域狐仙王</t>
  </si>
  <si>
    <t>仙域狐仙皇</t>
  </si>
  <si>
    <t>废墟石灵</t>
  </si>
  <si>
    <t>360000000</t>
  </si>
  <si>
    <t>35000000</t>
  </si>
  <si>
    <t>47000000000000</t>
  </si>
  <si>
    <t>废墟仙将</t>
  </si>
  <si>
    <t>废墟统领</t>
  </si>
  <si>
    <t>凌霄守卫</t>
  </si>
  <si>
    <t>440000000</t>
  </si>
  <si>
    <t>42000000</t>
  </si>
  <si>
    <t>58000000000000</t>
  </si>
  <si>
    <t>凌霄仙将</t>
  </si>
  <si>
    <t>凌霄统领</t>
  </si>
  <si>
    <t>白虎守卫</t>
  </si>
  <si>
    <t>550000000</t>
  </si>
  <si>
    <t>50000000</t>
  </si>
  <si>
    <t>70000000000000</t>
  </si>
  <si>
    <t>白虎将军</t>
  </si>
  <si>
    <t>白虎统领</t>
  </si>
  <si>
    <t>青龙守卫</t>
  </si>
  <si>
    <t>90000000000000</t>
  </si>
  <si>
    <t>青龙将军</t>
  </si>
  <si>
    <t>青龙统领</t>
  </si>
  <si>
    <t>朱雀守卫</t>
  </si>
  <si>
    <t>120000000000000</t>
  </si>
  <si>
    <t>朱雀将军</t>
  </si>
  <si>
    <t>朱雀统领</t>
  </si>
  <si>
    <t>玄武守卫</t>
  </si>
  <si>
    <t>150000000</t>
  </si>
  <si>
    <t>160000000000000</t>
  </si>
  <si>
    <t>玄武将军</t>
  </si>
  <si>
    <t>玄武统领</t>
  </si>
  <si>
    <t>麒麟守卫</t>
  </si>
  <si>
    <t>1600000000</t>
  </si>
  <si>
    <t>210000000000000</t>
  </si>
  <si>
    <t>麒麟将军</t>
  </si>
  <si>
    <t>麒麟统领</t>
  </si>
  <si>
    <t>仙界守卫</t>
  </si>
  <si>
    <t>2100000000</t>
  </si>
  <si>
    <t>270000000000000</t>
  </si>
  <si>
    <t>仙界将军</t>
  </si>
  <si>
    <t>仙界统领</t>
  </si>
  <si>
    <t>神界守卫</t>
  </si>
  <si>
    <t>2700000000</t>
  </si>
  <si>
    <t>350000000000000</t>
  </si>
  <si>
    <t>神界将军</t>
  </si>
  <si>
    <t>神界统领</t>
  </si>
  <si>
    <t>魔域小鸡</t>
  </si>
  <si>
    <t>3400000000</t>
  </si>
  <si>
    <t>500000000000000</t>
  </si>
  <si>
    <t>魔域鸡王</t>
  </si>
  <si>
    <t>魔域鸡皇</t>
  </si>
  <si>
    <t>魔域小鹿</t>
  </si>
  <si>
    <t>4200000000</t>
  </si>
  <si>
    <t>3600000000</t>
  </si>
  <si>
    <t>800000000000000</t>
  </si>
  <si>
    <t>魔域鹿王</t>
  </si>
  <si>
    <t>魔域鹿皇</t>
  </si>
  <si>
    <t>魔域灵花</t>
  </si>
  <si>
    <t>5100000000</t>
  </si>
  <si>
    <t>1200000000000000</t>
  </si>
  <si>
    <t>魔域花王</t>
  </si>
  <si>
    <t>魔域花皇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</si>
</sst>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1" fillId="0" borderId="0" xfId="0" applyNumberFormat="1" applyFont="1"/>
    <xf numFmtId="0" fontId="1" fillId="0" borderId="0" xfId="0" applyFont="1" applyFill="1"/>
    <xf numFmtId="176" fontId="1" fillId="0" borderId="0" xfId="0" applyNumberFormat="1" applyFo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176" fontId="1" fillId="0" borderId="0" xfId="0" applyNumberFormat="1" applyFont="1" applyFill="1" applyAlignment="1">
      <alignment horizontal="left"/>
    </xf>
    <xf numFmtId="0" fontId="1" fillId="2" borderId="0" xfId="0" applyFont="1" applyFill="1"/>
    <xf numFmtId="176" fontId="1" fillId="2" borderId="0" xfId="0" applyNumberFormat="1" applyFont="1" applyFill="1" applyAlignment="1">
      <alignment horizontal="left"/>
    </xf>
    <xf numFmtId="0" fontId="0" fillId="0" borderId="0" xfId="0" applyFill="1"/>
    <xf numFmtId="176" fontId="1" fillId="0" borderId="0" xfId="0" applyNumberFormat="1" applyFont="1" applyAlignment="1">
      <alignment horizontal="left"/>
    </xf>
    <xf numFmtId="176" fontId="1" fillId="0" borderId="0" xfId="0" applyNumberFormat="1" applyFont="1" applyFill="1" applyAlignment="1" quotePrefix="1">
      <alignment horizontal="left"/>
    </xf>
    <xf numFmtId="0" fontId="1" fillId="0" borderId="0" xfId="0" applyNumberFormat="1" applyFont="1" applyFill="1" quotePrefix="1"/>
    <xf numFmtId="176" fontId="1" fillId="2" borderId="0" xfId="0" applyNumberFormat="1" applyFont="1" applyFill="1" applyAlignment="1" quotePrefix="1">
      <alignment horizontal="left"/>
    </xf>
    <xf numFmtId="0" fontId="1" fillId="2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7"/>
  <sheetViews>
    <sheetView workbookViewId="0">
      <pane ySplit="5" topLeftCell="A231" activePane="bottomLeft" state="frozen"/>
      <selection/>
      <selection pane="bottomLeft" activeCell="G273" sqref="G273"/>
    </sheetView>
  </sheetViews>
  <sheetFormatPr defaultColWidth="9" defaultRowHeight="14" customHeight="1"/>
  <cols>
    <col min="1" max="1" width="6.875" style="4" customWidth="1"/>
    <col min="2" max="2" width="8" style="4" customWidth="1"/>
    <col min="3" max="4" width="9.875" style="5" customWidth="1"/>
    <col min="5" max="5" width="9.875" style="1" customWidth="1"/>
    <col min="6" max="6" width="16.25" style="1" customWidth="1"/>
    <col min="7" max="7" width="11.625" style="14" customWidth="1"/>
    <col min="8" max="8" width="17" style="14" customWidth="1"/>
    <col min="9" max="10" width="19.25" style="14" customWidth="1"/>
    <col min="11" max="11" width="11.5" style="4" customWidth="1"/>
    <col min="12" max="12" width="9.875" style="4" customWidth="1"/>
    <col min="13" max="13" width="10.375" style="4" customWidth="1"/>
    <col min="14" max="14" width="12" style="4" customWidth="1"/>
    <col min="15" max="15" width="9.375" style="4" customWidth="1"/>
    <col min="16" max="16" width="12.5" style="4" customWidth="1"/>
    <col min="17" max="17" width="33.9166666666667" style="4" customWidth="1"/>
    <col min="18" max="18" width="21.25" style="4" customWidth="1"/>
    <col min="19" max="16384" width="9" style="4"/>
  </cols>
  <sheetData>
    <row r="1" s="1" customFormat="1" customHeight="1" spans="1:22">
      <c r="A1" s="4"/>
      <c r="B1" s="4"/>
      <c r="C1" s="5"/>
      <c r="D1" s="5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1" t="s">
        <v>0</v>
      </c>
      <c r="T1" s="1" t="s">
        <v>0</v>
      </c>
      <c r="U1" s="1" t="s">
        <v>0</v>
      </c>
      <c r="V1" s="1" t="s">
        <v>0</v>
      </c>
    </row>
    <row r="2" s="1" customFormat="1" customHeight="1" spans="1:22">
      <c r="A2" s="4"/>
      <c r="B2" s="4"/>
      <c r="C2" s="5"/>
      <c r="D2" s="5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1" t="s">
        <v>0</v>
      </c>
      <c r="T2" s="1" t="s">
        <v>0</v>
      </c>
      <c r="U2" s="1" t="s">
        <v>0</v>
      </c>
      <c r="V2" s="1" t="s">
        <v>0</v>
      </c>
    </row>
    <row r="3" s="1" customFormat="1" customHeight="1" spans="1:22">
      <c r="A3" s="4"/>
      <c r="B3" s="4"/>
      <c r="C3" s="7" t="s">
        <v>1</v>
      </c>
      <c r="D3" s="7" t="s">
        <v>2</v>
      </c>
      <c r="E3" s="8" t="s">
        <v>3</v>
      </c>
      <c r="F3" s="8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</row>
    <row r="4" s="1" customFormat="1" customHeight="1" spans="1:22">
      <c r="A4" s="4"/>
      <c r="B4" s="4"/>
      <c r="C4" s="7" t="s">
        <v>17</v>
      </c>
      <c r="D4" s="7" t="s">
        <v>2</v>
      </c>
      <c r="E4" s="8" t="s">
        <v>3</v>
      </c>
      <c r="F4" s="8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16</v>
      </c>
    </row>
    <row r="5" s="1" customFormat="1" customHeight="1" spans="1:22">
      <c r="A5" s="4"/>
      <c r="B5" s="4"/>
      <c r="C5" s="7" t="s">
        <v>18</v>
      </c>
      <c r="D5" s="7" t="s">
        <v>18</v>
      </c>
      <c r="E5" s="8" t="s">
        <v>18</v>
      </c>
      <c r="F5" s="8" t="s">
        <v>19</v>
      </c>
      <c r="G5" s="9" t="s">
        <v>19</v>
      </c>
      <c r="H5" s="9" t="s">
        <v>19</v>
      </c>
      <c r="I5" s="9" t="s">
        <v>19</v>
      </c>
      <c r="J5" s="9" t="s">
        <v>18</v>
      </c>
      <c r="K5" s="8" t="s">
        <v>18</v>
      </c>
      <c r="L5" s="8" t="s">
        <v>18</v>
      </c>
      <c r="M5" s="8" t="s">
        <v>18</v>
      </c>
      <c r="N5" s="8" t="s">
        <v>18</v>
      </c>
      <c r="O5" s="8" t="s">
        <v>18</v>
      </c>
      <c r="P5" s="8" t="s">
        <v>18</v>
      </c>
      <c r="Q5" s="8" t="s">
        <v>20</v>
      </c>
      <c r="R5" s="8" t="s">
        <v>20</v>
      </c>
    </row>
    <row r="6" customHeight="1" spans="1:22">
      <c r="C6" s="5">
        <v>1</v>
      </c>
      <c r="D6" s="5">
        <v>1</v>
      </c>
      <c r="E6" s="1">
        <v>1</v>
      </c>
      <c r="F6" s="1" t="s">
        <v>21</v>
      </c>
      <c r="G6" s="15" t="s">
        <v>22</v>
      </c>
      <c r="H6" s="15" t="s">
        <v>22</v>
      </c>
      <c r="I6" s="15" t="s">
        <v>23</v>
      </c>
      <c r="J6" s="10">
        <v>0</v>
      </c>
      <c r="K6" s="2">
        <v>0</v>
      </c>
      <c r="L6" s="2">
        <v>1800</v>
      </c>
      <c r="M6" s="2">
        <v>1800</v>
      </c>
      <c r="N6" s="2">
        <v>1800</v>
      </c>
      <c r="O6" s="2">
        <v>99</v>
      </c>
      <c r="P6" s="2">
        <v>0</v>
      </c>
      <c r="Q6" s="16" t="s">
        <v>24</v>
      </c>
      <c r="R6" s="16" t="s">
        <v>25</v>
      </c>
      <c r="S6" s="4">
        <v>1</v>
      </c>
      <c r="T6" s="4">
        <v>1</v>
      </c>
      <c r="U6" s="4">
        <v>1</v>
      </c>
    </row>
    <row r="7" customHeight="1" spans="1:22">
      <c r="C7" s="5">
        <v>2</v>
      </c>
      <c r="D7" s="5">
        <v>1</v>
      </c>
      <c r="E7" s="1">
        <v>2</v>
      </c>
      <c r="F7" s="1" t="s">
        <v>21</v>
      </c>
      <c r="G7" s="10">
        <f t="shared" ref="G7:I7" si="0">G6*S7</f>
        <v>33000</v>
      </c>
      <c r="H7" s="10">
        <f t="shared" si="0"/>
        <v>33000</v>
      </c>
      <c r="I7" s="10">
        <f t="shared" si="0"/>
        <v>11000000</v>
      </c>
      <c r="J7" s="10">
        <v>0</v>
      </c>
      <c r="K7" s="2">
        <v>0</v>
      </c>
      <c r="L7" s="2">
        <v>1800</v>
      </c>
      <c r="M7" s="2">
        <v>1800</v>
      </c>
      <c r="N7" s="2">
        <v>1800</v>
      </c>
      <c r="O7" s="2">
        <v>99</v>
      </c>
      <c r="P7" s="2">
        <v>0</v>
      </c>
      <c r="Q7" s="16" t="s">
        <v>24</v>
      </c>
      <c r="R7" s="16" t="s">
        <v>25</v>
      </c>
      <c r="S7" s="4">
        <v>1.1</v>
      </c>
      <c r="T7" s="4">
        <v>1.1</v>
      </c>
      <c r="U7" s="4">
        <v>1.1</v>
      </c>
    </row>
    <row r="8" customHeight="1" spans="1:22">
      <c r="C8" s="5">
        <v>3</v>
      </c>
      <c r="D8" s="5">
        <v>1</v>
      </c>
      <c r="E8" s="1">
        <v>3</v>
      </c>
      <c r="F8" s="1" t="s">
        <v>26</v>
      </c>
      <c r="G8" s="10">
        <f t="shared" ref="G8:I8" si="1">G6*S8</f>
        <v>34500</v>
      </c>
      <c r="H8" s="10">
        <f t="shared" si="1"/>
        <v>34500</v>
      </c>
      <c r="I8" s="10">
        <f t="shared" si="1"/>
        <v>12000000</v>
      </c>
      <c r="J8" s="10">
        <v>0</v>
      </c>
      <c r="K8" s="2">
        <v>0</v>
      </c>
      <c r="L8" s="2">
        <v>1800</v>
      </c>
      <c r="M8" s="2">
        <v>1800</v>
      </c>
      <c r="N8" s="2">
        <v>1800</v>
      </c>
      <c r="O8" s="2">
        <v>99</v>
      </c>
      <c r="P8" s="2">
        <v>0</v>
      </c>
      <c r="Q8" s="16" t="s">
        <v>27</v>
      </c>
      <c r="R8" s="16" t="s">
        <v>25</v>
      </c>
      <c r="S8" s="4">
        <v>1.15</v>
      </c>
      <c r="T8" s="4">
        <v>1.15</v>
      </c>
      <c r="U8" s="4">
        <v>1.2</v>
      </c>
    </row>
    <row r="9" customHeight="1" spans="1:22">
      <c r="C9" s="5">
        <v>4</v>
      </c>
      <c r="D9" s="5">
        <v>1</v>
      </c>
      <c r="E9" s="1">
        <v>4</v>
      </c>
      <c r="F9" s="1" t="s">
        <v>26</v>
      </c>
      <c r="G9" s="10">
        <f t="shared" ref="G9:I9" si="2">G6*S9</f>
        <v>36000</v>
      </c>
      <c r="H9" s="10">
        <f t="shared" si="2"/>
        <v>36000</v>
      </c>
      <c r="I9" s="10">
        <f t="shared" si="2"/>
        <v>13000000</v>
      </c>
      <c r="J9" s="10">
        <v>0</v>
      </c>
      <c r="K9" s="2">
        <v>0</v>
      </c>
      <c r="L9" s="2">
        <v>1800</v>
      </c>
      <c r="M9" s="2">
        <v>1800</v>
      </c>
      <c r="N9" s="2">
        <v>1800</v>
      </c>
      <c r="O9" s="2">
        <v>99</v>
      </c>
      <c r="P9" s="2">
        <v>0</v>
      </c>
      <c r="Q9" s="16" t="s">
        <v>28</v>
      </c>
      <c r="R9" s="16" t="s">
        <v>25</v>
      </c>
      <c r="S9" s="4">
        <v>1.2</v>
      </c>
      <c r="T9" s="4">
        <v>1.2</v>
      </c>
      <c r="U9" s="4">
        <v>1.3</v>
      </c>
    </row>
    <row r="10" s="2" customFormat="1" customHeight="1" spans="1:22">
      <c r="C10" s="5">
        <v>5</v>
      </c>
      <c r="D10" s="5">
        <v>1</v>
      </c>
      <c r="E10" s="5">
        <v>5</v>
      </c>
      <c r="F10" s="5" t="s">
        <v>29</v>
      </c>
      <c r="G10" s="10">
        <f>G6*S10</f>
        <v>37500</v>
      </c>
      <c r="H10" s="10">
        <f t="shared" ref="G10:I10" si="3">H6*T10</f>
        <v>37500</v>
      </c>
      <c r="I10" s="10">
        <f t="shared" si="3"/>
        <v>15000000</v>
      </c>
      <c r="J10" s="10">
        <v>0</v>
      </c>
      <c r="K10" s="2">
        <v>0</v>
      </c>
      <c r="L10" s="2">
        <v>1800</v>
      </c>
      <c r="M10" s="2">
        <v>1800</v>
      </c>
      <c r="N10" s="2">
        <v>1800</v>
      </c>
      <c r="O10" s="2">
        <v>99</v>
      </c>
      <c r="P10" s="2">
        <v>0</v>
      </c>
      <c r="Q10" s="16" t="s">
        <v>30</v>
      </c>
      <c r="R10" s="16" t="s">
        <v>31</v>
      </c>
      <c r="S10" s="2">
        <v>1.25</v>
      </c>
      <c r="T10" s="2">
        <v>1.25</v>
      </c>
      <c r="U10" s="2">
        <v>1.5</v>
      </c>
    </row>
    <row r="11" s="3" customFormat="1" customHeight="1" spans="1:22">
      <c r="C11" s="5">
        <v>6</v>
      </c>
      <c r="D11" s="5">
        <v>2</v>
      </c>
      <c r="E11" s="11">
        <v>1</v>
      </c>
      <c r="F11" s="11" t="s">
        <v>32</v>
      </c>
      <c r="G11" s="17" t="s">
        <v>33</v>
      </c>
      <c r="H11" s="17" t="s">
        <v>33</v>
      </c>
      <c r="I11" s="17" t="s">
        <v>34</v>
      </c>
      <c r="J11" s="10">
        <v>0</v>
      </c>
      <c r="K11" s="3">
        <v>0</v>
      </c>
      <c r="L11" s="3">
        <v>1800</v>
      </c>
      <c r="M11" s="3">
        <v>1800</v>
      </c>
      <c r="N11" s="3">
        <v>1800</v>
      </c>
      <c r="O11" s="3">
        <v>99</v>
      </c>
      <c r="P11" s="3">
        <v>0</v>
      </c>
      <c r="Q11" s="16" t="s">
        <v>24</v>
      </c>
      <c r="R11" s="16" t="s">
        <v>25</v>
      </c>
      <c r="S11" s="3">
        <v>1</v>
      </c>
      <c r="T11" s="3">
        <v>1</v>
      </c>
      <c r="U11" s="3">
        <v>1</v>
      </c>
    </row>
    <row r="12" s="2" customFormat="1" customHeight="1" spans="1:22">
      <c r="C12" s="5">
        <v>7</v>
      </c>
      <c r="D12" s="5">
        <v>2</v>
      </c>
      <c r="E12" s="5">
        <v>2</v>
      </c>
      <c r="F12" s="5" t="s">
        <v>32</v>
      </c>
      <c r="G12" s="10">
        <f t="shared" ref="G12:I12" si="4">G11*S12</f>
        <v>55000</v>
      </c>
      <c r="H12" s="10">
        <f t="shared" si="4"/>
        <v>55000</v>
      </c>
      <c r="I12" s="10">
        <f t="shared" si="4"/>
        <v>22000000</v>
      </c>
      <c r="J12" s="10">
        <v>0</v>
      </c>
      <c r="K12" s="2">
        <v>0</v>
      </c>
      <c r="L12" s="2">
        <v>1800</v>
      </c>
      <c r="M12" s="2">
        <v>1800</v>
      </c>
      <c r="N12" s="2">
        <v>1800</v>
      </c>
      <c r="O12" s="2">
        <v>99</v>
      </c>
      <c r="P12" s="2">
        <v>0</v>
      </c>
      <c r="Q12" s="16" t="s">
        <v>24</v>
      </c>
      <c r="R12" s="16" t="s">
        <v>25</v>
      </c>
      <c r="S12" s="2">
        <v>1.1</v>
      </c>
      <c r="T12" s="2">
        <v>1.1</v>
      </c>
      <c r="U12" s="2">
        <v>1.1</v>
      </c>
    </row>
    <row r="13" s="2" customFormat="1" customHeight="1" spans="1:22">
      <c r="C13" s="5">
        <v>8</v>
      </c>
      <c r="D13" s="5">
        <v>2</v>
      </c>
      <c r="E13" s="5">
        <v>3</v>
      </c>
      <c r="F13" s="5" t="s">
        <v>32</v>
      </c>
      <c r="G13" s="10">
        <f t="shared" ref="G13:I13" si="5">G11*S13</f>
        <v>57500</v>
      </c>
      <c r="H13" s="10">
        <f t="shared" si="5"/>
        <v>57500</v>
      </c>
      <c r="I13" s="10">
        <f t="shared" si="5"/>
        <v>24000000</v>
      </c>
      <c r="J13" s="10">
        <v>0</v>
      </c>
      <c r="K13" s="2">
        <v>0</v>
      </c>
      <c r="L13" s="2">
        <v>1800</v>
      </c>
      <c r="M13" s="2">
        <v>1800</v>
      </c>
      <c r="N13" s="2">
        <v>1800</v>
      </c>
      <c r="O13" s="2">
        <v>99</v>
      </c>
      <c r="P13" s="2">
        <v>0</v>
      </c>
      <c r="Q13" s="16" t="s">
        <v>27</v>
      </c>
      <c r="R13" s="16" t="s">
        <v>25</v>
      </c>
      <c r="S13" s="2">
        <v>1.15</v>
      </c>
      <c r="T13" s="2">
        <v>1.15</v>
      </c>
      <c r="U13" s="2">
        <v>1.2</v>
      </c>
    </row>
    <row r="14" s="2" customFormat="1" customHeight="1" spans="1:22">
      <c r="C14" s="5">
        <v>9</v>
      </c>
      <c r="D14" s="5">
        <v>2</v>
      </c>
      <c r="E14" s="5">
        <v>4</v>
      </c>
      <c r="F14" s="5" t="s">
        <v>32</v>
      </c>
      <c r="G14" s="10">
        <f t="shared" ref="G14:I14" si="6">G11*S14</f>
        <v>60000</v>
      </c>
      <c r="H14" s="10">
        <f t="shared" si="6"/>
        <v>60000</v>
      </c>
      <c r="I14" s="10">
        <f t="shared" si="6"/>
        <v>26000000</v>
      </c>
      <c r="J14" s="10">
        <v>0</v>
      </c>
      <c r="K14" s="2">
        <v>0</v>
      </c>
      <c r="L14" s="2">
        <v>1800</v>
      </c>
      <c r="M14" s="2">
        <v>1800</v>
      </c>
      <c r="N14" s="2">
        <v>1800</v>
      </c>
      <c r="O14" s="2">
        <v>99</v>
      </c>
      <c r="P14" s="2">
        <v>0</v>
      </c>
      <c r="Q14" s="16" t="s">
        <v>28</v>
      </c>
      <c r="R14" s="16" t="s">
        <v>25</v>
      </c>
      <c r="S14" s="2">
        <v>1.2</v>
      </c>
      <c r="T14" s="2">
        <v>1.2</v>
      </c>
      <c r="U14" s="2">
        <v>1.3</v>
      </c>
    </row>
    <row r="15" s="2" customFormat="1" customHeight="1" spans="1:22">
      <c r="C15" s="5">
        <v>10</v>
      </c>
      <c r="D15" s="5">
        <v>2</v>
      </c>
      <c r="E15" s="5">
        <v>5</v>
      </c>
      <c r="F15" s="5" t="s">
        <v>35</v>
      </c>
      <c r="G15" s="10">
        <f>G11*S15</f>
        <v>62500</v>
      </c>
      <c r="H15" s="10">
        <f t="shared" ref="G15:I15" si="7">H11*T15</f>
        <v>62500</v>
      </c>
      <c r="I15" s="10">
        <f t="shared" si="7"/>
        <v>30000000</v>
      </c>
      <c r="J15" s="10">
        <v>0</v>
      </c>
      <c r="K15" s="2">
        <v>0</v>
      </c>
      <c r="L15" s="2">
        <v>1800</v>
      </c>
      <c r="M15" s="2">
        <v>1800</v>
      </c>
      <c r="N15" s="2">
        <v>1800</v>
      </c>
      <c r="O15" s="2">
        <v>99</v>
      </c>
      <c r="P15" s="2">
        <v>0</v>
      </c>
      <c r="Q15" s="16" t="s">
        <v>30</v>
      </c>
      <c r="R15" s="16" t="s">
        <v>36</v>
      </c>
      <c r="S15" s="2">
        <v>1.25</v>
      </c>
      <c r="T15" s="2">
        <v>1.25</v>
      </c>
      <c r="U15" s="2">
        <v>1.5</v>
      </c>
    </row>
    <row r="16" s="3" customFormat="1" customHeight="1" spans="1:22">
      <c r="C16" s="5">
        <v>11</v>
      </c>
      <c r="D16" s="5">
        <v>3</v>
      </c>
      <c r="E16" s="11">
        <v>1</v>
      </c>
      <c r="F16" s="11" t="s">
        <v>37</v>
      </c>
      <c r="G16" s="17" t="s">
        <v>38</v>
      </c>
      <c r="H16" s="17" t="s">
        <v>38</v>
      </c>
      <c r="I16" s="17" t="s">
        <v>39</v>
      </c>
      <c r="J16" s="10">
        <v>0</v>
      </c>
      <c r="K16" s="3">
        <v>0</v>
      </c>
      <c r="L16" s="3">
        <v>1800</v>
      </c>
      <c r="M16" s="3">
        <v>1800</v>
      </c>
      <c r="N16" s="3">
        <v>1800</v>
      </c>
      <c r="O16" s="3">
        <v>99</v>
      </c>
      <c r="P16" s="3">
        <v>0</v>
      </c>
      <c r="Q16" s="16" t="s">
        <v>24</v>
      </c>
      <c r="R16" s="16" t="s">
        <v>25</v>
      </c>
      <c r="S16" s="3">
        <v>1</v>
      </c>
      <c r="T16" s="3">
        <v>1</v>
      </c>
      <c r="U16" s="3">
        <v>1</v>
      </c>
    </row>
    <row r="17" s="2" customFormat="1" customHeight="1" spans="3:21">
      <c r="C17" s="5">
        <v>12</v>
      </c>
      <c r="D17" s="5">
        <v>3</v>
      </c>
      <c r="E17" s="5">
        <v>2</v>
      </c>
      <c r="F17" s="5" t="s">
        <v>37</v>
      </c>
      <c r="G17" s="10">
        <f t="shared" ref="G17:I17" si="8">G16*S17</f>
        <v>77000</v>
      </c>
      <c r="H17" s="10">
        <f t="shared" si="8"/>
        <v>77000</v>
      </c>
      <c r="I17" s="10">
        <f t="shared" si="8"/>
        <v>44000000</v>
      </c>
      <c r="J17" s="10">
        <v>0</v>
      </c>
      <c r="K17" s="2">
        <v>0</v>
      </c>
      <c r="L17" s="2">
        <v>1800</v>
      </c>
      <c r="M17" s="2">
        <v>1800</v>
      </c>
      <c r="N17" s="2">
        <v>1800</v>
      </c>
      <c r="O17" s="2">
        <v>99</v>
      </c>
      <c r="P17" s="2">
        <v>0</v>
      </c>
      <c r="Q17" s="16" t="s">
        <v>24</v>
      </c>
      <c r="R17" s="16" t="s">
        <v>25</v>
      </c>
      <c r="S17" s="2">
        <v>1.1</v>
      </c>
      <c r="T17" s="2">
        <v>1.1</v>
      </c>
      <c r="U17" s="2">
        <v>1.1</v>
      </c>
    </row>
    <row r="18" s="2" customFormat="1" customHeight="1" spans="3:21">
      <c r="C18" s="5">
        <v>13</v>
      </c>
      <c r="D18" s="5">
        <v>3</v>
      </c>
      <c r="E18" s="5">
        <v>3</v>
      </c>
      <c r="F18" s="5" t="s">
        <v>37</v>
      </c>
      <c r="G18" s="10">
        <f t="shared" ref="G18:I18" si="9">G16*S18</f>
        <v>80500</v>
      </c>
      <c r="H18" s="10">
        <f t="shared" si="9"/>
        <v>80500</v>
      </c>
      <c r="I18" s="10">
        <f t="shared" si="9"/>
        <v>48000000</v>
      </c>
      <c r="J18" s="10">
        <v>0</v>
      </c>
      <c r="K18" s="2">
        <v>0</v>
      </c>
      <c r="L18" s="2">
        <v>1800</v>
      </c>
      <c r="M18" s="2">
        <v>1800</v>
      </c>
      <c r="N18" s="2">
        <v>1800</v>
      </c>
      <c r="O18" s="2">
        <v>99</v>
      </c>
      <c r="P18" s="2">
        <v>0</v>
      </c>
      <c r="Q18" s="16" t="s">
        <v>27</v>
      </c>
      <c r="R18" s="16" t="s">
        <v>25</v>
      </c>
      <c r="S18" s="2">
        <v>1.15</v>
      </c>
      <c r="T18" s="2">
        <v>1.15</v>
      </c>
      <c r="U18" s="2">
        <v>1.2</v>
      </c>
    </row>
    <row r="19" s="2" customFormat="1" customHeight="1" spans="3:21">
      <c r="C19" s="5">
        <v>14</v>
      </c>
      <c r="D19" s="5">
        <v>3</v>
      </c>
      <c r="E19" s="5">
        <v>4</v>
      </c>
      <c r="F19" s="5" t="s">
        <v>37</v>
      </c>
      <c r="G19" s="10">
        <f t="shared" ref="G19:I19" si="10">G16*S19</f>
        <v>84000</v>
      </c>
      <c r="H19" s="10">
        <f t="shared" si="10"/>
        <v>84000</v>
      </c>
      <c r="I19" s="10">
        <f t="shared" si="10"/>
        <v>52000000</v>
      </c>
      <c r="J19" s="10">
        <v>0</v>
      </c>
      <c r="K19" s="2">
        <v>0</v>
      </c>
      <c r="L19" s="2">
        <v>1800</v>
      </c>
      <c r="M19" s="2">
        <v>1800</v>
      </c>
      <c r="N19" s="2">
        <v>1800</v>
      </c>
      <c r="O19" s="2">
        <v>99</v>
      </c>
      <c r="P19" s="2">
        <v>0</v>
      </c>
      <c r="Q19" s="16" t="s">
        <v>28</v>
      </c>
      <c r="R19" s="16" t="s">
        <v>25</v>
      </c>
      <c r="S19" s="2">
        <v>1.2</v>
      </c>
      <c r="T19" s="2">
        <v>1.2</v>
      </c>
      <c r="U19" s="2">
        <v>1.3</v>
      </c>
    </row>
    <row r="20" s="2" customFormat="1" customHeight="1" spans="3:21">
      <c r="C20" s="5">
        <v>15</v>
      </c>
      <c r="D20" s="5">
        <v>3</v>
      </c>
      <c r="E20" s="5">
        <v>5</v>
      </c>
      <c r="F20" s="5" t="s">
        <v>40</v>
      </c>
      <c r="G20" s="10">
        <f>G16*S20</f>
        <v>87500</v>
      </c>
      <c r="H20" s="10">
        <f t="shared" ref="G20:I20" si="11">H16*T20</f>
        <v>87500</v>
      </c>
      <c r="I20" s="10">
        <f t="shared" si="11"/>
        <v>60000000</v>
      </c>
      <c r="J20" s="10">
        <v>0</v>
      </c>
      <c r="K20" s="2">
        <v>0</v>
      </c>
      <c r="L20" s="2">
        <v>1800</v>
      </c>
      <c r="M20" s="2">
        <v>1800</v>
      </c>
      <c r="N20" s="2">
        <v>1800</v>
      </c>
      <c r="O20" s="2">
        <v>99</v>
      </c>
      <c r="P20" s="2">
        <v>0</v>
      </c>
      <c r="Q20" s="16" t="s">
        <v>30</v>
      </c>
      <c r="R20" s="16" t="s">
        <v>36</v>
      </c>
      <c r="S20" s="2">
        <v>1.25</v>
      </c>
      <c r="T20" s="2">
        <v>1.25</v>
      </c>
      <c r="U20" s="2">
        <v>1.5</v>
      </c>
    </row>
    <row r="21" s="3" customFormat="1" customHeight="1" spans="3:21">
      <c r="C21" s="5">
        <v>16</v>
      </c>
      <c r="D21" s="5">
        <v>4</v>
      </c>
      <c r="E21" s="11">
        <v>1</v>
      </c>
      <c r="F21" s="11" t="s">
        <v>41</v>
      </c>
      <c r="G21" s="17" t="s">
        <v>42</v>
      </c>
      <c r="H21" s="17" t="s">
        <v>42</v>
      </c>
      <c r="I21" s="17" t="s">
        <v>43</v>
      </c>
      <c r="J21" s="10">
        <v>0</v>
      </c>
      <c r="K21" s="3">
        <v>0</v>
      </c>
      <c r="L21" s="3">
        <v>1800</v>
      </c>
      <c r="M21" s="3">
        <v>1800</v>
      </c>
      <c r="N21" s="3">
        <v>1800</v>
      </c>
      <c r="O21" s="3">
        <v>99</v>
      </c>
      <c r="P21" s="3">
        <v>0</v>
      </c>
      <c r="Q21" s="16" t="s">
        <v>24</v>
      </c>
      <c r="R21" s="16" t="s">
        <v>25</v>
      </c>
      <c r="S21" s="3">
        <v>1</v>
      </c>
      <c r="T21" s="3">
        <v>1</v>
      </c>
      <c r="U21" s="3">
        <v>1</v>
      </c>
    </row>
    <row r="22" s="2" customFormat="1" customHeight="1" spans="3:21">
      <c r="C22" s="5">
        <v>17</v>
      </c>
      <c r="D22" s="5">
        <v>4</v>
      </c>
      <c r="E22" s="5">
        <v>2</v>
      </c>
      <c r="F22" s="5" t="s">
        <v>41</v>
      </c>
      <c r="G22" s="10">
        <f t="shared" ref="G22:I22" si="12">G21*S22</f>
        <v>99000</v>
      </c>
      <c r="H22" s="10">
        <f t="shared" si="12"/>
        <v>99000</v>
      </c>
      <c r="I22" s="10">
        <f t="shared" si="12"/>
        <v>77000000</v>
      </c>
      <c r="J22" s="10">
        <v>0</v>
      </c>
      <c r="K22" s="2">
        <v>0</v>
      </c>
      <c r="L22" s="2">
        <v>1800</v>
      </c>
      <c r="M22" s="2">
        <v>1800</v>
      </c>
      <c r="N22" s="2">
        <v>1800</v>
      </c>
      <c r="O22" s="2">
        <v>99</v>
      </c>
      <c r="P22" s="2">
        <v>0</v>
      </c>
      <c r="Q22" s="16" t="s">
        <v>44</v>
      </c>
      <c r="R22" s="16" t="s">
        <v>25</v>
      </c>
      <c r="S22" s="2">
        <v>1.1</v>
      </c>
      <c r="T22" s="2">
        <v>1.1</v>
      </c>
      <c r="U22" s="2">
        <v>1.1</v>
      </c>
    </row>
    <row r="23" s="2" customFormat="1" customHeight="1" spans="3:21">
      <c r="C23" s="5">
        <v>18</v>
      </c>
      <c r="D23" s="5">
        <v>4</v>
      </c>
      <c r="E23" s="5">
        <v>3</v>
      </c>
      <c r="F23" s="5" t="s">
        <v>41</v>
      </c>
      <c r="G23" s="10">
        <f t="shared" ref="G23:I23" si="13">G21*S23</f>
        <v>103500</v>
      </c>
      <c r="H23" s="10">
        <f t="shared" si="13"/>
        <v>103500</v>
      </c>
      <c r="I23" s="10">
        <f t="shared" si="13"/>
        <v>84000000</v>
      </c>
      <c r="J23" s="10">
        <v>0</v>
      </c>
      <c r="K23" s="2">
        <v>0</v>
      </c>
      <c r="L23" s="2">
        <v>1800</v>
      </c>
      <c r="M23" s="2">
        <v>1800</v>
      </c>
      <c r="N23" s="2">
        <v>1800</v>
      </c>
      <c r="O23" s="2">
        <v>99</v>
      </c>
      <c r="P23" s="2">
        <v>0</v>
      </c>
      <c r="Q23" s="16" t="s">
        <v>27</v>
      </c>
      <c r="R23" s="16" t="s">
        <v>25</v>
      </c>
      <c r="S23" s="2">
        <v>1.15</v>
      </c>
      <c r="T23" s="2">
        <v>1.15</v>
      </c>
      <c r="U23" s="2">
        <v>1.2</v>
      </c>
    </row>
    <row r="24" s="2" customFormat="1" customHeight="1" spans="3:21">
      <c r="C24" s="5">
        <v>19</v>
      </c>
      <c r="D24" s="5">
        <v>4</v>
      </c>
      <c r="E24" s="5">
        <v>4</v>
      </c>
      <c r="F24" s="5" t="s">
        <v>41</v>
      </c>
      <c r="G24" s="10">
        <f t="shared" ref="G24:I24" si="14">G21*S24</f>
        <v>108000</v>
      </c>
      <c r="H24" s="10">
        <f t="shared" si="14"/>
        <v>108000</v>
      </c>
      <c r="I24" s="10">
        <f t="shared" si="14"/>
        <v>91000000</v>
      </c>
      <c r="J24" s="10">
        <v>0</v>
      </c>
      <c r="K24" s="2">
        <v>0</v>
      </c>
      <c r="L24" s="2">
        <v>1800</v>
      </c>
      <c r="M24" s="2">
        <v>1800</v>
      </c>
      <c r="N24" s="2">
        <v>1800</v>
      </c>
      <c r="O24" s="2">
        <v>99</v>
      </c>
      <c r="P24" s="2">
        <v>0</v>
      </c>
      <c r="Q24" s="16" t="s">
        <v>28</v>
      </c>
      <c r="R24" s="16" t="s">
        <v>25</v>
      </c>
      <c r="S24" s="2">
        <v>1.2</v>
      </c>
      <c r="T24" s="2">
        <v>1.2</v>
      </c>
      <c r="U24" s="2">
        <v>1.3</v>
      </c>
    </row>
    <row r="25" s="2" customFormat="1" customHeight="1" spans="3:21">
      <c r="C25" s="5">
        <v>20</v>
      </c>
      <c r="D25" s="5">
        <v>4</v>
      </c>
      <c r="E25" s="5">
        <v>5</v>
      </c>
      <c r="F25" s="5" t="s">
        <v>45</v>
      </c>
      <c r="G25" s="10">
        <f t="shared" ref="G25:I25" si="15">G21*S25</f>
        <v>112500</v>
      </c>
      <c r="H25" s="10">
        <f t="shared" si="15"/>
        <v>112500</v>
      </c>
      <c r="I25" s="10">
        <f t="shared" si="15"/>
        <v>105000000</v>
      </c>
      <c r="J25" s="10">
        <v>0</v>
      </c>
      <c r="K25" s="2">
        <v>0</v>
      </c>
      <c r="L25" s="2">
        <v>1800</v>
      </c>
      <c r="M25" s="2">
        <v>1800</v>
      </c>
      <c r="N25" s="2">
        <v>1800</v>
      </c>
      <c r="O25" s="2">
        <v>99</v>
      </c>
      <c r="P25" s="2">
        <v>0</v>
      </c>
      <c r="Q25" s="16" t="s">
        <v>30</v>
      </c>
      <c r="R25" s="16" t="s">
        <v>36</v>
      </c>
      <c r="S25" s="2">
        <v>1.25</v>
      </c>
      <c r="T25" s="2">
        <v>1.25</v>
      </c>
      <c r="U25" s="2">
        <v>1.5</v>
      </c>
    </row>
    <row r="26" s="3" customFormat="1" customHeight="1" spans="3:21">
      <c r="C26" s="5">
        <v>21</v>
      </c>
      <c r="D26" s="5">
        <v>5</v>
      </c>
      <c r="E26" s="11">
        <v>1</v>
      </c>
      <c r="F26" s="11" t="s">
        <v>46</v>
      </c>
      <c r="G26" s="17" t="s">
        <v>47</v>
      </c>
      <c r="H26" s="17" t="s">
        <v>47</v>
      </c>
      <c r="I26" s="17" t="s">
        <v>48</v>
      </c>
      <c r="J26" s="10">
        <v>0</v>
      </c>
      <c r="K26" s="3">
        <v>0</v>
      </c>
      <c r="L26" s="3">
        <v>1800</v>
      </c>
      <c r="M26" s="3">
        <v>1800</v>
      </c>
      <c r="N26" s="3">
        <v>1800</v>
      </c>
      <c r="O26" s="3">
        <v>99</v>
      </c>
      <c r="P26" s="3">
        <v>0</v>
      </c>
      <c r="Q26" s="16" t="s">
        <v>28</v>
      </c>
      <c r="R26" s="16" t="s">
        <v>25</v>
      </c>
      <c r="S26" s="3">
        <v>1</v>
      </c>
      <c r="T26" s="3">
        <v>1</v>
      </c>
      <c r="U26" s="3">
        <v>1</v>
      </c>
    </row>
    <row r="27" s="2" customFormat="1" customHeight="1" spans="3:21">
      <c r="C27" s="5">
        <v>22</v>
      </c>
      <c r="D27" s="5">
        <v>5</v>
      </c>
      <c r="E27" s="5">
        <v>2</v>
      </c>
      <c r="F27" s="5" t="s">
        <v>46</v>
      </c>
      <c r="G27" s="10">
        <f t="shared" ref="G27:I27" si="16">G26*S27</f>
        <v>132000</v>
      </c>
      <c r="H27" s="10">
        <f t="shared" si="16"/>
        <v>132000</v>
      </c>
      <c r="I27" s="10">
        <f t="shared" si="16"/>
        <v>110000000</v>
      </c>
      <c r="J27" s="10">
        <v>0</v>
      </c>
      <c r="K27" s="2">
        <v>0</v>
      </c>
      <c r="L27" s="2">
        <v>1800</v>
      </c>
      <c r="M27" s="2">
        <v>1800</v>
      </c>
      <c r="N27" s="2">
        <v>1800</v>
      </c>
      <c r="O27" s="2">
        <v>99</v>
      </c>
      <c r="P27" s="2">
        <v>0</v>
      </c>
      <c r="Q27" s="16" t="s">
        <v>49</v>
      </c>
      <c r="R27" s="16" t="s">
        <v>25</v>
      </c>
      <c r="S27" s="2">
        <v>1.1</v>
      </c>
      <c r="T27" s="2">
        <v>1.1</v>
      </c>
      <c r="U27" s="2">
        <v>1.1</v>
      </c>
    </row>
    <row r="28" s="2" customFormat="1" customHeight="1" spans="3:21">
      <c r="C28" s="5">
        <v>23</v>
      </c>
      <c r="D28" s="5">
        <v>5</v>
      </c>
      <c r="E28" s="5">
        <v>3</v>
      </c>
      <c r="F28" s="5" t="s">
        <v>46</v>
      </c>
      <c r="G28" s="10">
        <f t="shared" ref="G28:I28" si="17">G26*S28</f>
        <v>138000</v>
      </c>
      <c r="H28" s="10">
        <f t="shared" si="17"/>
        <v>138000</v>
      </c>
      <c r="I28" s="10">
        <f t="shared" si="17"/>
        <v>120000000</v>
      </c>
      <c r="J28" s="10">
        <v>0</v>
      </c>
      <c r="K28" s="2">
        <v>0</v>
      </c>
      <c r="L28" s="2">
        <v>1800</v>
      </c>
      <c r="M28" s="2">
        <v>1800</v>
      </c>
      <c r="N28" s="2">
        <v>1800</v>
      </c>
      <c r="O28" s="2">
        <v>99</v>
      </c>
      <c r="P28" s="2">
        <v>0</v>
      </c>
      <c r="Q28" s="16" t="s">
        <v>50</v>
      </c>
      <c r="R28" s="16" t="s">
        <v>25</v>
      </c>
      <c r="S28" s="2">
        <v>1.15</v>
      </c>
      <c r="T28" s="2">
        <v>1.15</v>
      </c>
      <c r="U28" s="2">
        <v>1.2</v>
      </c>
    </row>
    <row r="29" s="2" customFormat="1" customHeight="1" spans="3:21">
      <c r="C29" s="5">
        <v>24</v>
      </c>
      <c r="D29" s="5">
        <v>5</v>
      </c>
      <c r="E29" s="5">
        <v>4</v>
      </c>
      <c r="F29" s="5" t="s">
        <v>46</v>
      </c>
      <c r="G29" s="10">
        <f t="shared" ref="G29:I29" si="18">G26*S29</f>
        <v>144000</v>
      </c>
      <c r="H29" s="10">
        <f t="shared" si="18"/>
        <v>144000</v>
      </c>
      <c r="I29" s="10">
        <f t="shared" si="18"/>
        <v>130000000</v>
      </c>
      <c r="J29" s="10">
        <v>0</v>
      </c>
      <c r="K29" s="2">
        <v>0</v>
      </c>
      <c r="L29" s="2">
        <v>1800</v>
      </c>
      <c r="M29" s="2">
        <v>1800</v>
      </c>
      <c r="N29" s="2">
        <v>1800</v>
      </c>
      <c r="O29" s="2">
        <v>99</v>
      </c>
      <c r="P29" s="2">
        <v>0</v>
      </c>
      <c r="Q29" s="16" t="s">
        <v>51</v>
      </c>
      <c r="R29" s="16" t="s">
        <v>25</v>
      </c>
      <c r="S29" s="2">
        <v>1.2</v>
      </c>
      <c r="T29" s="2">
        <v>1.2</v>
      </c>
      <c r="U29" s="2">
        <v>1.3</v>
      </c>
    </row>
    <row r="30" s="2" customFormat="1" customHeight="1" spans="3:21">
      <c r="C30" s="5">
        <v>25</v>
      </c>
      <c r="D30" s="5">
        <v>5</v>
      </c>
      <c r="E30" s="5">
        <v>5</v>
      </c>
      <c r="F30" s="5" t="s">
        <v>52</v>
      </c>
      <c r="G30" s="10">
        <f t="shared" ref="G30:I30" si="19">G26*S30</f>
        <v>150000</v>
      </c>
      <c r="H30" s="10">
        <f t="shared" si="19"/>
        <v>150000</v>
      </c>
      <c r="I30" s="10">
        <f t="shared" si="19"/>
        <v>150000000</v>
      </c>
      <c r="J30" s="10">
        <v>0</v>
      </c>
      <c r="K30" s="2">
        <v>0</v>
      </c>
      <c r="L30" s="2">
        <v>1800</v>
      </c>
      <c r="M30" s="2">
        <v>1800</v>
      </c>
      <c r="N30" s="2">
        <v>1800</v>
      </c>
      <c r="O30" s="2">
        <v>99</v>
      </c>
      <c r="P30" s="2">
        <v>0</v>
      </c>
      <c r="Q30" s="16" t="s">
        <v>30</v>
      </c>
      <c r="R30" s="16" t="s">
        <v>36</v>
      </c>
      <c r="S30" s="2">
        <v>1.25</v>
      </c>
      <c r="T30" s="2">
        <v>1.25</v>
      </c>
      <c r="U30" s="2">
        <v>1.5</v>
      </c>
    </row>
    <row r="31" s="3" customFormat="1" customHeight="1" spans="3:21">
      <c r="C31" s="5">
        <v>26</v>
      </c>
      <c r="D31" s="5">
        <v>6</v>
      </c>
      <c r="E31" s="11">
        <v>1</v>
      </c>
      <c r="F31" s="11" t="s">
        <v>53</v>
      </c>
      <c r="G31" s="17" t="s">
        <v>54</v>
      </c>
      <c r="H31" s="17" t="s">
        <v>54</v>
      </c>
      <c r="I31" s="17" t="s">
        <v>55</v>
      </c>
      <c r="J31" s="10">
        <v>0</v>
      </c>
      <c r="K31" s="3">
        <v>0</v>
      </c>
      <c r="L31" s="3">
        <v>1800</v>
      </c>
      <c r="M31" s="3">
        <v>1800</v>
      </c>
      <c r="N31" s="3">
        <v>1800</v>
      </c>
      <c r="O31" s="3">
        <v>99</v>
      </c>
      <c r="P31" s="3">
        <v>0</v>
      </c>
      <c r="Q31" s="16" t="s">
        <v>56</v>
      </c>
      <c r="R31" s="16" t="s">
        <v>57</v>
      </c>
      <c r="S31" s="3">
        <v>1</v>
      </c>
      <c r="T31" s="3">
        <v>1</v>
      </c>
      <c r="U31" s="3">
        <v>1</v>
      </c>
    </row>
    <row r="32" s="2" customFormat="1" customHeight="1" spans="3:21">
      <c r="C32" s="5">
        <v>27</v>
      </c>
      <c r="D32" s="5">
        <v>6</v>
      </c>
      <c r="E32" s="5">
        <v>2</v>
      </c>
      <c r="F32" s="5" t="s">
        <v>53</v>
      </c>
      <c r="G32" s="10">
        <f t="shared" ref="G32:I32" si="20">G31*S32</f>
        <v>165000</v>
      </c>
      <c r="H32" s="10">
        <f t="shared" si="20"/>
        <v>165000</v>
      </c>
      <c r="I32" s="10">
        <f t="shared" si="20"/>
        <v>154000000</v>
      </c>
      <c r="J32" s="10">
        <v>0</v>
      </c>
      <c r="K32" s="2">
        <v>0</v>
      </c>
      <c r="L32" s="2">
        <v>1800</v>
      </c>
      <c r="M32" s="2">
        <v>1800</v>
      </c>
      <c r="N32" s="2">
        <v>1800</v>
      </c>
      <c r="O32" s="2">
        <v>99</v>
      </c>
      <c r="P32" s="2">
        <v>0</v>
      </c>
      <c r="Q32" s="16" t="s">
        <v>58</v>
      </c>
      <c r="R32" s="16" t="s">
        <v>25</v>
      </c>
      <c r="S32" s="2">
        <v>1.1</v>
      </c>
      <c r="T32" s="2">
        <v>1.1</v>
      </c>
      <c r="U32" s="2">
        <v>1.1</v>
      </c>
    </row>
    <row r="33" s="2" customFormat="1" customHeight="1" spans="1:21">
      <c r="C33" s="5">
        <v>28</v>
      </c>
      <c r="D33" s="5">
        <v>6</v>
      </c>
      <c r="E33" s="5">
        <v>3</v>
      </c>
      <c r="F33" s="5" t="s">
        <v>53</v>
      </c>
      <c r="G33" s="10">
        <f t="shared" ref="G33:I33" si="21">G31*S33</f>
        <v>172500</v>
      </c>
      <c r="H33" s="10">
        <f t="shared" si="21"/>
        <v>172500</v>
      </c>
      <c r="I33" s="10">
        <f t="shared" si="21"/>
        <v>168000000</v>
      </c>
      <c r="J33" s="10">
        <v>0</v>
      </c>
      <c r="K33" s="2">
        <v>0</v>
      </c>
      <c r="L33" s="2">
        <v>1800</v>
      </c>
      <c r="M33" s="2">
        <v>1800</v>
      </c>
      <c r="N33" s="2">
        <v>1800</v>
      </c>
      <c r="O33" s="2">
        <v>99</v>
      </c>
      <c r="P33" s="2">
        <v>0</v>
      </c>
      <c r="Q33" s="16" t="s">
        <v>59</v>
      </c>
      <c r="R33" s="16" t="s">
        <v>60</v>
      </c>
      <c r="S33" s="2">
        <v>1.15</v>
      </c>
      <c r="T33" s="2">
        <v>1.15</v>
      </c>
      <c r="U33" s="2">
        <v>1.2</v>
      </c>
    </row>
    <row r="34" s="2" customFormat="1" customHeight="1" spans="1:21">
      <c r="C34" s="5">
        <v>29</v>
      </c>
      <c r="D34" s="5">
        <v>6</v>
      </c>
      <c r="E34" s="5">
        <v>4</v>
      </c>
      <c r="F34" s="5" t="s">
        <v>53</v>
      </c>
      <c r="G34" s="10">
        <f t="shared" ref="G34:I34" si="22">G31*S34</f>
        <v>180000</v>
      </c>
      <c r="H34" s="10">
        <f t="shared" si="22"/>
        <v>180000</v>
      </c>
      <c r="I34" s="10">
        <f t="shared" si="22"/>
        <v>182000000</v>
      </c>
      <c r="J34" s="10">
        <v>0</v>
      </c>
      <c r="K34" s="2">
        <v>0</v>
      </c>
      <c r="L34" s="2">
        <v>1800</v>
      </c>
      <c r="M34" s="2">
        <v>1800</v>
      </c>
      <c r="N34" s="2">
        <v>1800</v>
      </c>
      <c r="O34" s="2">
        <v>99</v>
      </c>
      <c r="P34" s="2">
        <v>0</v>
      </c>
      <c r="Q34" s="16" t="s">
        <v>30</v>
      </c>
      <c r="R34" s="16" t="s">
        <v>36</v>
      </c>
      <c r="S34" s="2">
        <v>1.2</v>
      </c>
      <c r="T34" s="2">
        <v>1.2</v>
      </c>
      <c r="U34" s="2">
        <v>1.3</v>
      </c>
    </row>
    <row r="35" s="2" customFormat="1" customHeight="1" spans="1:21">
      <c r="C35" s="5">
        <v>30</v>
      </c>
      <c r="D35" s="5">
        <v>6</v>
      </c>
      <c r="E35" s="5">
        <v>5</v>
      </c>
      <c r="F35" s="5" t="s">
        <v>61</v>
      </c>
      <c r="G35" s="10">
        <f t="shared" ref="G35:I35" si="23">G31*S35</f>
        <v>187500</v>
      </c>
      <c r="H35" s="10">
        <f t="shared" si="23"/>
        <v>187500</v>
      </c>
      <c r="I35" s="10">
        <f t="shared" si="23"/>
        <v>210000000</v>
      </c>
      <c r="J35" s="10">
        <v>0</v>
      </c>
      <c r="K35" s="2">
        <v>0</v>
      </c>
      <c r="L35" s="2">
        <v>1800</v>
      </c>
      <c r="M35" s="2">
        <v>1800</v>
      </c>
      <c r="N35" s="2">
        <v>1800</v>
      </c>
      <c r="O35" s="2">
        <v>99</v>
      </c>
      <c r="P35" s="2">
        <v>0</v>
      </c>
      <c r="Q35" s="16" t="s">
        <v>62</v>
      </c>
      <c r="R35" s="16" t="s">
        <v>60</v>
      </c>
      <c r="S35" s="2">
        <v>1.25</v>
      </c>
      <c r="T35" s="2">
        <v>1.25</v>
      </c>
      <c r="U35" s="2">
        <v>1.5</v>
      </c>
    </row>
    <row r="36" s="3" customFormat="1" customHeight="1" spans="1:21">
      <c r="A36" s="2"/>
      <c r="B36" s="2"/>
      <c r="C36" s="5">
        <v>31</v>
      </c>
      <c r="D36" s="5">
        <v>7</v>
      </c>
      <c r="E36" s="11">
        <v>1</v>
      </c>
      <c r="F36" s="11" t="s">
        <v>63</v>
      </c>
      <c r="G36" s="17" t="s">
        <v>64</v>
      </c>
      <c r="H36" s="17" t="s">
        <v>64</v>
      </c>
      <c r="I36" s="17" t="s">
        <v>65</v>
      </c>
      <c r="J36" s="10">
        <v>0</v>
      </c>
      <c r="K36" s="3">
        <v>0</v>
      </c>
      <c r="L36" s="3">
        <v>1800</v>
      </c>
      <c r="M36" s="3">
        <v>1800</v>
      </c>
      <c r="N36" s="3">
        <v>1800</v>
      </c>
      <c r="O36" s="3">
        <v>99</v>
      </c>
      <c r="P36" s="3">
        <v>0</v>
      </c>
      <c r="Q36" s="16" t="s">
        <v>28</v>
      </c>
      <c r="R36" s="16" t="s">
        <v>25</v>
      </c>
      <c r="S36" s="3">
        <v>1</v>
      </c>
      <c r="T36" s="3">
        <v>1</v>
      </c>
      <c r="U36" s="3">
        <v>1</v>
      </c>
    </row>
    <row r="37" s="2" customFormat="1" customHeight="1" spans="1:21">
      <c r="C37" s="5">
        <v>32</v>
      </c>
      <c r="D37" s="5">
        <v>7</v>
      </c>
      <c r="E37" s="5">
        <v>2</v>
      </c>
      <c r="F37" s="5" t="s">
        <v>63</v>
      </c>
      <c r="G37" s="10">
        <f t="shared" ref="G37:I37" si="24">G36*S37</f>
        <v>198000</v>
      </c>
      <c r="H37" s="10">
        <f t="shared" si="24"/>
        <v>198000</v>
      </c>
      <c r="I37" s="10">
        <f t="shared" si="24"/>
        <v>231000000</v>
      </c>
      <c r="J37" s="10">
        <v>0</v>
      </c>
      <c r="K37" s="2">
        <v>0</v>
      </c>
      <c r="L37" s="2">
        <v>1800</v>
      </c>
      <c r="M37" s="2">
        <v>1800</v>
      </c>
      <c r="N37" s="2">
        <v>1800</v>
      </c>
      <c r="O37" s="2">
        <v>99</v>
      </c>
      <c r="P37" s="2">
        <v>0</v>
      </c>
      <c r="Q37" s="16" t="s">
        <v>44</v>
      </c>
      <c r="R37" s="16" t="s">
        <v>25</v>
      </c>
      <c r="S37" s="2">
        <v>1.1</v>
      </c>
      <c r="T37" s="2">
        <v>1.1</v>
      </c>
      <c r="U37" s="2">
        <v>1.1</v>
      </c>
    </row>
    <row r="38" s="2" customFormat="1" customHeight="1" spans="1:21">
      <c r="C38" s="5">
        <v>33</v>
      </c>
      <c r="D38" s="5">
        <v>7</v>
      </c>
      <c r="E38" s="5">
        <v>3</v>
      </c>
      <c r="F38" s="5" t="s">
        <v>63</v>
      </c>
      <c r="G38" s="10">
        <f t="shared" ref="G38:I38" si="25">G36*S38</f>
        <v>207000</v>
      </c>
      <c r="H38" s="10">
        <f t="shared" si="25"/>
        <v>207000</v>
      </c>
      <c r="I38" s="10">
        <f t="shared" si="25"/>
        <v>252000000</v>
      </c>
      <c r="J38" s="10">
        <v>0</v>
      </c>
      <c r="K38" s="2">
        <v>0</v>
      </c>
      <c r="L38" s="2">
        <v>1800</v>
      </c>
      <c r="M38" s="2">
        <v>1800</v>
      </c>
      <c r="N38" s="2">
        <v>1800</v>
      </c>
      <c r="O38" s="2">
        <v>99</v>
      </c>
      <c r="P38" s="2">
        <v>0</v>
      </c>
      <c r="Q38" s="16" t="s">
        <v>30</v>
      </c>
      <c r="R38" s="16" t="s">
        <v>36</v>
      </c>
      <c r="S38" s="2">
        <v>1.15</v>
      </c>
      <c r="T38" s="2">
        <v>1.15</v>
      </c>
      <c r="U38" s="2">
        <v>1.2</v>
      </c>
    </row>
    <row r="39" s="2" customFormat="1" customHeight="1" spans="1:21">
      <c r="C39" s="5">
        <v>34</v>
      </c>
      <c r="D39" s="5">
        <v>7</v>
      </c>
      <c r="E39" s="5">
        <v>4</v>
      </c>
      <c r="F39" s="5" t="s">
        <v>63</v>
      </c>
      <c r="G39" s="10">
        <f t="shared" ref="G39:I39" si="26">G36*S39</f>
        <v>216000</v>
      </c>
      <c r="H39" s="10">
        <f t="shared" si="26"/>
        <v>216000</v>
      </c>
      <c r="I39" s="10">
        <f t="shared" si="26"/>
        <v>273000000</v>
      </c>
      <c r="J39" s="10">
        <v>0</v>
      </c>
      <c r="K39" s="2">
        <v>0</v>
      </c>
      <c r="L39" s="2">
        <v>1800</v>
      </c>
      <c r="M39" s="2">
        <v>1800</v>
      </c>
      <c r="N39" s="2">
        <v>1800</v>
      </c>
      <c r="O39" s="2">
        <v>99</v>
      </c>
      <c r="P39" s="2">
        <v>0</v>
      </c>
      <c r="Q39" s="16" t="s">
        <v>66</v>
      </c>
      <c r="R39" s="16" t="s">
        <v>60</v>
      </c>
      <c r="S39" s="2">
        <v>1.2</v>
      </c>
      <c r="T39" s="2">
        <v>1.2</v>
      </c>
      <c r="U39" s="2">
        <v>1.3</v>
      </c>
    </row>
    <row r="40" s="2" customFormat="1" customHeight="1" spans="1:21">
      <c r="C40" s="5">
        <v>35</v>
      </c>
      <c r="D40" s="5">
        <v>7</v>
      </c>
      <c r="E40" s="5">
        <v>5</v>
      </c>
      <c r="F40" s="5" t="s">
        <v>63</v>
      </c>
      <c r="G40" s="10">
        <f t="shared" ref="G40:I40" si="27">G36*S40</f>
        <v>225000</v>
      </c>
      <c r="H40" s="10">
        <f t="shared" si="27"/>
        <v>225000</v>
      </c>
      <c r="I40" s="10">
        <f t="shared" si="27"/>
        <v>315000000</v>
      </c>
      <c r="J40" s="10">
        <v>0</v>
      </c>
      <c r="K40" s="2">
        <v>0</v>
      </c>
      <c r="L40" s="2">
        <v>1800</v>
      </c>
      <c r="M40" s="2">
        <v>1800</v>
      </c>
      <c r="N40" s="2">
        <v>1800</v>
      </c>
      <c r="O40" s="2">
        <v>99</v>
      </c>
      <c r="P40" s="2">
        <v>0</v>
      </c>
      <c r="Q40" s="16" t="s">
        <v>67</v>
      </c>
      <c r="R40" s="16" t="s">
        <v>68</v>
      </c>
      <c r="S40" s="2">
        <v>1.25</v>
      </c>
      <c r="T40" s="2">
        <v>1.25</v>
      </c>
      <c r="U40" s="2">
        <v>1.5</v>
      </c>
    </row>
    <row r="41" s="3" customFormat="1" customHeight="1" spans="1:21">
      <c r="A41" s="2"/>
      <c r="B41" s="2"/>
      <c r="C41" s="5">
        <v>36</v>
      </c>
      <c r="D41" s="5">
        <v>8</v>
      </c>
      <c r="E41" s="11">
        <v>1</v>
      </c>
      <c r="F41" s="11" t="s">
        <v>69</v>
      </c>
      <c r="G41" s="17" t="s">
        <v>70</v>
      </c>
      <c r="H41" s="17" t="s">
        <v>70</v>
      </c>
      <c r="I41" s="17" t="s">
        <v>71</v>
      </c>
      <c r="J41" s="10">
        <v>0</v>
      </c>
      <c r="K41" s="3">
        <v>0</v>
      </c>
      <c r="L41" s="3">
        <v>1800</v>
      </c>
      <c r="M41" s="3">
        <v>1800</v>
      </c>
      <c r="N41" s="3">
        <v>1800</v>
      </c>
      <c r="O41" s="3">
        <v>99</v>
      </c>
      <c r="P41" s="3">
        <v>0</v>
      </c>
      <c r="Q41" s="16" t="s">
        <v>28</v>
      </c>
      <c r="R41" s="16" t="s">
        <v>25</v>
      </c>
      <c r="S41" s="3">
        <v>1</v>
      </c>
      <c r="T41" s="3">
        <v>1</v>
      </c>
      <c r="U41" s="3">
        <v>1</v>
      </c>
    </row>
    <row r="42" s="2" customFormat="1" customHeight="1" spans="1:21">
      <c r="C42" s="5">
        <v>37</v>
      </c>
      <c r="D42" s="5">
        <v>8</v>
      </c>
      <c r="E42" s="5">
        <v>2</v>
      </c>
      <c r="F42" s="5" t="s">
        <v>69</v>
      </c>
      <c r="G42" s="10">
        <f t="shared" ref="G42:I42" si="28">G41*S42</f>
        <v>231000</v>
      </c>
      <c r="H42" s="10">
        <f t="shared" si="28"/>
        <v>231000</v>
      </c>
      <c r="I42" s="10">
        <f t="shared" si="28"/>
        <v>330000000</v>
      </c>
      <c r="J42" s="10">
        <v>0</v>
      </c>
      <c r="K42" s="2">
        <v>0</v>
      </c>
      <c r="L42" s="2">
        <v>1800</v>
      </c>
      <c r="M42" s="2">
        <v>1800</v>
      </c>
      <c r="N42" s="2">
        <v>1800</v>
      </c>
      <c r="O42" s="2">
        <v>99</v>
      </c>
      <c r="P42" s="2">
        <v>0</v>
      </c>
      <c r="Q42" s="16" t="s">
        <v>44</v>
      </c>
      <c r="R42" s="16" t="s">
        <v>25</v>
      </c>
      <c r="S42" s="2">
        <v>1.1</v>
      </c>
      <c r="T42" s="2">
        <v>1.1</v>
      </c>
      <c r="U42" s="2">
        <v>1.1</v>
      </c>
    </row>
    <row r="43" s="2" customFormat="1" customHeight="1" spans="1:21">
      <c r="C43" s="5">
        <v>38</v>
      </c>
      <c r="D43" s="5">
        <v>8</v>
      </c>
      <c r="E43" s="5">
        <v>3</v>
      </c>
      <c r="F43" s="5" t="s">
        <v>69</v>
      </c>
      <c r="G43" s="10">
        <f t="shared" ref="G43:I43" si="29">G41*S43</f>
        <v>241500</v>
      </c>
      <c r="H43" s="10">
        <f t="shared" si="29"/>
        <v>241500</v>
      </c>
      <c r="I43" s="10">
        <f t="shared" si="29"/>
        <v>360000000</v>
      </c>
      <c r="J43" s="10">
        <v>0</v>
      </c>
      <c r="K43" s="2">
        <v>0</v>
      </c>
      <c r="L43" s="2">
        <v>1800</v>
      </c>
      <c r="M43" s="2">
        <v>1800</v>
      </c>
      <c r="N43" s="2">
        <v>1800</v>
      </c>
      <c r="O43" s="2">
        <v>99</v>
      </c>
      <c r="P43" s="2">
        <v>0</v>
      </c>
      <c r="Q43" s="16" t="s">
        <v>30</v>
      </c>
      <c r="R43" s="16" t="s">
        <v>36</v>
      </c>
      <c r="S43" s="2">
        <v>1.15</v>
      </c>
      <c r="T43" s="2">
        <v>1.15</v>
      </c>
      <c r="U43" s="2">
        <v>1.2</v>
      </c>
    </row>
    <row r="44" s="2" customFormat="1" customHeight="1" spans="1:21">
      <c r="C44" s="5">
        <v>39</v>
      </c>
      <c r="D44" s="5">
        <v>8</v>
      </c>
      <c r="E44" s="5">
        <v>4</v>
      </c>
      <c r="F44" s="5" t="s">
        <v>69</v>
      </c>
      <c r="G44" s="10">
        <f t="shared" ref="G44:I44" si="30">G41*S44</f>
        <v>252000</v>
      </c>
      <c r="H44" s="10">
        <f t="shared" si="30"/>
        <v>252000</v>
      </c>
      <c r="I44" s="10">
        <f t="shared" si="30"/>
        <v>390000000</v>
      </c>
      <c r="J44" s="10">
        <v>0</v>
      </c>
      <c r="K44" s="2">
        <v>0</v>
      </c>
      <c r="L44" s="2">
        <v>1800</v>
      </c>
      <c r="M44" s="2">
        <v>1800</v>
      </c>
      <c r="N44" s="2">
        <v>1800</v>
      </c>
      <c r="O44" s="2">
        <v>99</v>
      </c>
      <c r="P44" s="2">
        <v>0</v>
      </c>
      <c r="Q44" s="16" t="s">
        <v>66</v>
      </c>
      <c r="R44" s="16" t="s">
        <v>60</v>
      </c>
      <c r="S44" s="2">
        <v>1.2</v>
      </c>
      <c r="T44" s="2">
        <v>1.2</v>
      </c>
      <c r="U44" s="2">
        <v>1.3</v>
      </c>
    </row>
    <row r="45" s="2" customFormat="1" customHeight="1" spans="1:21">
      <c r="C45" s="5">
        <v>40</v>
      </c>
      <c r="D45" s="5">
        <v>8</v>
      </c>
      <c r="E45" s="5">
        <v>5</v>
      </c>
      <c r="F45" s="5" t="s">
        <v>72</v>
      </c>
      <c r="G45" s="10">
        <f t="shared" ref="G45:I45" si="31">G41*S45</f>
        <v>262500</v>
      </c>
      <c r="H45" s="10">
        <f t="shared" si="31"/>
        <v>262500</v>
      </c>
      <c r="I45" s="10">
        <f t="shared" si="31"/>
        <v>450000000</v>
      </c>
      <c r="J45" s="10">
        <v>0</v>
      </c>
      <c r="K45" s="2">
        <v>0</v>
      </c>
      <c r="L45" s="2">
        <v>1800</v>
      </c>
      <c r="M45" s="2">
        <v>1800</v>
      </c>
      <c r="N45" s="2">
        <v>1800</v>
      </c>
      <c r="O45" s="2">
        <v>99</v>
      </c>
      <c r="P45" s="2">
        <v>0</v>
      </c>
      <c r="Q45" s="16" t="s">
        <v>73</v>
      </c>
      <c r="R45" s="16" t="s">
        <v>68</v>
      </c>
      <c r="S45" s="2">
        <v>1.25</v>
      </c>
      <c r="T45" s="2">
        <v>1.25</v>
      </c>
      <c r="U45" s="2">
        <v>1.5</v>
      </c>
    </row>
    <row r="46" s="3" customFormat="1" customHeight="1" spans="1:21">
      <c r="A46" s="2"/>
      <c r="B46" s="2"/>
      <c r="C46" s="5">
        <v>41</v>
      </c>
      <c r="D46" s="5">
        <v>9</v>
      </c>
      <c r="E46" s="11">
        <v>1</v>
      </c>
      <c r="F46" s="11" t="s">
        <v>74</v>
      </c>
      <c r="G46" s="17" t="s">
        <v>75</v>
      </c>
      <c r="H46" s="17" t="s">
        <v>75</v>
      </c>
      <c r="I46" s="17" t="s">
        <v>76</v>
      </c>
      <c r="J46" s="10">
        <v>0</v>
      </c>
      <c r="K46" s="3">
        <v>0</v>
      </c>
      <c r="L46" s="3">
        <v>1800</v>
      </c>
      <c r="M46" s="3">
        <v>1800</v>
      </c>
      <c r="N46" s="3">
        <v>1800</v>
      </c>
      <c r="O46" s="3">
        <v>99</v>
      </c>
      <c r="P46" s="3">
        <v>0</v>
      </c>
      <c r="Q46" s="16" t="s">
        <v>28</v>
      </c>
      <c r="R46" s="16" t="s">
        <v>25</v>
      </c>
      <c r="S46" s="3">
        <v>1</v>
      </c>
      <c r="T46" s="3">
        <v>1</v>
      </c>
      <c r="U46" s="3">
        <v>1</v>
      </c>
    </row>
    <row r="47" s="2" customFormat="1" customHeight="1" spans="1:21">
      <c r="C47" s="5">
        <v>42</v>
      </c>
      <c r="D47" s="5">
        <v>9</v>
      </c>
      <c r="E47" s="5">
        <v>2</v>
      </c>
      <c r="F47" s="5" t="s">
        <v>74</v>
      </c>
      <c r="G47" s="10">
        <f t="shared" ref="G47:I47" si="32">G46*S47</f>
        <v>275000</v>
      </c>
      <c r="H47" s="10">
        <f t="shared" si="32"/>
        <v>275000</v>
      </c>
      <c r="I47" s="10">
        <f t="shared" si="32"/>
        <v>440000000</v>
      </c>
      <c r="J47" s="10">
        <v>0</v>
      </c>
      <c r="K47" s="2">
        <v>0</v>
      </c>
      <c r="L47" s="2">
        <v>1800</v>
      </c>
      <c r="M47" s="2">
        <v>1800</v>
      </c>
      <c r="N47" s="2">
        <v>1800</v>
      </c>
      <c r="O47" s="2">
        <v>99</v>
      </c>
      <c r="P47" s="2">
        <v>0</v>
      </c>
      <c r="Q47" s="16" t="s">
        <v>44</v>
      </c>
      <c r="R47" s="16" t="s">
        <v>25</v>
      </c>
      <c r="S47" s="2">
        <v>1.1</v>
      </c>
      <c r="T47" s="2">
        <v>1.1</v>
      </c>
      <c r="U47" s="2">
        <v>1.1</v>
      </c>
    </row>
    <row r="48" s="2" customFormat="1" customHeight="1" spans="1:21">
      <c r="C48" s="5">
        <v>43</v>
      </c>
      <c r="D48" s="5">
        <v>9</v>
      </c>
      <c r="E48" s="5">
        <v>3</v>
      </c>
      <c r="F48" s="5" t="s">
        <v>74</v>
      </c>
      <c r="G48" s="10">
        <f t="shared" ref="G48:I48" si="33">G46*S48</f>
        <v>287500</v>
      </c>
      <c r="H48" s="10">
        <f t="shared" si="33"/>
        <v>287500</v>
      </c>
      <c r="I48" s="10">
        <f t="shared" si="33"/>
        <v>480000000</v>
      </c>
      <c r="J48" s="10">
        <v>0</v>
      </c>
      <c r="K48" s="2">
        <v>0</v>
      </c>
      <c r="L48" s="2">
        <v>1800</v>
      </c>
      <c r="M48" s="2">
        <v>1800</v>
      </c>
      <c r="N48" s="2">
        <v>1800</v>
      </c>
      <c r="O48" s="2">
        <v>99</v>
      </c>
      <c r="P48" s="2">
        <v>0</v>
      </c>
      <c r="Q48" s="16" t="s">
        <v>30</v>
      </c>
      <c r="R48" s="16" t="s">
        <v>36</v>
      </c>
      <c r="S48" s="2">
        <v>1.15</v>
      </c>
      <c r="T48" s="2">
        <v>1.15</v>
      </c>
      <c r="U48" s="2">
        <v>1.2</v>
      </c>
    </row>
    <row r="49" s="2" customFormat="1" customHeight="1" spans="1:21">
      <c r="C49" s="5">
        <v>44</v>
      </c>
      <c r="D49" s="5">
        <v>9</v>
      </c>
      <c r="E49" s="5">
        <v>4</v>
      </c>
      <c r="F49" s="5" t="s">
        <v>74</v>
      </c>
      <c r="G49" s="10">
        <f t="shared" ref="G49:I49" si="34">G46*S49</f>
        <v>300000</v>
      </c>
      <c r="H49" s="10">
        <f t="shared" si="34"/>
        <v>300000</v>
      </c>
      <c r="I49" s="10">
        <f t="shared" si="34"/>
        <v>520000000</v>
      </c>
      <c r="J49" s="10">
        <v>0</v>
      </c>
      <c r="K49" s="2">
        <v>0</v>
      </c>
      <c r="L49" s="2">
        <v>1800</v>
      </c>
      <c r="M49" s="2">
        <v>1800</v>
      </c>
      <c r="N49" s="2">
        <v>1800</v>
      </c>
      <c r="O49" s="2">
        <v>99</v>
      </c>
      <c r="P49" s="2">
        <v>0</v>
      </c>
      <c r="Q49" s="16" t="s">
        <v>66</v>
      </c>
      <c r="R49" s="16" t="s">
        <v>60</v>
      </c>
      <c r="S49" s="2">
        <v>1.2</v>
      </c>
      <c r="T49" s="2">
        <v>1.2</v>
      </c>
      <c r="U49" s="2">
        <v>1.3</v>
      </c>
    </row>
    <row r="50" s="2" customFormat="1" customHeight="1" spans="1:21">
      <c r="C50" s="5">
        <v>45</v>
      </c>
      <c r="D50" s="5">
        <v>9</v>
      </c>
      <c r="E50" s="5">
        <v>5</v>
      </c>
      <c r="F50" s="5" t="s">
        <v>77</v>
      </c>
      <c r="G50" s="10">
        <f t="shared" ref="G50:I50" si="35">G46*S50</f>
        <v>312500</v>
      </c>
      <c r="H50" s="10">
        <f t="shared" si="35"/>
        <v>312500</v>
      </c>
      <c r="I50" s="10">
        <f t="shared" si="35"/>
        <v>600000000</v>
      </c>
      <c r="J50" s="10">
        <v>0</v>
      </c>
      <c r="K50" s="2">
        <v>0</v>
      </c>
      <c r="L50" s="2">
        <v>1800</v>
      </c>
      <c r="M50" s="2">
        <v>1800</v>
      </c>
      <c r="N50" s="2">
        <v>1800</v>
      </c>
      <c r="O50" s="2">
        <v>99</v>
      </c>
      <c r="P50" s="2">
        <v>0</v>
      </c>
      <c r="Q50" s="16" t="s">
        <v>67</v>
      </c>
      <c r="R50" s="16" t="s">
        <v>68</v>
      </c>
      <c r="S50" s="2">
        <v>1.25</v>
      </c>
      <c r="T50" s="2">
        <v>1.25</v>
      </c>
      <c r="U50" s="2">
        <v>1.5</v>
      </c>
    </row>
    <row r="51" s="3" customFormat="1" customHeight="1" spans="1:21">
      <c r="A51" s="2"/>
      <c r="B51" s="2"/>
      <c r="C51" s="5">
        <v>46</v>
      </c>
      <c r="D51" s="5">
        <v>10</v>
      </c>
      <c r="E51" s="11">
        <v>1</v>
      </c>
      <c r="F51" s="11" t="s">
        <v>78</v>
      </c>
      <c r="G51" s="17" t="s">
        <v>79</v>
      </c>
      <c r="H51" s="17" t="s">
        <v>79</v>
      </c>
      <c r="I51" s="17" t="s">
        <v>80</v>
      </c>
      <c r="J51" s="10">
        <v>0</v>
      </c>
      <c r="K51" s="3">
        <v>0</v>
      </c>
      <c r="L51" s="3">
        <v>1800</v>
      </c>
      <c r="M51" s="3">
        <v>1800</v>
      </c>
      <c r="N51" s="3">
        <v>1800</v>
      </c>
      <c r="O51" s="3">
        <v>99</v>
      </c>
      <c r="P51" s="3">
        <v>0</v>
      </c>
      <c r="Q51" s="16" t="s">
        <v>28</v>
      </c>
      <c r="R51" s="16" t="s">
        <v>25</v>
      </c>
      <c r="S51" s="3">
        <v>1</v>
      </c>
      <c r="T51" s="3">
        <v>1</v>
      </c>
      <c r="U51" s="3">
        <v>1</v>
      </c>
    </row>
    <row r="52" s="2" customFormat="1" customHeight="1" spans="1:21">
      <c r="C52" s="5">
        <v>47</v>
      </c>
      <c r="D52" s="5">
        <v>10</v>
      </c>
      <c r="E52" s="5">
        <v>2</v>
      </c>
      <c r="F52" s="5" t="s">
        <v>78</v>
      </c>
      <c r="G52" s="10">
        <f t="shared" ref="G52:I52" si="36">G51*S52</f>
        <v>330000</v>
      </c>
      <c r="H52" s="10">
        <f t="shared" si="36"/>
        <v>330000</v>
      </c>
      <c r="I52" s="10">
        <f t="shared" si="36"/>
        <v>550000000</v>
      </c>
      <c r="J52" s="10">
        <v>0</v>
      </c>
      <c r="K52" s="2">
        <v>0</v>
      </c>
      <c r="L52" s="2">
        <v>1800</v>
      </c>
      <c r="M52" s="2">
        <v>1800</v>
      </c>
      <c r="N52" s="2">
        <v>1800</v>
      </c>
      <c r="O52" s="2">
        <v>99</v>
      </c>
      <c r="P52" s="2">
        <v>0</v>
      </c>
      <c r="Q52" s="16" t="s">
        <v>44</v>
      </c>
      <c r="R52" s="16" t="s">
        <v>25</v>
      </c>
      <c r="S52" s="2">
        <v>1.1</v>
      </c>
      <c r="T52" s="2">
        <v>1.1</v>
      </c>
      <c r="U52" s="2">
        <v>1.1</v>
      </c>
    </row>
    <row r="53" s="2" customFormat="1" customHeight="1" spans="1:21">
      <c r="C53" s="5">
        <v>48</v>
      </c>
      <c r="D53" s="5">
        <v>10</v>
      </c>
      <c r="E53" s="5">
        <v>3</v>
      </c>
      <c r="F53" s="5" t="s">
        <v>78</v>
      </c>
      <c r="G53" s="10">
        <f t="shared" ref="G53:I53" si="37">G51*S53</f>
        <v>345000</v>
      </c>
      <c r="H53" s="10">
        <f t="shared" si="37"/>
        <v>345000</v>
      </c>
      <c r="I53" s="10">
        <f t="shared" si="37"/>
        <v>600000000</v>
      </c>
      <c r="J53" s="10">
        <v>0</v>
      </c>
      <c r="K53" s="2">
        <v>0</v>
      </c>
      <c r="L53" s="2">
        <v>1800</v>
      </c>
      <c r="M53" s="2">
        <v>1800</v>
      </c>
      <c r="N53" s="2">
        <v>1800</v>
      </c>
      <c r="O53" s="2">
        <v>99</v>
      </c>
      <c r="P53" s="2">
        <v>0</v>
      </c>
      <c r="Q53" s="16" t="s">
        <v>30</v>
      </c>
      <c r="R53" s="16" t="s">
        <v>36</v>
      </c>
      <c r="S53" s="2">
        <v>1.15</v>
      </c>
      <c r="T53" s="2">
        <v>1.15</v>
      </c>
      <c r="U53" s="2">
        <v>1.2</v>
      </c>
    </row>
    <row r="54" s="2" customFormat="1" customHeight="1" spans="1:21">
      <c r="C54" s="5">
        <v>49</v>
      </c>
      <c r="D54" s="5">
        <v>10</v>
      </c>
      <c r="E54" s="5">
        <v>4</v>
      </c>
      <c r="F54" s="5" t="s">
        <v>78</v>
      </c>
      <c r="G54" s="10">
        <f t="shared" ref="G54:I54" si="38">G51*S54</f>
        <v>360000</v>
      </c>
      <c r="H54" s="10">
        <f t="shared" si="38"/>
        <v>360000</v>
      </c>
      <c r="I54" s="10">
        <f t="shared" si="38"/>
        <v>650000000</v>
      </c>
      <c r="J54" s="10">
        <v>0</v>
      </c>
      <c r="K54" s="2">
        <v>0</v>
      </c>
      <c r="L54" s="2">
        <v>1800</v>
      </c>
      <c r="M54" s="2">
        <v>1800</v>
      </c>
      <c r="N54" s="2">
        <v>1800</v>
      </c>
      <c r="O54" s="2">
        <v>99</v>
      </c>
      <c r="P54" s="2">
        <v>0</v>
      </c>
      <c r="Q54" s="16" t="s">
        <v>66</v>
      </c>
      <c r="R54" s="16" t="s">
        <v>60</v>
      </c>
      <c r="S54" s="2">
        <v>1.2</v>
      </c>
      <c r="T54" s="2">
        <v>1.2</v>
      </c>
      <c r="U54" s="2">
        <v>1.3</v>
      </c>
    </row>
    <row r="55" s="2" customFormat="1" customHeight="1" spans="1:21">
      <c r="C55" s="5">
        <v>50</v>
      </c>
      <c r="D55" s="5">
        <v>10</v>
      </c>
      <c r="E55" s="5">
        <v>5</v>
      </c>
      <c r="F55" s="5" t="s">
        <v>78</v>
      </c>
      <c r="G55" s="10">
        <f t="shared" ref="G55:I55" si="39">G51*S55</f>
        <v>375000</v>
      </c>
      <c r="H55" s="10">
        <f t="shared" si="39"/>
        <v>375000</v>
      </c>
      <c r="I55" s="10">
        <f t="shared" si="39"/>
        <v>750000000</v>
      </c>
      <c r="J55" s="10">
        <v>0</v>
      </c>
      <c r="K55" s="2">
        <v>0</v>
      </c>
      <c r="L55" s="2">
        <v>1800</v>
      </c>
      <c r="M55" s="2">
        <v>1800</v>
      </c>
      <c r="N55" s="2">
        <v>1800</v>
      </c>
      <c r="O55" s="2">
        <v>99</v>
      </c>
      <c r="P55" s="2">
        <v>0</v>
      </c>
      <c r="Q55" s="16" t="s">
        <v>73</v>
      </c>
      <c r="R55" s="16" t="s">
        <v>68</v>
      </c>
      <c r="S55" s="2">
        <v>1.25</v>
      </c>
      <c r="T55" s="2">
        <v>1.25</v>
      </c>
      <c r="U55" s="2">
        <v>1.5</v>
      </c>
    </row>
    <row r="56" s="3" customFormat="1" customHeight="1" spans="1:21">
      <c r="A56" s="2"/>
      <c r="B56" s="2"/>
      <c r="C56" s="5">
        <v>51</v>
      </c>
      <c r="D56" s="5">
        <v>11</v>
      </c>
      <c r="E56" s="11">
        <v>1</v>
      </c>
      <c r="F56" s="11" t="s">
        <v>81</v>
      </c>
      <c r="G56" s="17" t="s">
        <v>82</v>
      </c>
      <c r="H56" s="17" t="s">
        <v>82</v>
      </c>
      <c r="I56" s="17" t="s">
        <v>83</v>
      </c>
      <c r="J56" s="10">
        <v>0</v>
      </c>
      <c r="K56" s="3">
        <v>0</v>
      </c>
      <c r="L56" s="3">
        <v>1800</v>
      </c>
      <c r="M56" s="3">
        <v>1800</v>
      </c>
      <c r="N56" s="3">
        <v>1800</v>
      </c>
      <c r="O56" s="3">
        <v>99</v>
      </c>
      <c r="P56" s="3">
        <v>0</v>
      </c>
      <c r="Q56" s="16" t="s">
        <v>28</v>
      </c>
      <c r="R56" s="16" t="s">
        <v>25</v>
      </c>
      <c r="S56" s="3">
        <v>1</v>
      </c>
      <c r="T56" s="3">
        <v>1</v>
      </c>
      <c r="U56" s="3">
        <v>1</v>
      </c>
    </row>
    <row r="57" s="2" customFormat="1" customHeight="1" spans="1:21">
      <c r="C57" s="5">
        <v>52</v>
      </c>
      <c r="D57" s="5">
        <v>11</v>
      </c>
      <c r="E57" s="5">
        <v>2</v>
      </c>
      <c r="F57" s="5" t="s">
        <v>81</v>
      </c>
      <c r="G57" s="10">
        <f t="shared" ref="G57:I57" si="40">G56*S57</f>
        <v>385000</v>
      </c>
      <c r="H57" s="10">
        <f t="shared" si="40"/>
        <v>385000</v>
      </c>
      <c r="I57" s="10">
        <f t="shared" si="40"/>
        <v>660000000</v>
      </c>
      <c r="J57" s="10">
        <v>0</v>
      </c>
      <c r="K57" s="2">
        <v>0</v>
      </c>
      <c r="L57" s="2">
        <v>1800</v>
      </c>
      <c r="M57" s="2">
        <v>1800</v>
      </c>
      <c r="N57" s="2">
        <v>1800</v>
      </c>
      <c r="O57" s="2">
        <v>99</v>
      </c>
      <c r="P57" s="2">
        <v>0</v>
      </c>
      <c r="Q57" s="16" t="s">
        <v>44</v>
      </c>
      <c r="R57" s="16" t="s">
        <v>25</v>
      </c>
      <c r="S57" s="2">
        <v>1.1</v>
      </c>
      <c r="T57" s="2">
        <v>1.1</v>
      </c>
      <c r="U57" s="2">
        <v>1.1</v>
      </c>
    </row>
    <row r="58" s="2" customFormat="1" customHeight="1" spans="1:21">
      <c r="C58" s="5">
        <v>53</v>
      </c>
      <c r="D58" s="5">
        <v>11</v>
      </c>
      <c r="E58" s="5">
        <v>3</v>
      </c>
      <c r="F58" s="5" t="s">
        <v>81</v>
      </c>
      <c r="G58" s="10">
        <f t="shared" ref="G58:I58" si="41">G56*S58</f>
        <v>402500</v>
      </c>
      <c r="H58" s="10">
        <f t="shared" si="41"/>
        <v>402500</v>
      </c>
      <c r="I58" s="10">
        <f t="shared" si="41"/>
        <v>720000000</v>
      </c>
      <c r="J58" s="10">
        <v>0</v>
      </c>
      <c r="K58" s="2">
        <v>0</v>
      </c>
      <c r="L58" s="2">
        <v>1800</v>
      </c>
      <c r="M58" s="2">
        <v>1800</v>
      </c>
      <c r="N58" s="2">
        <v>1800</v>
      </c>
      <c r="O58" s="2">
        <v>99</v>
      </c>
      <c r="P58" s="2">
        <v>0</v>
      </c>
      <c r="Q58" s="16" t="s">
        <v>30</v>
      </c>
      <c r="R58" s="16" t="s">
        <v>84</v>
      </c>
      <c r="S58" s="2">
        <v>1.15</v>
      </c>
      <c r="T58" s="2">
        <v>1.15</v>
      </c>
      <c r="U58" s="2">
        <v>1.2</v>
      </c>
    </row>
    <row r="59" s="2" customFormat="1" customHeight="1" spans="1:21">
      <c r="C59" s="5">
        <v>54</v>
      </c>
      <c r="D59" s="5">
        <v>11</v>
      </c>
      <c r="E59" s="5">
        <v>4</v>
      </c>
      <c r="F59" s="5" t="s">
        <v>81</v>
      </c>
      <c r="G59" s="10">
        <f t="shared" ref="G59:I59" si="42">G56*S59</f>
        <v>420000</v>
      </c>
      <c r="H59" s="10">
        <f t="shared" si="42"/>
        <v>420000</v>
      </c>
      <c r="I59" s="10">
        <f t="shared" si="42"/>
        <v>780000000</v>
      </c>
      <c r="J59" s="10">
        <v>0</v>
      </c>
      <c r="K59" s="2">
        <v>0</v>
      </c>
      <c r="L59" s="2">
        <v>1800</v>
      </c>
      <c r="M59" s="2">
        <v>1800</v>
      </c>
      <c r="N59" s="2">
        <v>1800</v>
      </c>
      <c r="O59" s="2">
        <v>99</v>
      </c>
      <c r="P59" s="2">
        <v>0</v>
      </c>
      <c r="Q59" s="16" t="s">
        <v>85</v>
      </c>
      <c r="R59" s="16" t="s">
        <v>86</v>
      </c>
      <c r="S59" s="2">
        <v>1.2</v>
      </c>
      <c r="T59" s="2">
        <v>1.2</v>
      </c>
      <c r="U59" s="2">
        <v>1.3</v>
      </c>
    </row>
    <row r="60" s="2" customFormat="1" customHeight="1" spans="1:21">
      <c r="C60" s="5">
        <v>55</v>
      </c>
      <c r="D60" s="5">
        <v>11</v>
      </c>
      <c r="E60" s="5">
        <v>5</v>
      </c>
      <c r="F60" s="5" t="s">
        <v>87</v>
      </c>
      <c r="G60" s="10">
        <f t="shared" ref="G60:I60" si="43">G56*S60</f>
        <v>437500</v>
      </c>
      <c r="H60" s="10">
        <f t="shared" si="43"/>
        <v>437500</v>
      </c>
      <c r="I60" s="10">
        <f t="shared" si="43"/>
        <v>900000000</v>
      </c>
      <c r="J60" s="10">
        <v>0</v>
      </c>
      <c r="K60" s="2">
        <v>0</v>
      </c>
      <c r="L60" s="2">
        <v>1800</v>
      </c>
      <c r="M60" s="2">
        <v>1800</v>
      </c>
      <c r="N60" s="2">
        <v>1800</v>
      </c>
      <c r="O60" s="2">
        <v>99</v>
      </c>
      <c r="P60" s="2">
        <v>0</v>
      </c>
      <c r="Q60" s="16" t="s">
        <v>88</v>
      </c>
      <c r="R60" s="16" t="s">
        <v>89</v>
      </c>
      <c r="S60" s="2">
        <v>1.25</v>
      </c>
      <c r="T60" s="2">
        <v>1.25</v>
      </c>
      <c r="U60" s="2">
        <v>1.5</v>
      </c>
    </row>
    <row r="61" s="3" customFormat="1" customHeight="1" spans="1:21">
      <c r="A61" s="2"/>
      <c r="B61" s="2"/>
      <c r="C61" s="5">
        <v>56</v>
      </c>
      <c r="D61" s="5">
        <v>12</v>
      </c>
      <c r="E61" s="11">
        <v>1</v>
      </c>
      <c r="F61" s="11" t="s">
        <v>90</v>
      </c>
      <c r="G61" s="17" t="s">
        <v>91</v>
      </c>
      <c r="H61" s="17" t="s">
        <v>91</v>
      </c>
      <c r="I61" s="17" t="s">
        <v>92</v>
      </c>
      <c r="J61" s="10">
        <v>0</v>
      </c>
      <c r="K61" s="3">
        <v>0</v>
      </c>
      <c r="L61" s="3">
        <v>1800</v>
      </c>
      <c r="M61" s="3">
        <v>1800</v>
      </c>
      <c r="N61" s="3">
        <v>1800</v>
      </c>
      <c r="O61" s="3">
        <v>99</v>
      </c>
      <c r="P61" s="3">
        <v>0</v>
      </c>
      <c r="Q61" s="16" t="s">
        <v>44</v>
      </c>
      <c r="R61" s="16" t="s">
        <v>25</v>
      </c>
      <c r="S61" s="3">
        <v>1</v>
      </c>
      <c r="T61" s="3">
        <v>1</v>
      </c>
      <c r="U61" s="3">
        <v>1</v>
      </c>
    </row>
    <row r="62" s="2" customFormat="1" customHeight="1" spans="1:21">
      <c r="C62" s="5">
        <v>57</v>
      </c>
      <c r="D62" s="5">
        <v>12</v>
      </c>
      <c r="E62" s="5">
        <v>2</v>
      </c>
      <c r="F62" s="5" t="s">
        <v>90</v>
      </c>
      <c r="G62" s="10">
        <f t="shared" ref="G62:I62" si="44">G61*S62</f>
        <v>440000</v>
      </c>
      <c r="H62" s="10">
        <f t="shared" si="44"/>
        <v>440000</v>
      </c>
      <c r="I62" s="10">
        <f t="shared" si="44"/>
        <v>770000000</v>
      </c>
      <c r="J62" s="10">
        <v>0</v>
      </c>
      <c r="K62" s="2">
        <v>0</v>
      </c>
      <c r="L62" s="2">
        <v>1800</v>
      </c>
      <c r="M62" s="2">
        <v>1800</v>
      </c>
      <c r="N62" s="2">
        <v>1800</v>
      </c>
      <c r="O62" s="2">
        <v>99</v>
      </c>
      <c r="P62" s="2">
        <v>0</v>
      </c>
      <c r="Q62" s="16" t="s">
        <v>49</v>
      </c>
      <c r="R62" s="16" t="s">
        <v>25</v>
      </c>
      <c r="S62" s="2">
        <v>1.1</v>
      </c>
      <c r="T62" s="2">
        <v>1.1</v>
      </c>
      <c r="U62" s="2">
        <v>1.1</v>
      </c>
    </row>
    <row r="63" s="2" customFormat="1" customHeight="1" spans="1:21">
      <c r="C63" s="5">
        <v>58</v>
      </c>
      <c r="D63" s="5">
        <v>12</v>
      </c>
      <c r="E63" s="5">
        <v>3</v>
      </c>
      <c r="F63" s="5" t="s">
        <v>90</v>
      </c>
      <c r="G63" s="10">
        <f t="shared" ref="G63:I63" si="45">G61*S63</f>
        <v>460000</v>
      </c>
      <c r="H63" s="10">
        <f t="shared" si="45"/>
        <v>460000</v>
      </c>
      <c r="I63" s="10">
        <f t="shared" si="45"/>
        <v>840000000</v>
      </c>
      <c r="J63" s="10">
        <v>0</v>
      </c>
      <c r="K63" s="2">
        <v>0</v>
      </c>
      <c r="L63" s="2">
        <v>1800</v>
      </c>
      <c r="M63" s="2">
        <v>1800</v>
      </c>
      <c r="N63" s="2">
        <v>1800</v>
      </c>
      <c r="O63" s="2">
        <v>99</v>
      </c>
      <c r="P63" s="2">
        <v>0</v>
      </c>
      <c r="Q63" s="16" t="s">
        <v>30</v>
      </c>
      <c r="R63" s="16" t="s">
        <v>84</v>
      </c>
      <c r="S63" s="2">
        <v>1.15</v>
      </c>
      <c r="T63" s="2">
        <v>1.15</v>
      </c>
      <c r="U63" s="2">
        <v>1.2</v>
      </c>
    </row>
    <row r="64" s="2" customFormat="1" customHeight="1" spans="1:21">
      <c r="C64" s="5">
        <v>59</v>
      </c>
      <c r="D64" s="5">
        <v>12</v>
      </c>
      <c r="E64" s="5">
        <v>4</v>
      </c>
      <c r="F64" s="5" t="s">
        <v>90</v>
      </c>
      <c r="G64" s="10">
        <f t="shared" ref="G64:I64" si="46">G61*S64</f>
        <v>480000</v>
      </c>
      <c r="H64" s="10">
        <f t="shared" si="46"/>
        <v>480000</v>
      </c>
      <c r="I64" s="10">
        <f t="shared" si="46"/>
        <v>910000000</v>
      </c>
      <c r="J64" s="10">
        <v>0</v>
      </c>
      <c r="K64" s="2">
        <v>0</v>
      </c>
      <c r="L64" s="2">
        <v>1800</v>
      </c>
      <c r="M64" s="2">
        <v>1800</v>
      </c>
      <c r="N64" s="2">
        <v>1800</v>
      </c>
      <c r="O64" s="2">
        <v>99</v>
      </c>
      <c r="P64" s="2">
        <v>0</v>
      </c>
      <c r="Q64" s="16" t="s">
        <v>85</v>
      </c>
      <c r="R64" s="16" t="s">
        <v>86</v>
      </c>
      <c r="S64" s="2">
        <v>1.2</v>
      </c>
      <c r="T64" s="2">
        <v>1.2</v>
      </c>
      <c r="U64" s="2">
        <v>1.3</v>
      </c>
    </row>
    <row r="65" s="2" customFormat="1" customHeight="1" spans="1:21">
      <c r="C65" s="5">
        <v>60</v>
      </c>
      <c r="D65" s="5">
        <v>12</v>
      </c>
      <c r="E65" s="5">
        <v>5</v>
      </c>
      <c r="F65" s="5" t="s">
        <v>93</v>
      </c>
      <c r="G65" s="10">
        <f t="shared" ref="G65:I65" si="47">G61*S65</f>
        <v>500000</v>
      </c>
      <c r="H65" s="10">
        <f t="shared" si="47"/>
        <v>500000</v>
      </c>
      <c r="I65" s="10">
        <f t="shared" si="47"/>
        <v>1050000000</v>
      </c>
      <c r="J65" s="10">
        <v>0</v>
      </c>
      <c r="K65" s="2">
        <v>0</v>
      </c>
      <c r="L65" s="2">
        <v>1800</v>
      </c>
      <c r="M65" s="2">
        <v>1800</v>
      </c>
      <c r="N65" s="2">
        <v>1800</v>
      </c>
      <c r="O65" s="2">
        <v>99</v>
      </c>
      <c r="P65" s="2">
        <v>0</v>
      </c>
      <c r="Q65" s="16" t="s">
        <v>94</v>
      </c>
      <c r="R65" s="16" t="s">
        <v>89</v>
      </c>
      <c r="S65" s="2">
        <v>1.25</v>
      </c>
      <c r="T65" s="2">
        <v>1.25</v>
      </c>
      <c r="U65" s="2">
        <v>1.5</v>
      </c>
    </row>
    <row r="66" s="3" customFormat="1" customHeight="1" spans="1:21">
      <c r="A66" s="2"/>
      <c r="B66" s="2"/>
      <c r="C66" s="5">
        <v>61</v>
      </c>
      <c r="D66" s="5">
        <v>13</v>
      </c>
      <c r="E66" s="11">
        <v>1</v>
      </c>
      <c r="F66" s="11" t="s">
        <v>95</v>
      </c>
      <c r="G66" s="17" t="s">
        <v>96</v>
      </c>
      <c r="H66" s="17" t="s">
        <v>96</v>
      </c>
      <c r="I66" s="17" t="s">
        <v>97</v>
      </c>
      <c r="J66" s="10">
        <v>0</v>
      </c>
      <c r="K66" s="3">
        <v>0</v>
      </c>
      <c r="L66" s="3">
        <v>1800</v>
      </c>
      <c r="M66" s="3">
        <v>1800</v>
      </c>
      <c r="N66" s="3">
        <v>1800</v>
      </c>
      <c r="O66" s="3">
        <v>99</v>
      </c>
      <c r="P66" s="3">
        <v>0</v>
      </c>
      <c r="Q66" s="16" t="s">
        <v>98</v>
      </c>
      <c r="R66" s="16" t="s">
        <v>60</v>
      </c>
      <c r="S66" s="3">
        <v>1</v>
      </c>
      <c r="T66" s="3">
        <v>1</v>
      </c>
      <c r="U66" s="3">
        <v>1</v>
      </c>
    </row>
    <row r="67" s="2" customFormat="1" customHeight="1" spans="1:21">
      <c r="C67" s="5">
        <v>62</v>
      </c>
      <c r="D67" s="5">
        <v>13</v>
      </c>
      <c r="E67" s="5">
        <v>2</v>
      </c>
      <c r="F67" s="5" t="s">
        <v>95</v>
      </c>
      <c r="G67" s="10">
        <f t="shared" ref="G67:I67" si="48">G66*S67</f>
        <v>550000</v>
      </c>
      <c r="H67" s="10">
        <f t="shared" si="48"/>
        <v>550000</v>
      </c>
      <c r="I67" s="10">
        <f t="shared" si="48"/>
        <v>825000000</v>
      </c>
      <c r="J67" s="10">
        <v>0</v>
      </c>
      <c r="K67" s="2">
        <v>0</v>
      </c>
      <c r="L67" s="2">
        <v>1800</v>
      </c>
      <c r="M67" s="2">
        <v>1800</v>
      </c>
      <c r="N67" s="2">
        <v>1800</v>
      </c>
      <c r="O67" s="2">
        <v>99</v>
      </c>
      <c r="P67" s="2">
        <v>0</v>
      </c>
      <c r="Q67" s="16" t="s">
        <v>99</v>
      </c>
      <c r="R67" s="16" t="s">
        <v>60</v>
      </c>
      <c r="S67" s="2">
        <v>1.1</v>
      </c>
      <c r="T67" s="2">
        <v>1.1</v>
      </c>
      <c r="U67" s="2">
        <v>1.1</v>
      </c>
    </row>
    <row r="68" s="2" customFormat="1" customHeight="1" spans="1:21">
      <c r="C68" s="5">
        <v>63</v>
      </c>
      <c r="D68" s="5">
        <v>13</v>
      </c>
      <c r="E68" s="5">
        <v>3</v>
      </c>
      <c r="F68" s="5" t="s">
        <v>95</v>
      </c>
      <c r="G68" s="10">
        <f t="shared" ref="G68:I68" si="49">G66*S68</f>
        <v>575000</v>
      </c>
      <c r="H68" s="10">
        <f t="shared" si="49"/>
        <v>575000</v>
      </c>
      <c r="I68" s="10">
        <f t="shared" si="49"/>
        <v>900000000</v>
      </c>
      <c r="J68" s="10">
        <v>0</v>
      </c>
      <c r="K68" s="2">
        <v>0</v>
      </c>
      <c r="L68" s="2">
        <v>1800</v>
      </c>
      <c r="M68" s="2">
        <v>1800</v>
      </c>
      <c r="N68" s="2">
        <v>1800</v>
      </c>
      <c r="O68" s="2">
        <v>99</v>
      </c>
      <c r="P68" s="2">
        <v>0</v>
      </c>
      <c r="Q68" s="16" t="s">
        <v>100</v>
      </c>
      <c r="R68" s="16" t="s">
        <v>101</v>
      </c>
      <c r="S68" s="2">
        <v>1.15</v>
      </c>
      <c r="T68" s="2">
        <v>1.15</v>
      </c>
      <c r="U68" s="2">
        <v>1.2</v>
      </c>
    </row>
    <row r="69" s="2" customFormat="1" customHeight="1" spans="1:21">
      <c r="C69" s="5">
        <v>64</v>
      </c>
      <c r="D69" s="5">
        <v>13</v>
      </c>
      <c r="E69" s="5">
        <v>4</v>
      </c>
      <c r="F69" s="5" t="s">
        <v>95</v>
      </c>
      <c r="G69" s="10">
        <f t="shared" ref="G69:I69" si="50">G66*S69</f>
        <v>600000</v>
      </c>
      <c r="H69" s="10">
        <f t="shared" si="50"/>
        <v>600000</v>
      </c>
      <c r="I69" s="10">
        <f t="shared" si="50"/>
        <v>975000000</v>
      </c>
      <c r="J69" s="10">
        <v>0</v>
      </c>
      <c r="K69" s="2">
        <v>0</v>
      </c>
      <c r="L69" s="2">
        <v>1800</v>
      </c>
      <c r="M69" s="2">
        <v>1800</v>
      </c>
      <c r="N69" s="2">
        <v>1800</v>
      </c>
      <c r="O69" s="2">
        <v>99</v>
      </c>
      <c r="P69" s="2">
        <v>0</v>
      </c>
      <c r="Q69" s="16" t="s">
        <v>102</v>
      </c>
      <c r="R69" s="16" t="s">
        <v>103</v>
      </c>
      <c r="S69" s="2">
        <v>1.2</v>
      </c>
      <c r="T69" s="2">
        <v>1.2</v>
      </c>
      <c r="U69" s="2">
        <v>1.3</v>
      </c>
    </row>
    <row r="70" s="2" customFormat="1" customHeight="1" spans="1:21">
      <c r="C70" s="5">
        <v>65</v>
      </c>
      <c r="D70" s="5">
        <v>13</v>
      </c>
      <c r="E70" s="5">
        <v>5</v>
      </c>
      <c r="F70" s="5" t="s">
        <v>104</v>
      </c>
      <c r="G70" s="10">
        <f t="shared" ref="G70:I70" si="51">G66*S70</f>
        <v>625000</v>
      </c>
      <c r="H70" s="10">
        <f t="shared" si="51"/>
        <v>625000</v>
      </c>
      <c r="I70" s="10">
        <f t="shared" si="51"/>
        <v>1125000000</v>
      </c>
      <c r="J70" s="10">
        <v>0</v>
      </c>
      <c r="K70" s="2">
        <v>0</v>
      </c>
      <c r="L70" s="2">
        <v>1800</v>
      </c>
      <c r="M70" s="2">
        <v>1800</v>
      </c>
      <c r="N70" s="2">
        <v>1800</v>
      </c>
      <c r="O70" s="2">
        <v>99</v>
      </c>
      <c r="P70" s="2">
        <v>0</v>
      </c>
      <c r="Q70" s="16" t="s">
        <v>105</v>
      </c>
      <c r="R70" s="16" t="s">
        <v>106</v>
      </c>
      <c r="S70" s="2">
        <v>1.25</v>
      </c>
      <c r="T70" s="2">
        <v>1.25</v>
      </c>
      <c r="U70" s="2">
        <v>1.5</v>
      </c>
    </row>
    <row r="71" s="3" customFormat="1" customHeight="1" spans="1:21">
      <c r="A71" s="2"/>
      <c r="B71" s="2"/>
      <c r="C71" s="5">
        <v>66</v>
      </c>
      <c r="D71" s="5">
        <v>14</v>
      </c>
      <c r="E71" s="11">
        <v>1</v>
      </c>
      <c r="F71" s="11" t="s">
        <v>107</v>
      </c>
      <c r="G71" s="17" t="s">
        <v>108</v>
      </c>
      <c r="H71" s="17" t="s">
        <v>108</v>
      </c>
      <c r="I71" s="17" t="s">
        <v>109</v>
      </c>
      <c r="J71" s="10">
        <v>0</v>
      </c>
      <c r="K71" s="3">
        <v>0</v>
      </c>
      <c r="L71" s="3">
        <v>1800</v>
      </c>
      <c r="M71" s="3">
        <v>1800</v>
      </c>
      <c r="N71" s="3">
        <v>1800</v>
      </c>
      <c r="O71" s="3">
        <v>99</v>
      </c>
      <c r="P71" s="3">
        <v>0</v>
      </c>
      <c r="Q71" s="16" t="s">
        <v>98</v>
      </c>
      <c r="R71" s="16" t="s">
        <v>60</v>
      </c>
      <c r="S71" s="3">
        <v>1</v>
      </c>
      <c r="T71" s="3">
        <v>1</v>
      </c>
      <c r="U71" s="3">
        <v>1</v>
      </c>
    </row>
    <row r="72" s="2" customFormat="1" customHeight="1" spans="1:21">
      <c r="C72" s="5">
        <v>67</v>
      </c>
      <c r="D72" s="5">
        <v>14</v>
      </c>
      <c r="E72" s="5">
        <v>2</v>
      </c>
      <c r="F72" s="5" t="s">
        <v>107</v>
      </c>
      <c r="G72" s="10">
        <f t="shared" ref="G72:I72" si="52">G71*S72</f>
        <v>660000</v>
      </c>
      <c r="H72" s="10">
        <f t="shared" si="52"/>
        <v>660000</v>
      </c>
      <c r="I72" s="10">
        <f t="shared" si="52"/>
        <v>990000000</v>
      </c>
      <c r="J72" s="10">
        <v>0</v>
      </c>
      <c r="K72" s="2">
        <v>0</v>
      </c>
      <c r="L72" s="2">
        <v>1800</v>
      </c>
      <c r="M72" s="2">
        <v>1800</v>
      </c>
      <c r="N72" s="2">
        <v>1800</v>
      </c>
      <c r="O72" s="2">
        <v>99</v>
      </c>
      <c r="P72" s="2">
        <v>0</v>
      </c>
      <c r="Q72" s="16" t="s">
        <v>99</v>
      </c>
      <c r="R72" s="16" t="s">
        <v>60</v>
      </c>
      <c r="S72" s="2">
        <v>1.1</v>
      </c>
      <c r="T72" s="2">
        <v>1.1</v>
      </c>
      <c r="U72" s="2">
        <v>1.1</v>
      </c>
    </row>
    <row r="73" s="2" customFormat="1" customHeight="1" spans="1:21">
      <c r="C73" s="5">
        <v>68</v>
      </c>
      <c r="D73" s="5">
        <v>14</v>
      </c>
      <c r="E73" s="5">
        <v>3</v>
      </c>
      <c r="F73" s="5" t="s">
        <v>107</v>
      </c>
      <c r="G73" s="10">
        <f t="shared" ref="G73:I73" si="53">G71*S73</f>
        <v>690000</v>
      </c>
      <c r="H73" s="10">
        <f t="shared" si="53"/>
        <v>690000</v>
      </c>
      <c r="I73" s="10">
        <f t="shared" si="53"/>
        <v>1080000000</v>
      </c>
      <c r="J73" s="10">
        <v>0</v>
      </c>
      <c r="K73" s="2">
        <v>0</v>
      </c>
      <c r="L73" s="2">
        <v>1800</v>
      </c>
      <c r="M73" s="2">
        <v>1800</v>
      </c>
      <c r="N73" s="2">
        <v>1800</v>
      </c>
      <c r="O73" s="2">
        <v>99</v>
      </c>
      <c r="P73" s="2">
        <v>0</v>
      </c>
      <c r="Q73" s="16" t="s">
        <v>100</v>
      </c>
      <c r="R73" s="16" t="s">
        <v>101</v>
      </c>
      <c r="S73" s="2">
        <v>1.15</v>
      </c>
      <c r="T73" s="2">
        <v>1.15</v>
      </c>
      <c r="U73" s="2">
        <v>1.2</v>
      </c>
    </row>
    <row r="74" s="2" customFormat="1" customHeight="1" spans="1:21">
      <c r="C74" s="5">
        <v>69</v>
      </c>
      <c r="D74" s="5">
        <v>14</v>
      </c>
      <c r="E74" s="5">
        <v>4</v>
      </c>
      <c r="F74" s="5" t="s">
        <v>107</v>
      </c>
      <c r="G74" s="10">
        <f t="shared" ref="G74:I74" si="54">G71*S74</f>
        <v>720000</v>
      </c>
      <c r="H74" s="10">
        <f t="shared" si="54"/>
        <v>720000</v>
      </c>
      <c r="I74" s="10">
        <f t="shared" si="54"/>
        <v>1170000000</v>
      </c>
      <c r="J74" s="10">
        <v>0</v>
      </c>
      <c r="K74" s="2">
        <v>0</v>
      </c>
      <c r="L74" s="2">
        <v>1800</v>
      </c>
      <c r="M74" s="2">
        <v>1800</v>
      </c>
      <c r="N74" s="2">
        <v>1800</v>
      </c>
      <c r="O74" s="2">
        <v>99</v>
      </c>
      <c r="P74" s="2">
        <v>0</v>
      </c>
      <c r="Q74" s="16" t="s">
        <v>102</v>
      </c>
      <c r="R74" s="16" t="s">
        <v>103</v>
      </c>
      <c r="S74" s="2">
        <v>1.2</v>
      </c>
      <c r="T74" s="2">
        <v>1.2</v>
      </c>
      <c r="U74" s="2">
        <v>1.3</v>
      </c>
    </row>
    <row r="75" s="2" customFormat="1" customHeight="1" spans="1:21">
      <c r="C75" s="5">
        <v>70</v>
      </c>
      <c r="D75" s="5">
        <v>14</v>
      </c>
      <c r="E75" s="5">
        <v>5</v>
      </c>
      <c r="F75" s="5" t="s">
        <v>110</v>
      </c>
      <c r="G75" s="10">
        <f t="shared" ref="G75:I75" si="55">G71*S75</f>
        <v>750000</v>
      </c>
      <c r="H75" s="10">
        <f t="shared" si="55"/>
        <v>750000</v>
      </c>
      <c r="I75" s="10">
        <f t="shared" si="55"/>
        <v>1350000000</v>
      </c>
      <c r="J75" s="10">
        <v>0</v>
      </c>
      <c r="K75" s="2">
        <v>0</v>
      </c>
      <c r="L75" s="2">
        <v>1800</v>
      </c>
      <c r="M75" s="2">
        <v>1800</v>
      </c>
      <c r="N75" s="2">
        <v>1800</v>
      </c>
      <c r="O75" s="2">
        <v>99</v>
      </c>
      <c r="P75" s="2">
        <v>0</v>
      </c>
      <c r="Q75" s="16" t="s">
        <v>105</v>
      </c>
      <c r="R75" s="16" t="s">
        <v>106</v>
      </c>
      <c r="S75" s="2">
        <v>1.25</v>
      </c>
      <c r="T75" s="2">
        <v>1.25</v>
      </c>
      <c r="U75" s="2">
        <v>1.5</v>
      </c>
    </row>
    <row r="76" s="3" customFormat="1" customHeight="1" spans="1:21">
      <c r="A76" s="2"/>
      <c r="B76" s="2"/>
      <c r="C76" s="5">
        <v>71</v>
      </c>
      <c r="D76" s="5">
        <v>15</v>
      </c>
      <c r="E76" s="11">
        <v>1</v>
      </c>
      <c r="F76" s="11" t="s">
        <v>111</v>
      </c>
      <c r="G76" s="17" t="s">
        <v>112</v>
      </c>
      <c r="H76" s="17" t="s">
        <v>112</v>
      </c>
      <c r="I76" s="17" t="s">
        <v>113</v>
      </c>
      <c r="J76" s="10">
        <v>0</v>
      </c>
      <c r="K76" s="3">
        <v>0</v>
      </c>
      <c r="L76" s="3">
        <v>1800</v>
      </c>
      <c r="M76" s="3">
        <v>1800</v>
      </c>
      <c r="N76" s="3">
        <v>1800</v>
      </c>
      <c r="O76" s="3">
        <v>99</v>
      </c>
      <c r="P76" s="3">
        <v>0</v>
      </c>
      <c r="Q76" s="16" t="s">
        <v>98</v>
      </c>
      <c r="R76" s="16" t="s">
        <v>114</v>
      </c>
      <c r="S76" s="3">
        <v>1</v>
      </c>
      <c r="T76" s="3">
        <v>1</v>
      </c>
      <c r="U76" s="3">
        <v>1</v>
      </c>
    </row>
    <row r="77" s="2" customFormat="1" customHeight="1" spans="1:21">
      <c r="C77" s="5">
        <v>72</v>
      </c>
      <c r="D77" s="5">
        <v>15</v>
      </c>
      <c r="E77" s="5">
        <v>2</v>
      </c>
      <c r="F77" s="5" t="s">
        <v>111</v>
      </c>
      <c r="G77" s="10">
        <f t="shared" ref="G77:I77" si="56">G76*S77</f>
        <v>880000</v>
      </c>
      <c r="H77" s="10">
        <f t="shared" si="56"/>
        <v>880000</v>
      </c>
      <c r="I77" s="10">
        <f t="shared" si="56"/>
        <v>1320000000</v>
      </c>
      <c r="J77" s="10">
        <v>0</v>
      </c>
      <c r="K77" s="2">
        <v>0</v>
      </c>
      <c r="L77" s="2">
        <v>1800</v>
      </c>
      <c r="M77" s="2">
        <v>1800</v>
      </c>
      <c r="N77" s="2">
        <v>1800</v>
      </c>
      <c r="O77" s="2">
        <v>99</v>
      </c>
      <c r="P77" s="2">
        <v>0</v>
      </c>
      <c r="Q77" s="16" t="s">
        <v>99</v>
      </c>
      <c r="R77" s="16" t="s">
        <v>114</v>
      </c>
      <c r="S77" s="2">
        <v>1.1</v>
      </c>
      <c r="T77" s="2">
        <v>1.1</v>
      </c>
      <c r="U77" s="2">
        <v>1.1</v>
      </c>
    </row>
    <row r="78" s="2" customFormat="1" customHeight="1" spans="1:21">
      <c r="C78" s="5">
        <v>73</v>
      </c>
      <c r="D78" s="5">
        <v>15</v>
      </c>
      <c r="E78" s="5">
        <v>3</v>
      </c>
      <c r="F78" s="5" t="s">
        <v>111</v>
      </c>
      <c r="G78" s="10">
        <f t="shared" ref="G78:I78" si="57">G76*S78</f>
        <v>920000</v>
      </c>
      <c r="H78" s="10">
        <f t="shared" si="57"/>
        <v>920000</v>
      </c>
      <c r="I78" s="10">
        <f t="shared" si="57"/>
        <v>1440000000</v>
      </c>
      <c r="J78" s="10">
        <v>0</v>
      </c>
      <c r="K78" s="2">
        <v>0</v>
      </c>
      <c r="L78" s="2">
        <v>1800</v>
      </c>
      <c r="M78" s="2">
        <v>1800</v>
      </c>
      <c r="N78" s="2">
        <v>1800</v>
      </c>
      <c r="O78" s="2">
        <v>99</v>
      </c>
      <c r="P78" s="2">
        <v>0</v>
      </c>
      <c r="Q78" s="16" t="s">
        <v>115</v>
      </c>
      <c r="R78" s="16" t="s">
        <v>116</v>
      </c>
      <c r="S78" s="2">
        <v>1.15</v>
      </c>
      <c r="T78" s="2">
        <v>1.15</v>
      </c>
      <c r="U78" s="2">
        <v>1.2</v>
      </c>
    </row>
    <row r="79" s="2" customFormat="1" customHeight="1" spans="1:21">
      <c r="C79" s="5">
        <v>74</v>
      </c>
      <c r="D79" s="5">
        <v>15</v>
      </c>
      <c r="E79" s="5">
        <v>4</v>
      </c>
      <c r="F79" s="5" t="s">
        <v>111</v>
      </c>
      <c r="G79" s="10">
        <f t="shared" ref="G79:I79" si="58">G76*S79</f>
        <v>960000</v>
      </c>
      <c r="H79" s="10">
        <f t="shared" si="58"/>
        <v>960000</v>
      </c>
      <c r="I79" s="10">
        <f t="shared" si="58"/>
        <v>1560000000</v>
      </c>
      <c r="J79" s="10">
        <v>0</v>
      </c>
      <c r="K79" s="2">
        <v>0</v>
      </c>
      <c r="L79" s="2">
        <v>1800</v>
      </c>
      <c r="M79" s="2">
        <v>1800</v>
      </c>
      <c r="N79" s="2">
        <v>1800</v>
      </c>
      <c r="O79" s="2">
        <v>99</v>
      </c>
      <c r="P79" s="2">
        <v>0</v>
      </c>
      <c r="Q79" s="16" t="s">
        <v>117</v>
      </c>
      <c r="R79" s="16" t="s">
        <v>118</v>
      </c>
      <c r="S79" s="2">
        <v>1.2</v>
      </c>
      <c r="T79" s="2">
        <v>1.2</v>
      </c>
      <c r="U79" s="2">
        <v>1.3</v>
      </c>
    </row>
    <row r="80" s="2" customFormat="1" customHeight="1" spans="1:21">
      <c r="C80" s="5">
        <v>75</v>
      </c>
      <c r="D80" s="5">
        <v>15</v>
      </c>
      <c r="E80" s="5">
        <v>5</v>
      </c>
      <c r="F80" s="5" t="s">
        <v>119</v>
      </c>
      <c r="G80" s="10">
        <f t="shared" ref="G80:I80" si="59">G76*S80</f>
        <v>1000000</v>
      </c>
      <c r="H80" s="10">
        <f t="shared" si="59"/>
        <v>1000000</v>
      </c>
      <c r="I80" s="10">
        <f t="shared" si="59"/>
        <v>1800000000</v>
      </c>
      <c r="J80" s="10">
        <v>0</v>
      </c>
      <c r="K80" s="2">
        <v>0</v>
      </c>
      <c r="L80" s="2">
        <v>1800</v>
      </c>
      <c r="M80" s="2">
        <v>1800</v>
      </c>
      <c r="N80" s="2">
        <v>1800</v>
      </c>
      <c r="O80" s="2">
        <v>99</v>
      </c>
      <c r="P80" s="2">
        <v>0</v>
      </c>
      <c r="Q80" s="16" t="s">
        <v>120</v>
      </c>
      <c r="R80" s="16" t="s">
        <v>121</v>
      </c>
      <c r="S80" s="2">
        <v>1.25</v>
      </c>
      <c r="T80" s="2">
        <v>1.25</v>
      </c>
      <c r="U80" s="2">
        <v>1.5</v>
      </c>
    </row>
    <row r="81" s="3" customFormat="1" customHeight="1" spans="1:21">
      <c r="A81" s="2"/>
      <c r="B81" s="2"/>
      <c r="C81" s="5">
        <v>76</v>
      </c>
      <c r="D81" s="5">
        <v>16</v>
      </c>
      <c r="E81" s="11">
        <v>1</v>
      </c>
      <c r="F81" s="11" t="s">
        <v>122</v>
      </c>
      <c r="G81" s="17" t="s">
        <v>123</v>
      </c>
      <c r="H81" s="17" t="s">
        <v>123</v>
      </c>
      <c r="I81" s="17" t="s">
        <v>124</v>
      </c>
      <c r="J81" s="10">
        <v>0</v>
      </c>
      <c r="K81" s="3">
        <v>0</v>
      </c>
      <c r="L81" s="3">
        <v>1800</v>
      </c>
      <c r="M81" s="3">
        <v>1800</v>
      </c>
      <c r="N81" s="3">
        <v>1800</v>
      </c>
      <c r="O81" s="3">
        <v>99</v>
      </c>
      <c r="P81" s="3">
        <v>0</v>
      </c>
      <c r="Q81" s="16" t="s">
        <v>98</v>
      </c>
      <c r="R81" s="16" t="s">
        <v>114</v>
      </c>
      <c r="S81" s="3">
        <v>1</v>
      </c>
      <c r="T81" s="3">
        <v>1</v>
      </c>
      <c r="U81" s="3">
        <v>1</v>
      </c>
    </row>
    <row r="82" s="2" customFormat="1" customHeight="1" spans="1:21">
      <c r="C82" s="5">
        <v>77</v>
      </c>
      <c r="D82" s="5">
        <v>16</v>
      </c>
      <c r="E82" s="5">
        <v>2</v>
      </c>
      <c r="F82" s="5" t="s">
        <v>122</v>
      </c>
      <c r="G82" s="10">
        <f t="shared" ref="G82:I82" si="60">G81*S82</f>
        <v>1100000</v>
      </c>
      <c r="H82" s="10">
        <f t="shared" si="60"/>
        <v>1100000</v>
      </c>
      <c r="I82" s="10">
        <f t="shared" si="60"/>
        <v>1650000000</v>
      </c>
      <c r="J82" s="10">
        <v>0</v>
      </c>
      <c r="K82" s="2">
        <v>0</v>
      </c>
      <c r="L82" s="2">
        <v>1800</v>
      </c>
      <c r="M82" s="2">
        <v>1800</v>
      </c>
      <c r="N82" s="2">
        <v>1800</v>
      </c>
      <c r="O82" s="2">
        <v>99</v>
      </c>
      <c r="P82" s="2">
        <v>0</v>
      </c>
      <c r="Q82" s="16" t="s">
        <v>99</v>
      </c>
      <c r="R82" s="16" t="s">
        <v>114</v>
      </c>
      <c r="S82" s="2">
        <v>1.1</v>
      </c>
      <c r="T82" s="2">
        <v>1.1</v>
      </c>
      <c r="U82" s="2">
        <v>1.1</v>
      </c>
    </row>
    <row r="83" s="2" customFormat="1" customHeight="1" spans="1:21">
      <c r="C83" s="5">
        <v>78</v>
      </c>
      <c r="D83" s="5">
        <v>16</v>
      </c>
      <c r="E83" s="5">
        <v>3</v>
      </c>
      <c r="F83" s="5" t="s">
        <v>122</v>
      </c>
      <c r="G83" s="10">
        <f t="shared" ref="G83:I83" si="61">G81*S83</f>
        <v>1150000</v>
      </c>
      <c r="H83" s="10">
        <f t="shared" si="61"/>
        <v>1150000</v>
      </c>
      <c r="I83" s="10">
        <f t="shared" si="61"/>
        <v>1800000000</v>
      </c>
      <c r="J83" s="10">
        <v>0</v>
      </c>
      <c r="K83" s="2">
        <v>0</v>
      </c>
      <c r="L83" s="2">
        <v>1800</v>
      </c>
      <c r="M83" s="2">
        <v>1800</v>
      </c>
      <c r="N83" s="2">
        <v>1800</v>
      </c>
      <c r="O83" s="2">
        <v>99</v>
      </c>
      <c r="P83" s="2">
        <v>0</v>
      </c>
      <c r="Q83" s="16" t="s">
        <v>115</v>
      </c>
      <c r="R83" s="16" t="s">
        <v>116</v>
      </c>
      <c r="S83" s="2">
        <v>1.15</v>
      </c>
      <c r="T83" s="2">
        <v>1.15</v>
      </c>
      <c r="U83" s="2">
        <v>1.2</v>
      </c>
    </row>
    <row r="84" s="2" customFormat="1" customHeight="1" spans="1:21">
      <c r="C84" s="5">
        <v>79</v>
      </c>
      <c r="D84" s="5">
        <v>16</v>
      </c>
      <c r="E84" s="5">
        <v>4</v>
      </c>
      <c r="F84" s="5" t="s">
        <v>122</v>
      </c>
      <c r="G84" s="10">
        <f t="shared" ref="G84:I84" si="62">G81*S84</f>
        <v>1200000</v>
      </c>
      <c r="H84" s="10">
        <f t="shared" si="62"/>
        <v>1200000</v>
      </c>
      <c r="I84" s="10">
        <f t="shared" si="62"/>
        <v>1950000000</v>
      </c>
      <c r="J84" s="10">
        <v>0</v>
      </c>
      <c r="K84" s="2">
        <v>0</v>
      </c>
      <c r="L84" s="2">
        <v>1800</v>
      </c>
      <c r="M84" s="2">
        <v>1800</v>
      </c>
      <c r="N84" s="2">
        <v>1800</v>
      </c>
      <c r="O84" s="2">
        <v>99</v>
      </c>
      <c r="P84" s="2">
        <v>0</v>
      </c>
      <c r="Q84" s="16" t="s">
        <v>117</v>
      </c>
      <c r="R84" s="16" t="s">
        <v>118</v>
      </c>
      <c r="S84" s="2">
        <v>1.2</v>
      </c>
      <c r="T84" s="2">
        <v>1.2</v>
      </c>
      <c r="U84" s="2">
        <v>1.3</v>
      </c>
    </row>
    <row r="85" s="2" customFormat="1" customHeight="1" spans="1:21">
      <c r="C85" s="5">
        <v>80</v>
      </c>
      <c r="D85" s="5">
        <v>16</v>
      </c>
      <c r="E85" s="5">
        <v>5</v>
      </c>
      <c r="F85" s="5" t="s">
        <v>125</v>
      </c>
      <c r="G85" s="10">
        <f t="shared" ref="G85:I85" si="63">G81*S85</f>
        <v>1250000</v>
      </c>
      <c r="H85" s="10">
        <f t="shared" si="63"/>
        <v>1250000</v>
      </c>
      <c r="I85" s="10">
        <f t="shared" si="63"/>
        <v>2250000000</v>
      </c>
      <c r="J85" s="10">
        <v>0</v>
      </c>
      <c r="K85" s="2">
        <v>0</v>
      </c>
      <c r="L85" s="2">
        <v>1800</v>
      </c>
      <c r="M85" s="2">
        <v>1800</v>
      </c>
      <c r="N85" s="2">
        <v>1800</v>
      </c>
      <c r="O85" s="2">
        <v>99</v>
      </c>
      <c r="P85" s="2">
        <v>0</v>
      </c>
      <c r="Q85" s="16" t="s">
        <v>120</v>
      </c>
      <c r="R85" s="16" t="s">
        <v>121</v>
      </c>
      <c r="S85" s="2">
        <v>1.25</v>
      </c>
      <c r="T85" s="2">
        <v>1.25</v>
      </c>
      <c r="U85" s="2">
        <v>1.5</v>
      </c>
    </row>
    <row r="87" s="3" customFormat="1" customHeight="1" spans="1:21">
      <c r="A87" s="2"/>
      <c r="B87" s="2"/>
      <c r="C87" s="5">
        <v>81</v>
      </c>
      <c r="D87" s="5">
        <v>17</v>
      </c>
      <c r="E87" s="11">
        <v>1</v>
      </c>
      <c r="F87" s="11" t="s">
        <v>126</v>
      </c>
      <c r="G87" s="17" t="s">
        <v>127</v>
      </c>
      <c r="H87" s="17" t="s">
        <v>127</v>
      </c>
      <c r="I87" s="17" t="s">
        <v>128</v>
      </c>
      <c r="J87" s="10">
        <v>50</v>
      </c>
      <c r="K87" s="3">
        <v>0</v>
      </c>
      <c r="L87" s="3">
        <v>1800</v>
      </c>
      <c r="M87" s="3">
        <v>1800</v>
      </c>
      <c r="N87" s="3">
        <v>1800</v>
      </c>
      <c r="O87" s="3">
        <v>99</v>
      </c>
      <c r="P87" s="3">
        <v>0</v>
      </c>
      <c r="Q87" s="16" t="s">
        <v>98</v>
      </c>
      <c r="R87" s="16" t="s">
        <v>114</v>
      </c>
      <c r="S87" s="3">
        <v>1</v>
      </c>
      <c r="T87" s="3">
        <v>1</v>
      </c>
      <c r="U87" s="3">
        <v>1</v>
      </c>
    </row>
    <row r="88" s="2" customFormat="1" customHeight="1" spans="1:21">
      <c r="C88" s="5">
        <v>82</v>
      </c>
      <c r="D88" s="5">
        <v>17</v>
      </c>
      <c r="E88" s="5">
        <v>2</v>
      </c>
      <c r="F88" s="5" t="s">
        <v>126</v>
      </c>
      <c r="G88" s="10">
        <f t="shared" ref="G88:I88" si="64">G87*S88</f>
        <v>1430000</v>
      </c>
      <c r="H88" s="10">
        <f t="shared" si="64"/>
        <v>1430000</v>
      </c>
      <c r="I88" s="10">
        <f t="shared" si="64"/>
        <v>2145000000</v>
      </c>
      <c r="J88" s="10">
        <v>50</v>
      </c>
      <c r="K88" s="2">
        <v>0</v>
      </c>
      <c r="L88" s="2">
        <v>1800</v>
      </c>
      <c r="M88" s="2">
        <v>1800</v>
      </c>
      <c r="N88" s="2">
        <v>1800</v>
      </c>
      <c r="O88" s="2">
        <v>99</v>
      </c>
      <c r="P88" s="2">
        <v>0</v>
      </c>
      <c r="Q88" s="16" t="s">
        <v>99</v>
      </c>
      <c r="R88" s="16" t="s">
        <v>114</v>
      </c>
      <c r="S88" s="2">
        <v>1.1</v>
      </c>
      <c r="T88" s="2">
        <v>1.1</v>
      </c>
      <c r="U88" s="2">
        <v>1.1</v>
      </c>
    </row>
    <row r="89" s="2" customFormat="1" customHeight="1" spans="1:21">
      <c r="C89" s="5">
        <v>83</v>
      </c>
      <c r="D89" s="5">
        <v>17</v>
      </c>
      <c r="E89" s="5">
        <v>3</v>
      </c>
      <c r="F89" s="5" t="s">
        <v>126</v>
      </c>
      <c r="G89" s="10">
        <f t="shared" ref="G89:I89" si="65">G87*S89</f>
        <v>1495000</v>
      </c>
      <c r="H89" s="10">
        <f t="shared" si="65"/>
        <v>1495000</v>
      </c>
      <c r="I89" s="10">
        <f t="shared" si="65"/>
        <v>2340000000</v>
      </c>
      <c r="J89" s="10">
        <v>50</v>
      </c>
      <c r="K89" s="2">
        <v>0</v>
      </c>
      <c r="L89" s="2">
        <v>1800</v>
      </c>
      <c r="M89" s="2">
        <v>1800</v>
      </c>
      <c r="N89" s="2">
        <v>1800</v>
      </c>
      <c r="O89" s="2">
        <v>99</v>
      </c>
      <c r="P89" s="2">
        <v>0</v>
      </c>
      <c r="Q89" s="16" t="s">
        <v>129</v>
      </c>
      <c r="R89" s="16" t="s">
        <v>130</v>
      </c>
      <c r="S89" s="2">
        <v>1.15</v>
      </c>
      <c r="T89" s="2">
        <v>1.15</v>
      </c>
      <c r="U89" s="2">
        <v>1.2</v>
      </c>
    </row>
    <row r="90" s="2" customFormat="1" customHeight="1" spans="1:21">
      <c r="C90" s="5">
        <v>84</v>
      </c>
      <c r="D90" s="5">
        <v>17</v>
      </c>
      <c r="E90" s="5">
        <v>4</v>
      </c>
      <c r="F90" s="5" t="s">
        <v>131</v>
      </c>
      <c r="G90" s="10">
        <f t="shared" ref="G90:I90" si="66">G87*S90</f>
        <v>1560000</v>
      </c>
      <c r="H90" s="10">
        <f t="shared" si="66"/>
        <v>1560000</v>
      </c>
      <c r="I90" s="10">
        <f t="shared" si="66"/>
        <v>2535000000</v>
      </c>
      <c r="J90" s="10">
        <v>50</v>
      </c>
      <c r="K90" s="2">
        <v>0</v>
      </c>
      <c r="L90" s="2">
        <v>1800</v>
      </c>
      <c r="M90" s="2">
        <v>1800</v>
      </c>
      <c r="N90" s="2">
        <v>1800</v>
      </c>
      <c r="O90" s="2">
        <v>99</v>
      </c>
      <c r="P90" s="2">
        <v>0</v>
      </c>
      <c r="Q90" s="16" t="s">
        <v>132</v>
      </c>
      <c r="R90" s="16" t="s">
        <v>133</v>
      </c>
      <c r="S90" s="2">
        <v>1.2</v>
      </c>
      <c r="T90" s="2">
        <v>1.2</v>
      </c>
      <c r="U90" s="2">
        <v>1.3</v>
      </c>
    </row>
    <row r="91" s="2" customFormat="1" customHeight="1" spans="1:21">
      <c r="C91" s="5">
        <v>85</v>
      </c>
      <c r="D91" s="5">
        <v>17</v>
      </c>
      <c r="E91" s="5">
        <v>5</v>
      </c>
      <c r="F91" s="5" t="s">
        <v>134</v>
      </c>
      <c r="G91" s="10">
        <f t="shared" ref="G91:I91" si="67">G87*S91</f>
        <v>1625000</v>
      </c>
      <c r="H91" s="10">
        <f t="shared" si="67"/>
        <v>1625000</v>
      </c>
      <c r="I91" s="10">
        <f t="shared" si="67"/>
        <v>2925000000</v>
      </c>
      <c r="J91" s="10">
        <v>50</v>
      </c>
      <c r="K91" s="2">
        <v>0</v>
      </c>
      <c r="L91" s="2">
        <v>1800</v>
      </c>
      <c r="M91" s="2">
        <v>1800</v>
      </c>
      <c r="N91" s="2">
        <v>1800</v>
      </c>
      <c r="O91" s="2">
        <v>99</v>
      </c>
      <c r="P91" s="2">
        <v>0</v>
      </c>
      <c r="Q91" s="16" t="s">
        <v>135</v>
      </c>
      <c r="R91" s="16" t="s">
        <v>136</v>
      </c>
      <c r="S91" s="2">
        <v>1.25</v>
      </c>
      <c r="T91" s="2">
        <v>1.25</v>
      </c>
      <c r="U91" s="2">
        <v>1.5</v>
      </c>
    </row>
    <row r="93" s="3" customFormat="1" customHeight="1" spans="1:21">
      <c r="A93" s="2"/>
      <c r="B93" s="2"/>
      <c r="C93" s="5">
        <v>86</v>
      </c>
      <c r="D93" s="5">
        <v>18</v>
      </c>
      <c r="E93" s="11">
        <v>1</v>
      </c>
      <c r="F93" s="11" t="s">
        <v>137</v>
      </c>
      <c r="G93" s="17" t="s">
        <v>138</v>
      </c>
      <c r="H93" s="17" t="s">
        <v>138</v>
      </c>
      <c r="I93" s="17" t="s">
        <v>139</v>
      </c>
      <c r="J93" s="10">
        <v>75</v>
      </c>
      <c r="K93" s="3">
        <v>0</v>
      </c>
      <c r="L93" s="3">
        <v>1800</v>
      </c>
      <c r="M93" s="3">
        <v>1800</v>
      </c>
      <c r="N93" s="3">
        <v>1800</v>
      </c>
      <c r="O93" s="3">
        <v>99</v>
      </c>
      <c r="P93" s="3">
        <v>0</v>
      </c>
      <c r="Q93" s="16" t="s">
        <v>98</v>
      </c>
      <c r="R93" s="16" t="s">
        <v>114</v>
      </c>
      <c r="S93" s="3">
        <v>1</v>
      </c>
      <c r="T93" s="3">
        <v>1</v>
      </c>
      <c r="U93" s="3">
        <v>1</v>
      </c>
    </row>
    <row r="94" s="2" customFormat="1" customHeight="1" spans="1:21">
      <c r="C94" s="5">
        <v>87</v>
      </c>
      <c r="D94" s="5">
        <v>18</v>
      </c>
      <c r="E94" s="5">
        <v>2</v>
      </c>
      <c r="F94" s="5" t="s">
        <v>137</v>
      </c>
      <c r="G94" s="10">
        <f t="shared" ref="G94:I94" si="68">G93*S94</f>
        <v>1760000</v>
      </c>
      <c r="H94" s="10">
        <f t="shared" si="68"/>
        <v>1760000</v>
      </c>
      <c r="I94" s="10">
        <f t="shared" si="68"/>
        <v>2640000000</v>
      </c>
      <c r="J94" s="10">
        <v>75</v>
      </c>
      <c r="K94" s="2">
        <v>0</v>
      </c>
      <c r="L94" s="2">
        <v>1800</v>
      </c>
      <c r="M94" s="2">
        <v>1800</v>
      </c>
      <c r="N94" s="2">
        <v>1800</v>
      </c>
      <c r="O94" s="2">
        <v>99</v>
      </c>
      <c r="P94" s="2">
        <v>0</v>
      </c>
      <c r="Q94" s="16" t="s">
        <v>99</v>
      </c>
      <c r="R94" s="16" t="s">
        <v>114</v>
      </c>
      <c r="S94" s="2">
        <v>1.1</v>
      </c>
      <c r="T94" s="2">
        <v>1.1</v>
      </c>
      <c r="U94" s="2">
        <v>1.1</v>
      </c>
    </row>
    <row r="95" s="2" customFormat="1" customHeight="1" spans="1:21">
      <c r="C95" s="5">
        <v>88</v>
      </c>
      <c r="D95" s="5">
        <v>18</v>
      </c>
      <c r="E95" s="5">
        <v>3</v>
      </c>
      <c r="F95" s="5" t="s">
        <v>137</v>
      </c>
      <c r="G95" s="10">
        <f t="shared" ref="G95:I95" si="69">G93*S95</f>
        <v>1840000</v>
      </c>
      <c r="H95" s="10">
        <f t="shared" si="69"/>
        <v>1840000</v>
      </c>
      <c r="I95" s="10">
        <f t="shared" si="69"/>
        <v>2880000000</v>
      </c>
      <c r="J95" s="10">
        <v>75</v>
      </c>
      <c r="K95" s="2">
        <v>0</v>
      </c>
      <c r="L95" s="2">
        <v>1800</v>
      </c>
      <c r="M95" s="2">
        <v>1800</v>
      </c>
      <c r="N95" s="2">
        <v>1800</v>
      </c>
      <c r="O95" s="2">
        <v>99</v>
      </c>
      <c r="P95" s="2">
        <v>0</v>
      </c>
      <c r="Q95" s="16" t="s">
        <v>140</v>
      </c>
      <c r="R95" s="16" t="s">
        <v>130</v>
      </c>
      <c r="S95" s="2">
        <v>1.15</v>
      </c>
      <c r="T95" s="2">
        <v>1.15</v>
      </c>
      <c r="U95" s="2">
        <v>1.2</v>
      </c>
    </row>
    <row r="96" s="2" customFormat="1" customHeight="1" spans="1:21">
      <c r="C96" s="5">
        <v>89</v>
      </c>
      <c r="D96" s="5">
        <v>18</v>
      </c>
      <c r="E96" s="5">
        <v>4</v>
      </c>
      <c r="F96" s="5" t="s">
        <v>141</v>
      </c>
      <c r="G96" s="10">
        <f t="shared" ref="G96:I96" si="70">G93*S96</f>
        <v>1920000</v>
      </c>
      <c r="H96" s="10">
        <f t="shared" si="70"/>
        <v>1920000</v>
      </c>
      <c r="I96" s="10">
        <f t="shared" si="70"/>
        <v>3120000000</v>
      </c>
      <c r="J96" s="10">
        <v>75</v>
      </c>
      <c r="K96" s="2">
        <v>0</v>
      </c>
      <c r="L96" s="2">
        <v>1800</v>
      </c>
      <c r="M96" s="2">
        <v>1800</v>
      </c>
      <c r="N96" s="2">
        <v>1800</v>
      </c>
      <c r="O96" s="2">
        <v>99</v>
      </c>
      <c r="P96" s="2">
        <v>0</v>
      </c>
      <c r="Q96" s="16" t="s">
        <v>142</v>
      </c>
      <c r="R96" s="16" t="s">
        <v>133</v>
      </c>
      <c r="S96" s="2">
        <v>1.2</v>
      </c>
      <c r="T96" s="2">
        <v>1.2</v>
      </c>
      <c r="U96" s="2">
        <v>1.3</v>
      </c>
    </row>
    <row r="97" s="2" customFormat="1" customHeight="1" spans="1:21">
      <c r="C97" s="5">
        <v>90</v>
      </c>
      <c r="D97" s="5">
        <v>18</v>
      </c>
      <c r="E97" s="5">
        <v>5</v>
      </c>
      <c r="F97" s="5" t="s">
        <v>143</v>
      </c>
      <c r="G97" s="10">
        <f t="shared" ref="G97:I97" si="71">G93*S97</f>
        <v>2000000</v>
      </c>
      <c r="H97" s="10">
        <f t="shared" si="71"/>
        <v>2000000</v>
      </c>
      <c r="I97" s="10">
        <f t="shared" si="71"/>
        <v>3600000000</v>
      </c>
      <c r="J97" s="10">
        <v>75</v>
      </c>
      <c r="K97" s="2">
        <v>0</v>
      </c>
      <c r="L97" s="2">
        <v>1800</v>
      </c>
      <c r="M97" s="2">
        <v>1800</v>
      </c>
      <c r="N97" s="2">
        <v>1800</v>
      </c>
      <c r="O97" s="2">
        <v>99</v>
      </c>
      <c r="P97" s="2">
        <v>0</v>
      </c>
      <c r="Q97" s="16" t="s">
        <v>144</v>
      </c>
      <c r="R97" s="16" t="s">
        <v>136</v>
      </c>
      <c r="S97" s="2">
        <v>1.25</v>
      </c>
      <c r="T97" s="2">
        <v>1.25</v>
      </c>
      <c r="U97" s="2">
        <v>1.5</v>
      </c>
    </row>
    <row r="99" s="3" customFormat="1" customHeight="1" spans="1:21">
      <c r="A99" s="2"/>
      <c r="B99" s="2"/>
      <c r="C99" s="5">
        <v>91</v>
      </c>
      <c r="D99" s="5">
        <v>19</v>
      </c>
      <c r="E99" s="11">
        <v>1</v>
      </c>
      <c r="F99" s="11" t="s">
        <v>145</v>
      </c>
      <c r="G99" s="17" t="s">
        <v>146</v>
      </c>
      <c r="H99" s="17" t="s">
        <v>146</v>
      </c>
      <c r="I99" s="17" t="s">
        <v>147</v>
      </c>
      <c r="J99" s="10">
        <v>100</v>
      </c>
      <c r="K99" s="3">
        <v>0</v>
      </c>
      <c r="L99" s="3">
        <v>1800</v>
      </c>
      <c r="M99" s="3">
        <v>1800</v>
      </c>
      <c r="N99" s="3">
        <v>1800</v>
      </c>
      <c r="O99" s="3">
        <v>99</v>
      </c>
      <c r="P99" s="3">
        <v>0</v>
      </c>
      <c r="Q99" s="16" t="s">
        <v>98</v>
      </c>
      <c r="R99" s="16" t="s">
        <v>114</v>
      </c>
      <c r="S99" s="3">
        <v>1</v>
      </c>
      <c r="T99" s="3">
        <v>1</v>
      </c>
      <c r="U99" s="3">
        <v>1</v>
      </c>
    </row>
    <row r="100" s="2" customFormat="1" customHeight="1" spans="1:21">
      <c r="C100" s="5">
        <v>92</v>
      </c>
      <c r="D100" s="5">
        <v>19</v>
      </c>
      <c r="E100" s="5">
        <v>2</v>
      </c>
      <c r="F100" s="5" t="s">
        <v>145</v>
      </c>
      <c r="G100" s="10">
        <f t="shared" ref="G100:I100" si="72">G99*S100</f>
        <v>2200000</v>
      </c>
      <c r="H100" s="10">
        <f t="shared" si="72"/>
        <v>2200000</v>
      </c>
      <c r="I100" s="10">
        <f t="shared" si="72"/>
        <v>3300000000</v>
      </c>
      <c r="J100" s="10">
        <v>100</v>
      </c>
      <c r="K100" s="2">
        <v>0</v>
      </c>
      <c r="L100" s="2">
        <v>1800</v>
      </c>
      <c r="M100" s="2">
        <v>1800</v>
      </c>
      <c r="N100" s="2">
        <v>1800</v>
      </c>
      <c r="O100" s="2">
        <v>99</v>
      </c>
      <c r="P100" s="2">
        <v>0</v>
      </c>
      <c r="Q100" s="16" t="s">
        <v>99</v>
      </c>
      <c r="R100" s="16" t="s">
        <v>114</v>
      </c>
      <c r="S100" s="2">
        <v>1.1</v>
      </c>
      <c r="T100" s="2">
        <v>1.1</v>
      </c>
      <c r="U100" s="2">
        <v>1.1</v>
      </c>
    </row>
    <row r="101" s="2" customFormat="1" customHeight="1" spans="1:21">
      <c r="C101" s="5">
        <v>93</v>
      </c>
      <c r="D101" s="5">
        <v>19</v>
      </c>
      <c r="E101" s="5">
        <v>3</v>
      </c>
      <c r="F101" s="5" t="s">
        <v>145</v>
      </c>
      <c r="G101" s="10">
        <f t="shared" ref="G101:I101" si="73">G99*S101</f>
        <v>2300000</v>
      </c>
      <c r="H101" s="10">
        <f t="shared" si="73"/>
        <v>2300000</v>
      </c>
      <c r="I101" s="10">
        <f t="shared" si="73"/>
        <v>3600000000</v>
      </c>
      <c r="J101" s="10">
        <v>100</v>
      </c>
      <c r="K101" s="2">
        <v>0</v>
      </c>
      <c r="L101" s="2">
        <v>1800</v>
      </c>
      <c r="M101" s="2">
        <v>1800</v>
      </c>
      <c r="N101" s="2">
        <v>1800</v>
      </c>
      <c r="O101" s="2">
        <v>99</v>
      </c>
      <c r="P101" s="2">
        <v>0</v>
      </c>
      <c r="Q101" s="16" t="s">
        <v>148</v>
      </c>
      <c r="R101" s="16" t="s">
        <v>130</v>
      </c>
      <c r="S101" s="2">
        <v>1.15</v>
      </c>
      <c r="T101" s="2">
        <v>1.15</v>
      </c>
      <c r="U101" s="2">
        <v>1.2</v>
      </c>
    </row>
    <row r="102" s="2" customFormat="1" customHeight="1" spans="1:21">
      <c r="C102" s="5">
        <v>94</v>
      </c>
      <c r="D102" s="5">
        <v>19</v>
      </c>
      <c r="E102" s="5">
        <v>4</v>
      </c>
      <c r="F102" s="5" t="s">
        <v>149</v>
      </c>
      <c r="G102" s="10">
        <f t="shared" ref="G102:I102" si="74">G99*S102</f>
        <v>2400000</v>
      </c>
      <c r="H102" s="10">
        <f t="shared" si="74"/>
        <v>2400000</v>
      </c>
      <c r="I102" s="10">
        <f t="shared" si="74"/>
        <v>3900000000</v>
      </c>
      <c r="J102" s="10">
        <v>100</v>
      </c>
      <c r="K102" s="2">
        <v>0</v>
      </c>
      <c r="L102" s="2">
        <v>1800</v>
      </c>
      <c r="M102" s="2">
        <v>1800</v>
      </c>
      <c r="N102" s="2">
        <v>1800</v>
      </c>
      <c r="O102" s="2">
        <v>99</v>
      </c>
      <c r="P102" s="2">
        <v>0</v>
      </c>
      <c r="Q102" s="16" t="s">
        <v>150</v>
      </c>
      <c r="R102" s="16" t="s">
        <v>133</v>
      </c>
      <c r="S102" s="2">
        <v>1.2</v>
      </c>
      <c r="T102" s="2">
        <v>1.2</v>
      </c>
      <c r="U102" s="2">
        <v>1.3</v>
      </c>
    </row>
    <row r="103" s="2" customFormat="1" customHeight="1" spans="1:21">
      <c r="C103" s="5">
        <v>95</v>
      </c>
      <c r="D103" s="5">
        <v>19</v>
      </c>
      <c r="E103" s="5">
        <v>5</v>
      </c>
      <c r="F103" s="5" t="s">
        <v>151</v>
      </c>
      <c r="G103" s="10">
        <f t="shared" ref="G103:I103" si="75">G99*S103</f>
        <v>2500000</v>
      </c>
      <c r="H103" s="10">
        <f t="shared" si="75"/>
        <v>2500000</v>
      </c>
      <c r="I103" s="10">
        <f t="shared" si="75"/>
        <v>4500000000</v>
      </c>
      <c r="J103" s="10">
        <v>100</v>
      </c>
      <c r="K103" s="2">
        <v>0</v>
      </c>
      <c r="L103" s="2">
        <v>1800</v>
      </c>
      <c r="M103" s="2">
        <v>1800</v>
      </c>
      <c r="N103" s="2">
        <v>1800</v>
      </c>
      <c r="O103" s="2">
        <v>99</v>
      </c>
      <c r="P103" s="2">
        <v>0</v>
      </c>
      <c r="Q103" s="16" t="s">
        <v>152</v>
      </c>
      <c r="R103" s="16" t="s">
        <v>136</v>
      </c>
      <c r="S103" s="2">
        <v>1.25</v>
      </c>
      <c r="T103" s="2">
        <v>1.25</v>
      </c>
      <c r="U103" s="2">
        <v>1.5</v>
      </c>
    </row>
    <row r="105" customHeight="1" spans="1:21">
      <c r="C105" s="5">
        <v>96</v>
      </c>
      <c r="D105" s="5">
        <v>20</v>
      </c>
      <c r="E105" s="11">
        <v>1</v>
      </c>
      <c r="F105" s="11" t="s">
        <v>153</v>
      </c>
      <c r="G105" s="17" t="s">
        <v>154</v>
      </c>
      <c r="H105" s="17" t="s">
        <v>154</v>
      </c>
      <c r="I105" s="17" t="s">
        <v>155</v>
      </c>
      <c r="J105" s="10">
        <v>120</v>
      </c>
      <c r="K105" s="3">
        <v>20</v>
      </c>
      <c r="L105" s="3">
        <v>1800</v>
      </c>
      <c r="M105" s="3">
        <v>1800</v>
      </c>
      <c r="N105" s="3">
        <v>1800</v>
      </c>
      <c r="O105" s="3">
        <v>99</v>
      </c>
      <c r="P105" s="3">
        <v>0</v>
      </c>
      <c r="Q105" s="16" t="s">
        <v>98</v>
      </c>
      <c r="R105" s="16" t="s">
        <v>114</v>
      </c>
      <c r="S105" s="3">
        <v>1</v>
      </c>
      <c r="T105" s="3">
        <v>1</v>
      </c>
      <c r="U105" s="3">
        <v>1</v>
      </c>
    </row>
    <row r="106" customHeight="1" spans="1:21">
      <c r="C106" s="5">
        <v>97</v>
      </c>
      <c r="D106" s="5">
        <v>20</v>
      </c>
      <c r="E106" s="5">
        <v>2</v>
      </c>
      <c r="F106" s="5" t="s">
        <v>153</v>
      </c>
      <c r="G106" s="10">
        <f t="shared" ref="G106:I106" si="76">G105*S106</f>
        <v>2750000</v>
      </c>
      <c r="H106" s="10">
        <f t="shared" si="76"/>
        <v>2750000</v>
      </c>
      <c r="I106" s="10">
        <f t="shared" si="76"/>
        <v>6600000000</v>
      </c>
      <c r="J106" s="10">
        <v>120</v>
      </c>
      <c r="K106" s="3">
        <v>20</v>
      </c>
      <c r="L106" s="2">
        <v>1800</v>
      </c>
      <c r="M106" s="2">
        <v>1800</v>
      </c>
      <c r="N106" s="2">
        <v>1800</v>
      </c>
      <c r="O106" s="2">
        <v>99</v>
      </c>
      <c r="P106" s="2">
        <v>0</v>
      </c>
      <c r="Q106" s="16" t="s">
        <v>99</v>
      </c>
      <c r="R106" s="16" t="s">
        <v>114</v>
      </c>
      <c r="S106" s="2">
        <v>1.1</v>
      </c>
      <c r="T106" s="2">
        <v>1.1</v>
      </c>
      <c r="U106" s="2">
        <v>1.1</v>
      </c>
    </row>
    <row r="107" customHeight="1" spans="1:21">
      <c r="C107" s="5">
        <v>98</v>
      </c>
      <c r="D107" s="5">
        <v>20</v>
      </c>
      <c r="E107" s="5">
        <v>3</v>
      </c>
      <c r="F107" s="5" t="s">
        <v>153</v>
      </c>
      <c r="G107" s="10">
        <f t="shared" ref="G107:I107" si="77">G105*S107</f>
        <v>2875000</v>
      </c>
      <c r="H107" s="10">
        <f t="shared" si="77"/>
        <v>2875000</v>
      </c>
      <c r="I107" s="10">
        <f t="shared" si="77"/>
        <v>7200000000</v>
      </c>
      <c r="J107" s="10">
        <v>120</v>
      </c>
      <c r="K107" s="3">
        <v>20</v>
      </c>
      <c r="L107" s="2">
        <v>1800</v>
      </c>
      <c r="M107" s="2">
        <v>1800</v>
      </c>
      <c r="N107" s="2">
        <v>1800</v>
      </c>
      <c r="O107" s="2">
        <v>99</v>
      </c>
      <c r="P107" s="2">
        <v>0</v>
      </c>
      <c r="Q107" s="16" t="s">
        <v>148</v>
      </c>
      <c r="R107" s="16" t="s">
        <v>130</v>
      </c>
      <c r="S107" s="2">
        <v>1.15</v>
      </c>
      <c r="T107" s="2">
        <v>1.15</v>
      </c>
      <c r="U107" s="2">
        <v>1.2</v>
      </c>
    </row>
    <row r="108" customHeight="1" spans="1:21">
      <c r="C108" s="5">
        <v>99</v>
      </c>
      <c r="D108" s="5">
        <v>20</v>
      </c>
      <c r="E108" s="5">
        <v>4</v>
      </c>
      <c r="F108" s="5" t="s">
        <v>156</v>
      </c>
      <c r="G108" s="10">
        <f t="shared" ref="G108:I108" si="78">G105*S108</f>
        <v>3000000</v>
      </c>
      <c r="H108" s="10">
        <f t="shared" si="78"/>
        <v>3000000</v>
      </c>
      <c r="I108" s="10">
        <f t="shared" si="78"/>
        <v>7800000000</v>
      </c>
      <c r="J108" s="10">
        <v>120</v>
      </c>
      <c r="K108" s="3">
        <v>20</v>
      </c>
      <c r="L108" s="2">
        <v>1800</v>
      </c>
      <c r="M108" s="2">
        <v>1800</v>
      </c>
      <c r="N108" s="2">
        <v>1800</v>
      </c>
      <c r="O108" s="2">
        <v>99</v>
      </c>
      <c r="P108" s="2">
        <v>0</v>
      </c>
      <c r="Q108" s="16" t="s">
        <v>150</v>
      </c>
      <c r="R108" s="16" t="s">
        <v>133</v>
      </c>
      <c r="S108" s="2">
        <v>1.2</v>
      </c>
      <c r="T108" s="2">
        <v>1.2</v>
      </c>
      <c r="U108" s="2">
        <v>1.3</v>
      </c>
    </row>
    <row r="109" customHeight="1" spans="1:21">
      <c r="C109" s="5">
        <v>100</v>
      </c>
      <c r="D109" s="5">
        <v>20</v>
      </c>
      <c r="E109" s="5">
        <v>5</v>
      </c>
      <c r="F109" s="5" t="s">
        <v>157</v>
      </c>
      <c r="G109" s="10">
        <f t="shared" ref="G109:I109" si="79">G105*S109</f>
        <v>3125000</v>
      </c>
      <c r="H109" s="10">
        <f t="shared" si="79"/>
        <v>3125000</v>
      </c>
      <c r="I109" s="10">
        <f t="shared" si="79"/>
        <v>9000000000</v>
      </c>
      <c r="J109" s="10">
        <v>120</v>
      </c>
      <c r="K109" s="3">
        <v>20</v>
      </c>
      <c r="L109" s="2">
        <v>1800</v>
      </c>
      <c r="M109" s="2">
        <v>1800</v>
      </c>
      <c r="N109" s="2">
        <v>1800</v>
      </c>
      <c r="O109" s="2">
        <v>99</v>
      </c>
      <c r="P109" s="2">
        <v>0</v>
      </c>
      <c r="Q109" s="16" t="s">
        <v>152</v>
      </c>
      <c r="R109" s="16" t="s">
        <v>136</v>
      </c>
      <c r="S109" s="2">
        <v>1.25</v>
      </c>
      <c r="T109" s="2">
        <v>1.25</v>
      </c>
      <c r="U109" s="2">
        <v>1.5</v>
      </c>
    </row>
    <row r="111" customHeight="1" spans="1:21">
      <c r="C111" s="5">
        <v>101</v>
      </c>
      <c r="D111" s="5">
        <v>21</v>
      </c>
      <c r="E111" s="11">
        <v>1</v>
      </c>
      <c r="F111" s="11" t="s">
        <v>158</v>
      </c>
      <c r="G111" s="17" t="s">
        <v>159</v>
      </c>
      <c r="H111" s="17" t="s">
        <v>159</v>
      </c>
      <c r="I111" s="17" t="s">
        <v>160</v>
      </c>
      <c r="J111" s="10">
        <v>140</v>
      </c>
      <c r="K111" s="3">
        <v>40</v>
      </c>
      <c r="L111" s="3">
        <v>1800</v>
      </c>
      <c r="M111" s="3">
        <v>1800</v>
      </c>
      <c r="N111" s="3">
        <v>1800</v>
      </c>
      <c r="O111" s="3">
        <v>99</v>
      </c>
      <c r="P111" s="3">
        <v>0</v>
      </c>
      <c r="Q111" s="16" t="s">
        <v>98</v>
      </c>
      <c r="R111" s="16" t="s">
        <v>114</v>
      </c>
      <c r="S111" s="3">
        <v>1</v>
      </c>
      <c r="T111" s="3">
        <v>1</v>
      </c>
      <c r="U111" s="3">
        <v>1</v>
      </c>
    </row>
    <row r="112" customHeight="1" spans="1:21">
      <c r="C112" s="5">
        <v>102</v>
      </c>
      <c r="D112" s="5">
        <v>21</v>
      </c>
      <c r="E112" s="5">
        <v>2</v>
      </c>
      <c r="F112" s="5" t="s">
        <v>158</v>
      </c>
      <c r="G112" s="10">
        <f t="shared" ref="G112:I112" si="80">G111*S112</f>
        <v>3300000</v>
      </c>
      <c r="H112" s="10">
        <f t="shared" si="80"/>
        <v>3300000</v>
      </c>
      <c r="I112" s="10">
        <f t="shared" si="80"/>
        <v>9900000000</v>
      </c>
      <c r="J112" s="10">
        <v>140</v>
      </c>
      <c r="K112" s="3">
        <v>40</v>
      </c>
      <c r="L112" s="2">
        <v>1800</v>
      </c>
      <c r="M112" s="2">
        <v>1800</v>
      </c>
      <c r="N112" s="2">
        <v>1800</v>
      </c>
      <c r="O112" s="2">
        <v>99</v>
      </c>
      <c r="P112" s="2">
        <v>0</v>
      </c>
      <c r="Q112" s="16" t="s">
        <v>99</v>
      </c>
      <c r="R112" s="16" t="s">
        <v>114</v>
      </c>
      <c r="S112" s="2">
        <v>1.1</v>
      </c>
      <c r="T112" s="2">
        <v>1.1</v>
      </c>
      <c r="U112" s="2">
        <v>1.1</v>
      </c>
    </row>
    <row r="113" customHeight="1" spans="3:21">
      <c r="C113" s="5">
        <v>103</v>
      </c>
      <c r="D113" s="5">
        <v>21</v>
      </c>
      <c r="E113" s="5">
        <v>3</v>
      </c>
      <c r="F113" s="5" t="s">
        <v>158</v>
      </c>
      <c r="G113" s="10">
        <f t="shared" ref="G113:I113" si="81">G111*S113</f>
        <v>3450000</v>
      </c>
      <c r="H113" s="10">
        <f t="shared" si="81"/>
        <v>3450000</v>
      </c>
      <c r="I113" s="10">
        <f t="shared" si="81"/>
        <v>10800000000</v>
      </c>
      <c r="J113" s="10">
        <v>140</v>
      </c>
      <c r="K113" s="3">
        <v>40</v>
      </c>
      <c r="L113" s="2">
        <v>1800</v>
      </c>
      <c r="M113" s="2">
        <v>1800</v>
      </c>
      <c r="N113" s="2">
        <v>1800</v>
      </c>
      <c r="O113" s="2">
        <v>99</v>
      </c>
      <c r="P113" s="2">
        <v>0</v>
      </c>
      <c r="Q113" s="16" t="s">
        <v>148</v>
      </c>
      <c r="R113" s="16" t="s">
        <v>130</v>
      </c>
      <c r="S113" s="2">
        <v>1.15</v>
      </c>
      <c r="T113" s="2">
        <v>1.15</v>
      </c>
      <c r="U113" s="2">
        <v>1.2</v>
      </c>
    </row>
    <row r="114" customHeight="1" spans="3:21">
      <c r="C114" s="5">
        <v>104</v>
      </c>
      <c r="D114" s="5">
        <v>21</v>
      </c>
      <c r="E114" s="5">
        <v>4</v>
      </c>
      <c r="F114" s="5" t="s">
        <v>161</v>
      </c>
      <c r="G114" s="10">
        <f t="shared" ref="G114:I114" si="82">G111*S114</f>
        <v>3600000</v>
      </c>
      <c r="H114" s="10">
        <f t="shared" si="82"/>
        <v>3600000</v>
      </c>
      <c r="I114" s="10">
        <f t="shared" si="82"/>
        <v>11700000000</v>
      </c>
      <c r="J114" s="10">
        <v>140</v>
      </c>
      <c r="K114" s="3">
        <v>40</v>
      </c>
      <c r="L114" s="2">
        <v>1800</v>
      </c>
      <c r="M114" s="2">
        <v>1800</v>
      </c>
      <c r="N114" s="2">
        <v>1800</v>
      </c>
      <c r="O114" s="2">
        <v>99</v>
      </c>
      <c r="P114" s="2">
        <v>0</v>
      </c>
      <c r="Q114" s="16" t="s">
        <v>150</v>
      </c>
      <c r="R114" s="16" t="s">
        <v>133</v>
      </c>
      <c r="S114" s="2">
        <v>1.2</v>
      </c>
      <c r="T114" s="2">
        <v>1.2</v>
      </c>
      <c r="U114" s="2">
        <v>1.3</v>
      </c>
    </row>
    <row r="115" customHeight="1" spans="3:21">
      <c r="C115" s="5">
        <v>105</v>
      </c>
      <c r="D115" s="5">
        <v>21</v>
      </c>
      <c r="E115" s="5">
        <v>5</v>
      </c>
      <c r="F115" s="5" t="s">
        <v>162</v>
      </c>
      <c r="G115" s="10">
        <f t="shared" ref="G115:I115" si="83">G111*S115</f>
        <v>3750000</v>
      </c>
      <c r="H115" s="10">
        <f t="shared" si="83"/>
        <v>3750000</v>
      </c>
      <c r="I115" s="10">
        <f t="shared" si="83"/>
        <v>13500000000</v>
      </c>
      <c r="J115" s="10">
        <v>140</v>
      </c>
      <c r="K115" s="3">
        <v>40</v>
      </c>
      <c r="L115" s="2">
        <v>1800</v>
      </c>
      <c r="M115" s="2">
        <v>1800</v>
      </c>
      <c r="N115" s="2">
        <v>1800</v>
      </c>
      <c r="O115" s="2">
        <v>99</v>
      </c>
      <c r="P115" s="2">
        <v>0</v>
      </c>
      <c r="Q115" s="16" t="s">
        <v>152</v>
      </c>
      <c r="R115" s="16" t="s">
        <v>136</v>
      </c>
      <c r="S115" s="2">
        <v>1.25</v>
      </c>
      <c r="T115" s="2">
        <v>1.25</v>
      </c>
      <c r="U115" s="2">
        <v>1.5</v>
      </c>
    </row>
    <row r="117" customHeight="1" spans="3:21">
      <c r="C117" s="5">
        <v>106</v>
      </c>
      <c r="D117" s="5">
        <v>22</v>
      </c>
      <c r="E117" s="11">
        <v>1</v>
      </c>
      <c r="F117" s="11" t="s">
        <v>163</v>
      </c>
      <c r="G117" s="17" t="s">
        <v>164</v>
      </c>
      <c r="H117" s="17" t="s">
        <v>164</v>
      </c>
      <c r="I117" s="17" t="s">
        <v>165</v>
      </c>
      <c r="J117" s="10">
        <v>160</v>
      </c>
      <c r="K117" s="3">
        <v>60</v>
      </c>
      <c r="L117" s="3">
        <v>1800</v>
      </c>
      <c r="M117" s="3">
        <v>1800</v>
      </c>
      <c r="N117" s="3">
        <v>1800</v>
      </c>
      <c r="O117" s="3">
        <v>99</v>
      </c>
      <c r="P117" s="3">
        <v>0</v>
      </c>
      <c r="Q117" s="16" t="s">
        <v>98</v>
      </c>
      <c r="R117" s="16" t="s">
        <v>114</v>
      </c>
      <c r="S117" s="3">
        <v>1</v>
      </c>
      <c r="T117" s="3">
        <v>1</v>
      </c>
      <c r="U117" s="3">
        <v>1</v>
      </c>
    </row>
    <row r="118" customHeight="1" spans="3:21">
      <c r="C118" s="5">
        <v>107</v>
      </c>
      <c r="D118" s="5">
        <v>22</v>
      </c>
      <c r="E118" s="5">
        <v>2</v>
      </c>
      <c r="F118" s="5" t="s">
        <v>163</v>
      </c>
      <c r="G118" s="10">
        <f t="shared" ref="G118:I118" si="84">G117*S118</f>
        <v>4400000</v>
      </c>
      <c r="H118" s="10">
        <f t="shared" si="84"/>
        <v>4400000</v>
      </c>
      <c r="I118" s="10">
        <f t="shared" si="84"/>
        <v>15400000000</v>
      </c>
      <c r="J118" s="10">
        <v>160</v>
      </c>
      <c r="K118" s="3">
        <v>60</v>
      </c>
      <c r="L118" s="2">
        <v>1800</v>
      </c>
      <c r="M118" s="2">
        <v>1800</v>
      </c>
      <c r="N118" s="2">
        <v>1800</v>
      </c>
      <c r="O118" s="2">
        <v>99</v>
      </c>
      <c r="P118" s="2">
        <v>0</v>
      </c>
      <c r="Q118" s="16" t="s">
        <v>99</v>
      </c>
      <c r="R118" s="16" t="s">
        <v>114</v>
      </c>
      <c r="S118" s="2">
        <v>1.1</v>
      </c>
      <c r="T118" s="2">
        <v>1.1</v>
      </c>
      <c r="U118" s="2">
        <v>1.1</v>
      </c>
    </row>
    <row r="119" customHeight="1" spans="3:21">
      <c r="C119" s="5">
        <v>108</v>
      </c>
      <c r="D119" s="5">
        <v>22</v>
      </c>
      <c r="E119" s="5">
        <v>3</v>
      </c>
      <c r="F119" s="5" t="s">
        <v>163</v>
      </c>
      <c r="G119" s="10">
        <f t="shared" ref="G119:I119" si="85">G117*S119</f>
        <v>4600000</v>
      </c>
      <c r="H119" s="10">
        <f t="shared" si="85"/>
        <v>4600000</v>
      </c>
      <c r="I119" s="10">
        <f t="shared" si="85"/>
        <v>16800000000</v>
      </c>
      <c r="J119" s="10">
        <v>160</v>
      </c>
      <c r="K119" s="3">
        <v>60</v>
      </c>
      <c r="L119" s="2">
        <v>1800</v>
      </c>
      <c r="M119" s="2">
        <v>1800</v>
      </c>
      <c r="N119" s="2">
        <v>1800</v>
      </c>
      <c r="O119" s="2">
        <v>99</v>
      </c>
      <c r="P119" s="2">
        <v>0</v>
      </c>
      <c r="Q119" s="16" t="s">
        <v>148</v>
      </c>
      <c r="R119" s="16" t="s">
        <v>130</v>
      </c>
      <c r="S119" s="2">
        <v>1.15</v>
      </c>
      <c r="T119" s="2">
        <v>1.15</v>
      </c>
      <c r="U119" s="2">
        <v>1.2</v>
      </c>
    </row>
    <row r="120" customHeight="1" spans="3:21">
      <c r="C120" s="5">
        <v>109</v>
      </c>
      <c r="D120" s="5">
        <v>22</v>
      </c>
      <c r="E120" s="5">
        <v>4</v>
      </c>
      <c r="F120" s="5" t="s">
        <v>166</v>
      </c>
      <c r="G120" s="10">
        <f t="shared" ref="G120:I120" si="86">G117*S120</f>
        <v>4800000</v>
      </c>
      <c r="H120" s="10">
        <f t="shared" si="86"/>
        <v>4800000</v>
      </c>
      <c r="I120" s="10">
        <f t="shared" si="86"/>
        <v>18200000000</v>
      </c>
      <c r="J120" s="10">
        <v>160</v>
      </c>
      <c r="K120" s="3">
        <v>60</v>
      </c>
      <c r="L120" s="2">
        <v>1800</v>
      </c>
      <c r="M120" s="2">
        <v>1800</v>
      </c>
      <c r="N120" s="2">
        <v>1800</v>
      </c>
      <c r="O120" s="2">
        <v>99</v>
      </c>
      <c r="P120" s="2">
        <v>0</v>
      </c>
      <c r="Q120" s="16" t="s">
        <v>150</v>
      </c>
      <c r="R120" s="16" t="s">
        <v>133</v>
      </c>
      <c r="S120" s="2">
        <v>1.2</v>
      </c>
      <c r="T120" s="2">
        <v>1.2</v>
      </c>
      <c r="U120" s="2">
        <v>1.3</v>
      </c>
    </row>
    <row r="121" customHeight="1" spans="3:21">
      <c r="C121" s="5">
        <v>110</v>
      </c>
      <c r="D121" s="5">
        <v>22</v>
      </c>
      <c r="E121" s="5">
        <v>5</v>
      </c>
      <c r="F121" s="5" t="s">
        <v>167</v>
      </c>
      <c r="G121" s="10">
        <f t="shared" ref="G121:I121" si="87">G117*S121</f>
        <v>5000000</v>
      </c>
      <c r="H121" s="10">
        <f t="shared" si="87"/>
        <v>5000000</v>
      </c>
      <c r="I121" s="10">
        <f t="shared" si="87"/>
        <v>21000000000</v>
      </c>
      <c r="J121" s="10">
        <v>160</v>
      </c>
      <c r="K121" s="3">
        <v>60</v>
      </c>
      <c r="L121" s="2">
        <v>1800</v>
      </c>
      <c r="M121" s="2">
        <v>1800</v>
      </c>
      <c r="N121" s="2">
        <v>1800</v>
      </c>
      <c r="O121" s="2">
        <v>99</v>
      </c>
      <c r="P121" s="2">
        <v>0</v>
      </c>
      <c r="Q121" s="16" t="s">
        <v>152</v>
      </c>
      <c r="R121" s="16" t="s">
        <v>136</v>
      </c>
      <c r="S121" s="2">
        <v>1.25</v>
      </c>
      <c r="T121" s="2">
        <v>1.25</v>
      </c>
      <c r="U121" s="2">
        <v>1.5</v>
      </c>
    </row>
    <row r="123" customHeight="1" spans="3:21">
      <c r="C123" s="5">
        <v>111</v>
      </c>
      <c r="D123" s="5">
        <v>23</v>
      </c>
      <c r="E123" s="11">
        <v>1</v>
      </c>
      <c r="F123" s="11" t="s">
        <v>168</v>
      </c>
      <c r="G123" s="17" t="s">
        <v>169</v>
      </c>
      <c r="H123" s="17" t="s">
        <v>169</v>
      </c>
      <c r="I123" s="17" t="s">
        <v>170</v>
      </c>
      <c r="J123" s="10">
        <v>180</v>
      </c>
      <c r="K123" s="3">
        <v>80</v>
      </c>
      <c r="L123" s="3">
        <v>1800</v>
      </c>
      <c r="M123" s="3">
        <v>1800</v>
      </c>
      <c r="N123" s="3">
        <v>1800</v>
      </c>
      <c r="O123" s="3">
        <v>99</v>
      </c>
      <c r="P123" s="3">
        <v>0</v>
      </c>
      <c r="Q123" s="16" t="s">
        <v>98</v>
      </c>
      <c r="R123" s="16" t="s">
        <v>114</v>
      </c>
      <c r="S123" s="3">
        <v>1</v>
      </c>
      <c r="T123" s="3">
        <v>1</v>
      </c>
      <c r="U123" s="3">
        <v>1</v>
      </c>
    </row>
    <row r="124" customHeight="1" spans="3:21">
      <c r="C124" s="5">
        <v>112</v>
      </c>
      <c r="D124" s="5">
        <v>23</v>
      </c>
      <c r="E124" s="5">
        <v>2</v>
      </c>
      <c r="F124" s="5" t="s">
        <v>168</v>
      </c>
      <c r="G124" s="10">
        <f t="shared" ref="G124:I124" si="88">G123*S124</f>
        <v>5500000</v>
      </c>
      <c r="H124" s="10">
        <f t="shared" si="88"/>
        <v>5500000</v>
      </c>
      <c r="I124" s="10">
        <f t="shared" si="88"/>
        <v>22000000000</v>
      </c>
      <c r="J124" s="10">
        <v>180</v>
      </c>
      <c r="K124" s="3">
        <v>80</v>
      </c>
      <c r="L124" s="2">
        <v>1800</v>
      </c>
      <c r="M124" s="2">
        <v>1800</v>
      </c>
      <c r="N124" s="2">
        <v>1800</v>
      </c>
      <c r="O124" s="2">
        <v>99</v>
      </c>
      <c r="P124" s="2">
        <v>0</v>
      </c>
      <c r="Q124" s="16" t="s">
        <v>99</v>
      </c>
      <c r="R124" s="16" t="s">
        <v>114</v>
      </c>
      <c r="S124" s="2">
        <v>1.1</v>
      </c>
      <c r="T124" s="2">
        <v>1.1</v>
      </c>
      <c r="U124" s="2">
        <v>1.1</v>
      </c>
    </row>
    <row r="125" customHeight="1" spans="3:21">
      <c r="C125" s="5">
        <v>113</v>
      </c>
      <c r="D125" s="5">
        <v>23</v>
      </c>
      <c r="E125" s="5">
        <v>3</v>
      </c>
      <c r="F125" s="5" t="s">
        <v>168</v>
      </c>
      <c r="G125" s="10">
        <f t="shared" ref="G125:I125" si="89">G123*S125</f>
        <v>5750000</v>
      </c>
      <c r="H125" s="10">
        <f t="shared" si="89"/>
        <v>5750000</v>
      </c>
      <c r="I125" s="10">
        <f t="shared" si="89"/>
        <v>24000000000</v>
      </c>
      <c r="J125" s="10">
        <v>180</v>
      </c>
      <c r="K125" s="3">
        <v>80</v>
      </c>
      <c r="L125" s="2">
        <v>1800</v>
      </c>
      <c r="M125" s="2">
        <v>1800</v>
      </c>
      <c r="N125" s="2">
        <v>1800</v>
      </c>
      <c r="O125" s="2">
        <v>99</v>
      </c>
      <c r="P125" s="2">
        <v>0</v>
      </c>
      <c r="Q125" s="16" t="s">
        <v>148</v>
      </c>
      <c r="R125" s="16" t="s">
        <v>130</v>
      </c>
      <c r="S125" s="2">
        <v>1.15</v>
      </c>
      <c r="T125" s="2">
        <v>1.15</v>
      </c>
      <c r="U125" s="2">
        <v>1.2</v>
      </c>
    </row>
    <row r="126" customHeight="1" spans="3:21">
      <c r="C126" s="5">
        <v>114</v>
      </c>
      <c r="D126" s="5">
        <v>23</v>
      </c>
      <c r="E126" s="5">
        <v>4</v>
      </c>
      <c r="F126" s="5" t="s">
        <v>171</v>
      </c>
      <c r="G126" s="10">
        <f t="shared" ref="G126:I126" si="90">G123*S126</f>
        <v>6000000</v>
      </c>
      <c r="H126" s="10">
        <f t="shared" si="90"/>
        <v>6000000</v>
      </c>
      <c r="I126" s="10">
        <f t="shared" si="90"/>
        <v>26000000000</v>
      </c>
      <c r="J126" s="10">
        <v>180</v>
      </c>
      <c r="K126" s="3">
        <v>80</v>
      </c>
      <c r="L126" s="2">
        <v>1800</v>
      </c>
      <c r="M126" s="2">
        <v>1800</v>
      </c>
      <c r="N126" s="2">
        <v>1800</v>
      </c>
      <c r="O126" s="2">
        <v>99</v>
      </c>
      <c r="P126" s="2">
        <v>0</v>
      </c>
      <c r="Q126" s="16" t="s">
        <v>150</v>
      </c>
      <c r="R126" s="16" t="s">
        <v>133</v>
      </c>
      <c r="S126" s="2">
        <v>1.2</v>
      </c>
      <c r="T126" s="2">
        <v>1.2</v>
      </c>
      <c r="U126" s="2">
        <v>1.3</v>
      </c>
    </row>
    <row r="127" customHeight="1" spans="3:21">
      <c r="C127" s="5">
        <v>115</v>
      </c>
      <c r="D127" s="5">
        <v>23</v>
      </c>
      <c r="E127" s="5">
        <v>5</v>
      </c>
      <c r="F127" s="5" t="s">
        <v>172</v>
      </c>
      <c r="G127" s="10">
        <f t="shared" ref="G127:I127" si="91">G123*S127</f>
        <v>6250000</v>
      </c>
      <c r="H127" s="10">
        <f t="shared" si="91"/>
        <v>6250000</v>
      </c>
      <c r="I127" s="10">
        <f t="shared" si="91"/>
        <v>30000000000</v>
      </c>
      <c r="J127" s="10">
        <v>180</v>
      </c>
      <c r="K127" s="3">
        <v>80</v>
      </c>
      <c r="L127" s="2">
        <v>1800</v>
      </c>
      <c r="M127" s="2">
        <v>1800</v>
      </c>
      <c r="N127" s="2">
        <v>1800</v>
      </c>
      <c r="O127" s="2">
        <v>99</v>
      </c>
      <c r="P127" s="2">
        <v>0</v>
      </c>
      <c r="Q127" s="16" t="s">
        <v>152</v>
      </c>
      <c r="R127" s="16" t="s">
        <v>136</v>
      </c>
      <c r="S127" s="2">
        <v>1.25</v>
      </c>
      <c r="T127" s="2">
        <v>1.25</v>
      </c>
      <c r="U127" s="2">
        <v>1.5</v>
      </c>
    </row>
    <row r="129" customHeight="1" spans="3:22">
      <c r="C129" s="5">
        <v>116</v>
      </c>
      <c r="D129" s="5">
        <v>24</v>
      </c>
      <c r="E129" s="11">
        <v>1</v>
      </c>
      <c r="F129" s="11" t="s">
        <v>173</v>
      </c>
      <c r="G129" s="17" t="s">
        <v>174</v>
      </c>
      <c r="H129" s="17" t="s">
        <v>174</v>
      </c>
      <c r="I129" s="17" t="s">
        <v>175</v>
      </c>
      <c r="J129" s="10">
        <v>200</v>
      </c>
      <c r="K129" s="3">
        <v>100</v>
      </c>
      <c r="L129" s="3">
        <v>1800</v>
      </c>
      <c r="M129" s="3">
        <v>1800</v>
      </c>
      <c r="N129" s="3">
        <v>1800</v>
      </c>
      <c r="O129" s="3">
        <v>99</v>
      </c>
      <c r="P129" s="3">
        <v>0</v>
      </c>
      <c r="Q129" s="16" t="s">
        <v>98</v>
      </c>
      <c r="R129" s="16" t="s">
        <v>114</v>
      </c>
      <c r="S129" s="3">
        <v>1</v>
      </c>
      <c r="T129" s="3">
        <v>1</v>
      </c>
      <c r="U129" s="3">
        <v>1</v>
      </c>
    </row>
    <row r="130" customHeight="1" spans="3:22">
      <c r="C130" s="5">
        <v>117</v>
      </c>
      <c r="D130" s="5">
        <v>24</v>
      </c>
      <c r="E130" s="5">
        <v>2</v>
      </c>
      <c r="F130" s="5" t="s">
        <v>173</v>
      </c>
      <c r="G130" s="10">
        <f t="shared" ref="G130:I130" si="92">G129*S130</f>
        <v>6600000</v>
      </c>
      <c r="H130" s="10">
        <f t="shared" si="92"/>
        <v>6600000</v>
      </c>
      <c r="I130" s="10">
        <f t="shared" si="92"/>
        <v>33000000000</v>
      </c>
      <c r="J130" s="10">
        <v>200</v>
      </c>
      <c r="K130" s="3">
        <v>100</v>
      </c>
      <c r="L130" s="2">
        <v>1800</v>
      </c>
      <c r="M130" s="2">
        <v>1800</v>
      </c>
      <c r="N130" s="2">
        <v>1800</v>
      </c>
      <c r="O130" s="2">
        <v>99</v>
      </c>
      <c r="P130" s="2">
        <v>0</v>
      </c>
      <c r="Q130" s="16" t="s">
        <v>99</v>
      </c>
      <c r="R130" s="16" t="s">
        <v>114</v>
      </c>
      <c r="S130" s="2">
        <v>1.1</v>
      </c>
      <c r="T130" s="2">
        <v>1.1</v>
      </c>
      <c r="U130" s="2">
        <v>1.1</v>
      </c>
    </row>
    <row r="131" customHeight="1" spans="3:22">
      <c r="C131" s="5">
        <v>118</v>
      </c>
      <c r="D131" s="5">
        <v>24</v>
      </c>
      <c r="E131" s="5">
        <v>3</v>
      </c>
      <c r="F131" s="5" t="s">
        <v>173</v>
      </c>
      <c r="G131" s="10">
        <f t="shared" ref="G131:I131" si="93">G129*S131</f>
        <v>6900000</v>
      </c>
      <c r="H131" s="10">
        <f t="shared" si="93"/>
        <v>6900000</v>
      </c>
      <c r="I131" s="10">
        <f t="shared" si="93"/>
        <v>36000000000</v>
      </c>
      <c r="J131" s="10">
        <v>200</v>
      </c>
      <c r="K131" s="3">
        <v>100</v>
      </c>
      <c r="L131" s="2">
        <v>1800</v>
      </c>
      <c r="M131" s="2">
        <v>1800</v>
      </c>
      <c r="N131" s="2">
        <v>1800</v>
      </c>
      <c r="O131" s="2">
        <v>99</v>
      </c>
      <c r="P131" s="2">
        <v>0</v>
      </c>
      <c r="Q131" s="16" t="s">
        <v>148</v>
      </c>
      <c r="R131" s="16" t="s">
        <v>130</v>
      </c>
      <c r="S131" s="2">
        <v>1.15</v>
      </c>
      <c r="T131" s="2">
        <v>1.15</v>
      </c>
      <c r="U131" s="2">
        <v>1.2</v>
      </c>
    </row>
    <row r="132" customHeight="1" spans="3:22">
      <c r="C132" s="5">
        <v>119</v>
      </c>
      <c r="D132" s="5">
        <v>24</v>
      </c>
      <c r="E132" s="5">
        <v>4</v>
      </c>
      <c r="F132" s="5" t="s">
        <v>176</v>
      </c>
      <c r="G132" s="10">
        <f t="shared" ref="G132:I132" si="94">G129*S132</f>
        <v>7200000</v>
      </c>
      <c r="H132" s="10">
        <f t="shared" si="94"/>
        <v>7200000</v>
      </c>
      <c r="I132" s="10">
        <f t="shared" si="94"/>
        <v>39000000000</v>
      </c>
      <c r="J132" s="10">
        <v>200</v>
      </c>
      <c r="K132" s="3">
        <v>100</v>
      </c>
      <c r="L132" s="2">
        <v>1800</v>
      </c>
      <c r="M132" s="2">
        <v>1800</v>
      </c>
      <c r="N132" s="2">
        <v>1800</v>
      </c>
      <c r="O132" s="2">
        <v>99</v>
      </c>
      <c r="P132" s="2">
        <v>0</v>
      </c>
      <c r="Q132" s="16" t="s">
        <v>150</v>
      </c>
      <c r="R132" s="16" t="s">
        <v>133</v>
      </c>
      <c r="S132" s="2">
        <v>1.2</v>
      </c>
      <c r="T132" s="2">
        <v>1.2</v>
      </c>
      <c r="U132" s="2">
        <v>1.3</v>
      </c>
    </row>
    <row r="133" customHeight="1" spans="3:22">
      <c r="C133" s="5">
        <v>120</v>
      </c>
      <c r="D133" s="5">
        <v>24</v>
      </c>
      <c r="E133" s="5">
        <v>5</v>
      </c>
      <c r="F133" s="5" t="s">
        <v>177</v>
      </c>
      <c r="G133" s="10">
        <f t="shared" ref="G133:I133" si="95">G129*S133</f>
        <v>7500000</v>
      </c>
      <c r="H133" s="10">
        <f t="shared" si="95"/>
        <v>7500000</v>
      </c>
      <c r="I133" s="10">
        <f t="shared" si="95"/>
        <v>45000000000</v>
      </c>
      <c r="J133" s="10">
        <v>200</v>
      </c>
      <c r="K133" s="3">
        <v>100</v>
      </c>
      <c r="L133" s="2">
        <v>1800</v>
      </c>
      <c r="M133" s="2">
        <v>1800</v>
      </c>
      <c r="N133" s="2">
        <v>1800</v>
      </c>
      <c r="O133" s="2">
        <v>99</v>
      </c>
      <c r="P133" s="2">
        <v>0</v>
      </c>
      <c r="Q133" s="16" t="s">
        <v>152</v>
      </c>
      <c r="R133" s="16" t="s">
        <v>136</v>
      </c>
      <c r="S133" s="2">
        <v>1.25</v>
      </c>
      <c r="T133" s="2">
        <v>1.25</v>
      </c>
      <c r="U133" s="2">
        <v>1.5</v>
      </c>
    </row>
    <row r="135" customHeight="1" spans="3:22">
      <c r="C135" s="5">
        <v>121</v>
      </c>
      <c r="D135" s="5">
        <v>25</v>
      </c>
      <c r="E135" s="11">
        <v>1</v>
      </c>
      <c r="F135" s="11" t="s">
        <v>178</v>
      </c>
      <c r="G135" s="17" t="s">
        <v>179</v>
      </c>
      <c r="H135" s="17" t="s">
        <v>180</v>
      </c>
      <c r="I135" s="17" t="s">
        <v>181</v>
      </c>
      <c r="J135" s="10">
        <v>200</v>
      </c>
      <c r="K135" s="3">
        <v>100</v>
      </c>
      <c r="L135" s="3">
        <v>1800</v>
      </c>
      <c r="M135" s="3">
        <v>1800</v>
      </c>
      <c r="N135" s="3">
        <v>1800</v>
      </c>
      <c r="O135" s="3">
        <v>99</v>
      </c>
      <c r="P135" s="3">
        <v>0</v>
      </c>
      <c r="Q135" s="16" t="s">
        <v>182</v>
      </c>
      <c r="R135" s="16" t="s">
        <v>183</v>
      </c>
      <c r="S135" s="3">
        <v>1</v>
      </c>
      <c r="T135" s="3">
        <v>1</v>
      </c>
      <c r="U135" s="3">
        <v>1</v>
      </c>
      <c r="V135" s="16" t="s">
        <v>184</v>
      </c>
    </row>
    <row r="136" customHeight="1" spans="3:22">
      <c r="C136" s="5">
        <v>122</v>
      </c>
      <c r="D136" s="5">
        <v>25</v>
      </c>
      <c r="E136" s="5">
        <v>2</v>
      </c>
      <c r="F136" s="5" t="s">
        <v>178</v>
      </c>
      <c r="G136" s="10">
        <f>G135*S136</f>
        <v>9900000</v>
      </c>
      <c r="H136" s="10">
        <f>H135*T136</f>
        <v>7700000</v>
      </c>
      <c r="I136" s="10">
        <f t="shared" ref="G136:I136" si="96">I135*U136</f>
        <v>180000000000</v>
      </c>
      <c r="J136" s="10">
        <v>200</v>
      </c>
      <c r="K136" s="3">
        <v>100</v>
      </c>
      <c r="L136" s="2">
        <v>1800</v>
      </c>
      <c r="M136" s="2">
        <v>1800</v>
      </c>
      <c r="N136" s="2">
        <v>1800</v>
      </c>
      <c r="O136" s="2">
        <v>99</v>
      </c>
      <c r="P136" s="2">
        <v>0</v>
      </c>
      <c r="Q136" s="16" t="s">
        <v>185</v>
      </c>
      <c r="R136" s="16" t="s">
        <v>183</v>
      </c>
      <c r="S136" s="2">
        <v>1.1</v>
      </c>
      <c r="T136" s="2">
        <v>1.1</v>
      </c>
      <c r="U136" s="2">
        <v>1.2</v>
      </c>
      <c r="V136" s="16" t="s">
        <v>186</v>
      </c>
    </row>
    <row r="137" customHeight="1" spans="3:22">
      <c r="C137" s="5">
        <v>123</v>
      </c>
      <c r="D137" s="5">
        <v>25</v>
      </c>
      <c r="E137" s="5">
        <v>3</v>
      </c>
      <c r="F137" s="5" t="s">
        <v>178</v>
      </c>
      <c r="G137" s="10">
        <f>G135*S137</f>
        <v>10350000</v>
      </c>
      <c r="H137" s="10">
        <f>H135*T137</f>
        <v>8050000</v>
      </c>
      <c r="I137" s="10">
        <f t="shared" ref="G137:I137" si="97">I135*U137</f>
        <v>225000000000</v>
      </c>
      <c r="J137" s="10">
        <v>200</v>
      </c>
      <c r="K137" s="3">
        <v>100</v>
      </c>
      <c r="L137" s="2">
        <v>1800</v>
      </c>
      <c r="M137" s="2">
        <v>1800</v>
      </c>
      <c r="N137" s="2">
        <v>1800</v>
      </c>
      <c r="O137" s="2">
        <v>99</v>
      </c>
      <c r="P137" s="2">
        <v>0</v>
      </c>
      <c r="Q137" s="16" t="s">
        <v>182</v>
      </c>
      <c r="R137" s="16" t="s">
        <v>183</v>
      </c>
      <c r="S137" s="2">
        <v>1.15</v>
      </c>
      <c r="T137" s="2">
        <v>1.15</v>
      </c>
      <c r="U137" s="2">
        <v>1.5</v>
      </c>
      <c r="V137" s="16" t="s">
        <v>184</v>
      </c>
    </row>
    <row r="138" customHeight="1" spans="3:22">
      <c r="C138" s="5">
        <v>124</v>
      </c>
      <c r="D138" s="5">
        <v>25</v>
      </c>
      <c r="E138" s="5">
        <v>4</v>
      </c>
      <c r="F138" s="5" t="s">
        <v>187</v>
      </c>
      <c r="G138" s="10">
        <f>G135*S138</f>
        <v>10800000</v>
      </c>
      <c r="H138" s="10">
        <f>H135*T138</f>
        <v>8400000</v>
      </c>
      <c r="I138" s="10">
        <f t="shared" ref="G138:I138" si="98">I135*U138</f>
        <v>270000000000</v>
      </c>
      <c r="J138" s="10">
        <v>200</v>
      </c>
      <c r="K138" s="3">
        <v>100</v>
      </c>
      <c r="L138" s="2">
        <v>1800</v>
      </c>
      <c r="M138" s="2">
        <v>1800</v>
      </c>
      <c r="N138" s="2">
        <v>1800</v>
      </c>
      <c r="O138" s="2">
        <v>99</v>
      </c>
      <c r="P138" s="2">
        <v>0</v>
      </c>
      <c r="Q138" s="16" t="s">
        <v>188</v>
      </c>
      <c r="R138" s="16" t="s">
        <v>189</v>
      </c>
      <c r="S138" s="2">
        <v>1.2</v>
      </c>
      <c r="T138" s="2">
        <v>1.2</v>
      </c>
      <c r="U138" s="2">
        <v>1.8</v>
      </c>
      <c r="V138" s="16" t="s">
        <v>117</v>
      </c>
    </row>
    <row r="139" customHeight="1" spans="3:22">
      <c r="C139" s="5">
        <v>125</v>
      </c>
      <c r="D139" s="5">
        <v>25</v>
      </c>
      <c r="E139" s="5">
        <v>5</v>
      </c>
      <c r="F139" s="5" t="s">
        <v>190</v>
      </c>
      <c r="G139" s="10">
        <f>G135*S139</f>
        <v>11250000</v>
      </c>
      <c r="H139" s="10">
        <f>H135*T139</f>
        <v>8750000</v>
      </c>
      <c r="I139" s="10">
        <f t="shared" ref="G139:I139" si="99">I135*U139</f>
        <v>375000000000</v>
      </c>
      <c r="J139" s="10">
        <v>200</v>
      </c>
      <c r="K139" s="3">
        <v>100</v>
      </c>
      <c r="L139" s="2">
        <v>1800</v>
      </c>
      <c r="M139" s="2">
        <v>1800</v>
      </c>
      <c r="N139" s="2">
        <v>1800</v>
      </c>
      <c r="O139" s="2">
        <v>99</v>
      </c>
      <c r="P139" s="2">
        <v>0</v>
      </c>
      <c r="Q139" s="16" t="s">
        <v>191</v>
      </c>
      <c r="R139" s="16" t="s">
        <v>189</v>
      </c>
      <c r="S139" s="2">
        <v>1.25</v>
      </c>
      <c r="T139" s="2">
        <v>1.25</v>
      </c>
      <c r="U139" s="2">
        <v>2.5</v>
      </c>
      <c r="V139" s="16" t="s">
        <v>191</v>
      </c>
    </row>
    <row r="141" customHeight="1" spans="3:22">
      <c r="C141" s="5">
        <v>126</v>
      </c>
      <c r="D141" s="5">
        <v>26</v>
      </c>
      <c r="E141" s="11">
        <v>1</v>
      </c>
      <c r="F141" s="11" t="s">
        <v>192</v>
      </c>
      <c r="G141" s="17" t="s">
        <v>193</v>
      </c>
      <c r="H141" s="17" t="s">
        <v>194</v>
      </c>
      <c r="I141" s="17" t="s">
        <v>195</v>
      </c>
      <c r="J141" s="10">
        <v>210</v>
      </c>
      <c r="K141" s="3">
        <v>100</v>
      </c>
      <c r="L141" s="3">
        <v>1800</v>
      </c>
      <c r="M141" s="3">
        <v>1800</v>
      </c>
      <c r="N141" s="3">
        <v>1800</v>
      </c>
      <c r="O141" s="3">
        <v>99</v>
      </c>
      <c r="P141" s="3">
        <v>0</v>
      </c>
      <c r="Q141" s="16" t="s">
        <v>182</v>
      </c>
      <c r="R141" s="16" t="s">
        <v>183</v>
      </c>
      <c r="S141" s="3">
        <v>1</v>
      </c>
      <c r="T141" s="3">
        <v>1</v>
      </c>
      <c r="U141" s="3">
        <v>1</v>
      </c>
      <c r="V141" s="16" t="s">
        <v>184</v>
      </c>
    </row>
    <row r="142" customHeight="1" spans="3:22">
      <c r="C142" s="5">
        <v>127</v>
      </c>
      <c r="D142" s="5">
        <v>26</v>
      </c>
      <c r="E142" s="5">
        <v>2</v>
      </c>
      <c r="F142" s="5" t="s">
        <v>192</v>
      </c>
      <c r="G142" s="10">
        <f>G141*S142</f>
        <v>13200000</v>
      </c>
      <c r="H142" s="10">
        <f>H141*T142</f>
        <v>8800000</v>
      </c>
      <c r="I142" s="10">
        <f t="shared" ref="G142:I142" si="100">I141*U142</f>
        <v>360000000000</v>
      </c>
      <c r="J142" s="10">
        <f t="shared" ref="J142:J145" si="101">J141+10</f>
        <v>220</v>
      </c>
      <c r="K142" s="3">
        <v>100</v>
      </c>
      <c r="L142" s="2">
        <v>1800</v>
      </c>
      <c r="M142" s="2">
        <v>1800</v>
      </c>
      <c r="N142" s="2">
        <v>1800</v>
      </c>
      <c r="O142" s="2">
        <v>99</v>
      </c>
      <c r="P142" s="2">
        <v>0</v>
      </c>
      <c r="Q142" s="16" t="s">
        <v>185</v>
      </c>
      <c r="R142" s="16" t="s">
        <v>183</v>
      </c>
      <c r="S142" s="2">
        <v>1.1</v>
      </c>
      <c r="T142" s="2">
        <v>1.1</v>
      </c>
      <c r="U142" s="2">
        <v>1.2</v>
      </c>
      <c r="V142" s="16" t="s">
        <v>186</v>
      </c>
    </row>
    <row r="143" customHeight="1" spans="3:22">
      <c r="C143" s="5">
        <v>128</v>
      </c>
      <c r="D143" s="5">
        <v>26</v>
      </c>
      <c r="E143" s="5">
        <v>3</v>
      </c>
      <c r="F143" s="5" t="s">
        <v>192</v>
      </c>
      <c r="G143" s="10">
        <f>G141*S143</f>
        <v>13800000</v>
      </c>
      <c r="H143" s="10">
        <f>H141*T143</f>
        <v>9200000</v>
      </c>
      <c r="I143" s="10">
        <f t="shared" ref="G143:I143" si="102">I141*U143</f>
        <v>450000000000</v>
      </c>
      <c r="J143" s="10">
        <f t="shared" si="101"/>
        <v>230</v>
      </c>
      <c r="K143" s="3">
        <v>100</v>
      </c>
      <c r="L143" s="2">
        <v>1800</v>
      </c>
      <c r="M143" s="2">
        <v>1800</v>
      </c>
      <c r="N143" s="2">
        <v>1800</v>
      </c>
      <c r="O143" s="2">
        <v>99</v>
      </c>
      <c r="P143" s="2">
        <v>0</v>
      </c>
      <c r="Q143" s="16" t="s">
        <v>182</v>
      </c>
      <c r="R143" s="16" t="s">
        <v>183</v>
      </c>
      <c r="S143" s="2">
        <v>1.15</v>
      </c>
      <c r="T143" s="2">
        <v>1.15</v>
      </c>
      <c r="U143" s="2">
        <v>1.5</v>
      </c>
      <c r="V143" s="16" t="s">
        <v>184</v>
      </c>
    </row>
    <row r="144" customHeight="1" spans="3:22">
      <c r="C144" s="5">
        <v>129</v>
      </c>
      <c r="D144" s="5">
        <v>26</v>
      </c>
      <c r="E144" s="5">
        <v>4</v>
      </c>
      <c r="F144" s="5" t="s">
        <v>196</v>
      </c>
      <c r="G144" s="10">
        <f>G141*S144</f>
        <v>14400000</v>
      </c>
      <c r="H144" s="10">
        <f>H141*T144</f>
        <v>9600000</v>
      </c>
      <c r="I144" s="10">
        <f t="shared" ref="G144:I144" si="103">I141*U144</f>
        <v>540000000000</v>
      </c>
      <c r="J144" s="10">
        <f t="shared" si="101"/>
        <v>240</v>
      </c>
      <c r="K144" s="3">
        <v>100</v>
      </c>
      <c r="L144" s="2">
        <v>1800</v>
      </c>
      <c r="M144" s="2">
        <v>1800</v>
      </c>
      <c r="N144" s="2">
        <v>1800</v>
      </c>
      <c r="O144" s="2">
        <v>99</v>
      </c>
      <c r="P144" s="2">
        <v>0</v>
      </c>
      <c r="Q144" s="16" t="s">
        <v>188</v>
      </c>
      <c r="R144" s="16" t="s">
        <v>189</v>
      </c>
      <c r="S144" s="2">
        <v>1.2</v>
      </c>
      <c r="T144" s="2">
        <v>1.2</v>
      </c>
      <c r="U144" s="2">
        <v>1.8</v>
      </c>
      <c r="V144" s="16" t="s">
        <v>117</v>
      </c>
    </row>
    <row r="145" customHeight="1" spans="3:22">
      <c r="C145" s="5">
        <v>130</v>
      </c>
      <c r="D145" s="5">
        <v>26</v>
      </c>
      <c r="E145" s="5">
        <v>5</v>
      </c>
      <c r="F145" s="5" t="s">
        <v>197</v>
      </c>
      <c r="G145" s="10">
        <f>G141*S145</f>
        <v>15000000</v>
      </c>
      <c r="H145" s="10">
        <f>H141*T145</f>
        <v>10000000</v>
      </c>
      <c r="I145" s="10">
        <f t="shared" ref="G145:I145" si="104">I141*U145</f>
        <v>750000000000</v>
      </c>
      <c r="J145" s="10">
        <f t="shared" si="101"/>
        <v>250</v>
      </c>
      <c r="K145" s="3">
        <v>100</v>
      </c>
      <c r="L145" s="2">
        <v>1800</v>
      </c>
      <c r="M145" s="2">
        <v>1800</v>
      </c>
      <c r="N145" s="2">
        <v>1800</v>
      </c>
      <c r="O145" s="2">
        <v>99</v>
      </c>
      <c r="P145" s="2">
        <v>0</v>
      </c>
      <c r="Q145" s="16" t="s">
        <v>191</v>
      </c>
      <c r="R145" s="16" t="s">
        <v>189</v>
      </c>
      <c r="S145" s="2">
        <v>1.25</v>
      </c>
      <c r="T145" s="2">
        <v>1.25</v>
      </c>
      <c r="U145" s="2">
        <v>2.5</v>
      </c>
      <c r="V145" s="16" t="s">
        <v>191</v>
      </c>
    </row>
    <row r="147" customHeight="1" spans="3:22">
      <c r="C147" s="5">
        <v>131</v>
      </c>
      <c r="D147" s="5">
        <v>27</v>
      </c>
      <c r="E147" s="11">
        <v>1</v>
      </c>
      <c r="F147" s="11" t="s">
        <v>198</v>
      </c>
      <c r="G147" s="17" t="s">
        <v>199</v>
      </c>
      <c r="H147" s="17" t="s">
        <v>179</v>
      </c>
      <c r="I147" s="17" t="s">
        <v>200</v>
      </c>
      <c r="J147" s="10">
        <v>220</v>
      </c>
      <c r="K147" s="3">
        <v>100</v>
      </c>
      <c r="L147" s="3">
        <v>1800</v>
      </c>
      <c r="M147" s="3">
        <v>1800</v>
      </c>
      <c r="N147" s="3">
        <v>1800</v>
      </c>
      <c r="O147" s="3">
        <v>99</v>
      </c>
      <c r="P147" s="3">
        <v>0</v>
      </c>
      <c r="Q147" s="16" t="s">
        <v>182</v>
      </c>
      <c r="R147" s="16" t="s">
        <v>183</v>
      </c>
      <c r="S147" s="3">
        <v>1</v>
      </c>
      <c r="T147" s="3">
        <v>1</v>
      </c>
      <c r="U147" s="3">
        <v>1</v>
      </c>
      <c r="V147" s="16" t="s">
        <v>184</v>
      </c>
    </row>
    <row r="148" customHeight="1" spans="3:22">
      <c r="C148" s="5">
        <v>132</v>
      </c>
      <c r="D148" s="5">
        <v>27</v>
      </c>
      <c r="E148" s="5">
        <v>2</v>
      </c>
      <c r="F148" s="5" t="s">
        <v>198</v>
      </c>
      <c r="G148" s="10">
        <f>G147*S148</f>
        <v>16500000</v>
      </c>
      <c r="H148" s="10">
        <f>H147*T148</f>
        <v>9900000</v>
      </c>
      <c r="I148" s="10">
        <f t="shared" ref="G148:I148" si="105">I147*U148</f>
        <v>600000000000</v>
      </c>
      <c r="J148" s="10">
        <f t="shared" ref="J148:J151" si="106">J147+10</f>
        <v>230</v>
      </c>
      <c r="K148" s="3">
        <v>100</v>
      </c>
      <c r="L148" s="2">
        <v>1800</v>
      </c>
      <c r="M148" s="2">
        <v>1800</v>
      </c>
      <c r="N148" s="2">
        <v>1800</v>
      </c>
      <c r="O148" s="2">
        <v>99</v>
      </c>
      <c r="P148" s="2">
        <v>0</v>
      </c>
      <c r="Q148" s="16" t="s">
        <v>185</v>
      </c>
      <c r="R148" s="16" t="s">
        <v>183</v>
      </c>
      <c r="S148" s="2">
        <v>1.1</v>
      </c>
      <c r="T148" s="2">
        <v>1.1</v>
      </c>
      <c r="U148" s="2">
        <v>1.2</v>
      </c>
      <c r="V148" s="16" t="s">
        <v>186</v>
      </c>
    </row>
    <row r="149" customHeight="1" spans="3:22">
      <c r="C149" s="5">
        <v>133</v>
      </c>
      <c r="D149" s="5">
        <v>27</v>
      </c>
      <c r="E149" s="5">
        <v>3</v>
      </c>
      <c r="F149" s="5" t="s">
        <v>198</v>
      </c>
      <c r="G149" s="10">
        <f>G147*S149</f>
        <v>17250000</v>
      </c>
      <c r="H149" s="10">
        <f>H147*T149</f>
        <v>10350000</v>
      </c>
      <c r="I149" s="10">
        <f t="shared" ref="G149:I149" si="107">I147*U149</f>
        <v>750000000000</v>
      </c>
      <c r="J149" s="10">
        <f t="shared" si="106"/>
        <v>240</v>
      </c>
      <c r="K149" s="3">
        <v>100</v>
      </c>
      <c r="L149" s="2">
        <v>1800</v>
      </c>
      <c r="M149" s="2">
        <v>1800</v>
      </c>
      <c r="N149" s="2">
        <v>1800</v>
      </c>
      <c r="O149" s="2">
        <v>99</v>
      </c>
      <c r="P149" s="2">
        <v>0</v>
      </c>
      <c r="Q149" s="16" t="s">
        <v>182</v>
      </c>
      <c r="R149" s="16" t="s">
        <v>183</v>
      </c>
      <c r="S149" s="2">
        <v>1.15</v>
      </c>
      <c r="T149" s="2">
        <v>1.15</v>
      </c>
      <c r="U149" s="2">
        <v>1.5</v>
      </c>
      <c r="V149" s="16" t="s">
        <v>184</v>
      </c>
    </row>
    <row r="150" customHeight="1" spans="3:22">
      <c r="C150" s="5">
        <v>134</v>
      </c>
      <c r="D150" s="5">
        <v>27</v>
      </c>
      <c r="E150" s="5">
        <v>4</v>
      </c>
      <c r="F150" s="5" t="s">
        <v>201</v>
      </c>
      <c r="G150" s="10">
        <f>G147*S150</f>
        <v>18000000</v>
      </c>
      <c r="H150" s="10">
        <f>H147*T150</f>
        <v>10800000</v>
      </c>
      <c r="I150" s="10">
        <f t="shared" ref="G150:I150" si="108">I147*U150</f>
        <v>900000000000</v>
      </c>
      <c r="J150" s="10">
        <f t="shared" si="106"/>
        <v>250</v>
      </c>
      <c r="K150" s="3">
        <v>100</v>
      </c>
      <c r="L150" s="2">
        <v>1800</v>
      </c>
      <c r="M150" s="2">
        <v>1800</v>
      </c>
      <c r="N150" s="2">
        <v>1800</v>
      </c>
      <c r="O150" s="2">
        <v>99</v>
      </c>
      <c r="P150" s="2">
        <v>0</v>
      </c>
      <c r="Q150" s="16" t="s">
        <v>188</v>
      </c>
      <c r="R150" s="16" t="s">
        <v>189</v>
      </c>
      <c r="S150" s="2">
        <v>1.2</v>
      </c>
      <c r="T150" s="2">
        <v>1.2</v>
      </c>
      <c r="U150" s="2">
        <v>1.8</v>
      </c>
      <c r="V150" s="16" t="s">
        <v>117</v>
      </c>
    </row>
    <row r="151" customHeight="1" spans="3:22">
      <c r="C151" s="5">
        <v>135</v>
      </c>
      <c r="D151" s="5">
        <v>27</v>
      </c>
      <c r="E151" s="5">
        <v>5</v>
      </c>
      <c r="F151" s="5" t="s">
        <v>202</v>
      </c>
      <c r="G151" s="10">
        <f>G147*S151</f>
        <v>18750000</v>
      </c>
      <c r="H151" s="10">
        <f>H147*T151</f>
        <v>11250000</v>
      </c>
      <c r="I151" s="10">
        <f t="shared" ref="G151:I151" si="109">I147*U151</f>
        <v>1250000000000</v>
      </c>
      <c r="J151" s="10">
        <f t="shared" si="106"/>
        <v>260</v>
      </c>
      <c r="K151" s="3">
        <v>100</v>
      </c>
      <c r="L151" s="2">
        <v>1800</v>
      </c>
      <c r="M151" s="2">
        <v>1800</v>
      </c>
      <c r="N151" s="2">
        <v>1800</v>
      </c>
      <c r="O151" s="2">
        <v>99</v>
      </c>
      <c r="P151" s="2">
        <v>0</v>
      </c>
      <c r="Q151" s="16" t="s">
        <v>191</v>
      </c>
      <c r="R151" s="16" t="s">
        <v>189</v>
      </c>
      <c r="S151" s="2">
        <v>1.25</v>
      </c>
      <c r="T151" s="2">
        <v>1.25</v>
      </c>
      <c r="U151" s="2">
        <v>2.5</v>
      </c>
      <c r="V151" s="16" t="s">
        <v>191</v>
      </c>
    </row>
    <row r="153" customHeight="1" spans="3:22">
      <c r="C153" s="5">
        <v>136</v>
      </c>
      <c r="D153" s="5">
        <v>28</v>
      </c>
      <c r="E153" s="11">
        <v>1</v>
      </c>
      <c r="F153" s="11" t="s">
        <v>203</v>
      </c>
      <c r="G153" s="17" t="s">
        <v>34</v>
      </c>
      <c r="H153" s="17" t="s">
        <v>23</v>
      </c>
      <c r="I153" s="17" t="s">
        <v>204</v>
      </c>
      <c r="J153" s="10">
        <v>230</v>
      </c>
      <c r="K153" s="3">
        <v>100</v>
      </c>
      <c r="L153" s="3">
        <v>1800</v>
      </c>
      <c r="M153" s="3">
        <v>1800</v>
      </c>
      <c r="N153" s="3">
        <v>1800</v>
      </c>
      <c r="O153" s="3">
        <v>99</v>
      </c>
      <c r="P153" s="3">
        <v>0</v>
      </c>
      <c r="Q153" s="16" t="s">
        <v>182</v>
      </c>
      <c r="R153" s="16" t="s">
        <v>183</v>
      </c>
      <c r="S153" s="3">
        <v>1</v>
      </c>
      <c r="T153" s="3">
        <v>1</v>
      </c>
      <c r="U153" s="3">
        <v>1</v>
      </c>
      <c r="V153" s="16" t="s">
        <v>184</v>
      </c>
    </row>
    <row r="154" customHeight="1" spans="3:22">
      <c r="C154" s="5">
        <v>137</v>
      </c>
      <c r="D154" s="5">
        <v>28</v>
      </c>
      <c r="E154" s="5">
        <v>2</v>
      </c>
      <c r="F154" s="5" t="s">
        <v>203</v>
      </c>
      <c r="G154" s="10">
        <f>G153*S154</f>
        <v>22000000</v>
      </c>
      <c r="H154" s="10">
        <f>H153*T154</f>
        <v>11000000</v>
      </c>
      <c r="I154" s="10">
        <f t="shared" ref="G154:I154" si="110">I153*U154</f>
        <v>960000000000</v>
      </c>
      <c r="J154" s="10">
        <f t="shared" ref="J154:J157" si="111">J153+10</f>
        <v>240</v>
      </c>
      <c r="K154" s="3">
        <v>100</v>
      </c>
      <c r="L154" s="2">
        <v>1800</v>
      </c>
      <c r="M154" s="2">
        <v>1800</v>
      </c>
      <c r="N154" s="2">
        <v>1800</v>
      </c>
      <c r="O154" s="2">
        <v>99</v>
      </c>
      <c r="P154" s="2">
        <v>0</v>
      </c>
      <c r="Q154" s="16" t="s">
        <v>185</v>
      </c>
      <c r="R154" s="16" t="s">
        <v>183</v>
      </c>
      <c r="S154" s="2">
        <v>1.1</v>
      </c>
      <c r="T154" s="2">
        <v>1.1</v>
      </c>
      <c r="U154" s="2">
        <v>1.2</v>
      </c>
      <c r="V154" s="16" t="s">
        <v>186</v>
      </c>
    </row>
    <row r="155" customHeight="1" spans="3:22">
      <c r="C155" s="5">
        <v>138</v>
      </c>
      <c r="D155" s="5">
        <v>28</v>
      </c>
      <c r="E155" s="5">
        <v>3</v>
      </c>
      <c r="F155" s="5" t="s">
        <v>203</v>
      </c>
      <c r="G155" s="10">
        <f>G153*S155</f>
        <v>23000000</v>
      </c>
      <c r="H155" s="10">
        <f>H153*T155</f>
        <v>11500000</v>
      </c>
      <c r="I155" s="10">
        <f t="shared" ref="G155:I155" si="112">I153*U155</f>
        <v>1200000000000</v>
      </c>
      <c r="J155" s="10">
        <f t="shared" si="111"/>
        <v>250</v>
      </c>
      <c r="K155" s="3">
        <v>100</v>
      </c>
      <c r="L155" s="2">
        <v>1800</v>
      </c>
      <c r="M155" s="2">
        <v>1800</v>
      </c>
      <c r="N155" s="2">
        <v>1800</v>
      </c>
      <c r="O155" s="2">
        <v>99</v>
      </c>
      <c r="P155" s="2">
        <v>0</v>
      </c>
      <c r="Q155" s="16" t="s">
        <v>182</v>
      </c>
      <c r="R155" s="16" t="s">
        <v>183</v>
      </c>
      <c r="S155" s="2">
        <v>1.15</v>
      </c>
      <c r="T155" s="2">
        <v>1.15</v>
      </c>
      <c r="U155" s="2">
        <v>1.5</v>
      </c>
      <c r="V155" s="16" t="s">
        <v>184</v>
      </c>
    </row>
    <row r="156" customHeight="1" spans="3:22">
      <c r="C156" s="5">
        <v>139</v>
      </c>
      <c r="D156" s="5">
        <v>28</v>
      </c>
      <c r="E156" s="5">
        <v>4</v>
      </c>
      <c r="F156" s="5" t="s">
        <v>205</v>
      </c>
      <c r="G156" s="10">
        <f>G153*S156</f>
        <v>24000000</v>
      </c>
      <c r="H156" s="10">
        <f>H153*T156</f>
        <v>12000000</v>
      </c>
      <c r="I156" s="10">
        <f t="shared" ref="G156:I156" si="113">I153*U156</f>
        <v>1440000000000</v>
      </c>
      <c r="J156" s="10">
        <f t="shared" si="111"/>
        <v>260</v>
      </c>
      <c r="K156" s="3">
        <v>100</v>
      </c>
      <c r="L156" s="2">
        <v>1800</v>
      </c>
      <c r="M156" s="2">
        <v>1800</v>
      </c>
      <c r="N156" s="2">
        <v>1800</v>
      </c>
      <c r="O156" s="2">
        <v>99</v>
      </c>
      <c r="P156" s="2">
        <v>0</v>
      </c>
      <c r="Q156" s="16" t="s">
        <v>188</v>
      </c>
      <c r="R156" s="16" t="s">
        <v>189</v>
      </c>
      <c r="S156" s="2">
        <v>1.2</v>
      </c>
      <c r="T156" s="2">
        <v>1.2</v>
      </c>
      <c r="U156" s="2">
        <v>1.8</v>
      </c>
      <c r="V156" s="16" t="s">
        <v>117</v>
      </c>
    </row>
    <row r="157" customHeight="1" spans="3:22">
      <c r="C157" s="5">
        <v>140</v>
      </c>
      <c r="D157" s="5">
        <v>28</v>
      </c>
      <c r="E157" s="5">
        <v>5</v>
      </c>
      <c r="F157" s="5" t="s">
        <v>206</v>
      </c>
      <c r="G157" s="10">
        <f>G153*S157</f>
        <v>25000000</v>
      </c>
      <c r="H157" s="10">
        <f>H153*T157</f>
        <v>12500000</v>
      </c>
      <c r="I157" s="10">
        <f t="shared" ref="G157:I157" si="114">I153*U157</f>
        <v>2000000000000</v>
      </c>
      <c r="J157" s="10">
        <f t="shared" si="111"/>
        <v>270</v>
      </c>
      <c r="K157" s="3">
        <v>100</v>
      </c>
      <c r="L157" s="2">
        <v>1800</v>
      </c>
      <c r="M157" s="2">
        <v>1800</v>
      </c>
      <c r="N157" s="2">
        <v>1800</v>
      </c>
      <c r="O157" s="2">
        <v>99</v>
      </c>
      <c r="P157" s="2">
        <v>0</v>
      </c>
      <c r="Q157" s="16" t="s">
        <v>191</v>
      </c>
      <c r="R157" s="16" t="s">
        <v>189</v>
      </c>
      <c r="S157" s="2">
        <v>1.25</v>
      </c>
      <c r="T157" s="2">
        <v>1.25</v>
      </c>
      <c r="U157" s="2">
        <v>2.5</v>
      </c>
      <c r="V157" s="16" t="s">
        <v>191</v>
      </c>
    </row>
    <row r="159" customHeight="1" spans="3:22">
      <c r="C159" s="5">
        <v>141</v>
      </c>
      <c r="D159" s="5">
        <v>29</v>
      </c>
      <c r="E159" s="11">
        <v>1</v>
      </c>
      <c r="F159" s="11" t="s">
        <v>207</v>
      </c>
      <c r="G159" s="17" t="s">
        <v>208</v>
      </c>
      <c r="H159" s="17" t="s">
        <v>209</v>
      </c>
      <c r="I159" s="17" t="s">
        <v>210</v>
      </c>
      <c r="J159" s="10">
        <v>240</v>
      </c>
      <c r="K159" s="3">
        <v>100</v>
      </c>
      <c r="L159" s="3">
        <v>1800</v>
      </c>
      <c r="M159" s="3">
        <v>1800</v>
      </c>
      <c r="N159" s="3">
        <v>1800</v>
      </c>
      <c r="O159" s="3">
        <v>99</v>
      </c>
      <c r="P159" s="3">
        <v>0</v>
      </c>
      <c r="Q159" s="16" t="s">
        <v>182</v>
      </c>
      <c r="R159" s="16" t="s">
        <v>183</v>
      </c>
      <c r="S159" s="3">
        <v>1</v>
      </c>
      <c r="T159" s="3">
        <v>1</v>
      </c>
      <c r="U159" s="3">
        <v>1</v>
      </c>
      <c r="V159" s="16" t="s">
        <v>184</v>
      </c>
    </row>
    <row r="160" customHeight="1" spans="3:22">
      <c r="C160" s="5">
        <v>142</v>
      </c>
      <c r="D160" s="5">
        <v>29</v>
      </c>
      <c r="E160" s="5">
        <v>2</v>
      </c>
      <c r="F160" s="5" t="s">
        <v>207</v>
      </c>
      <c r="G160" s="10">
        <f>G159*S160</f>
        <v>29700000</v>
      </c>
      <c r="H160" s="10">
        <f>H159*T160</f>
        <v>12100000</v>
      </c>
      <c r="I160" s="10">
        <f t="shared" ref="G160:I160" si="115">I159*U160</f>
        <v>1680000000000</v>
      </c>
      <c r="J160" s="10">
        <f t="shared" ref="J160:J163" si="116">J159+10</f>
        <v>250</v>
      </c>
      <c r="K160" s="3">
        <v>100</v>
      </c>
      <c r="L160" s="2">
        <v>1800</v>
      </c>
      <c r="M160" s="2">
        <v>1800</v>
      </c>
      <c r="N160" s="2">
        <v>1800</v>
      </c>
      <c r="O160" s="2">
        <v>99</v>
      </c>
      <c r="P160" s="2">
        <v>0</v>
      </c>
      <c r="Q160" s="16" t="s">
        <v>185</v>
      </c>
      <c r="R160" s="16" t="s">
        <v>183</v>
      </c>
      <c r="S160" s="2">
        <v>1.1</v>
      </c>
      <c r="T160" s="2">
        <v>1.1</v>
      </c>
      <c r="U160" s="2">
        <v>1.2</v>
      </c>
      <c r="V160" s="16" t="s">
        <v>186</v>
      </c>
    </row>
    <row r="161" customHeight="1" spans="3:22">
      <c r="C161" s="5">
        <v>143</v>
      </c>
      <c r="D161" s="5">
        <v>29</v>
      </c>
      <c r="E161" s="5">
        <v>3</v>
      </c>
      <c r="F161" s="5" t="s">
        <v>207</v>
      </c>
      <c r="G161" s="10">
        <f>G159*S161</f>
        <v>31050000</v>
      </c>
      <c r="H161" s="10">
        <f>H159*T161</f>
        <v>12650000</v>
      </c>
      <c r="I161" s="10">
        <f t="shared" ref="G161:I161" si="117">I159*U161</f>
        <v>2100000000000</v>
      </c>
      <c r="J161" s="10">
        <f t="shared" si="116"/>
        <v>260</v>
      </c>
      <c r="K161" s="3">
        <v>100</v>
      </c>
      <c r="L161" s="2">
        <v>1800</v>
      </c>
      <c r="M161" s="2">
        <v>1800</v>
      </c>
      <c r="N161" s="2">
        <v>1800</v>
      </c>
      <c r="O161" s="2">
        <v>99</v>
      </c>
      <c r="P161" s="2">
        <v>0</v>
      </c>
      <c r="Q161" s="16" t="s">
        <v>182</v>
      </c>
      <c r="R161" s="16" t="s">
        <v>183</v>
      </c>
      <c r="S161" s="2">
        <v>1.15</v>
      </c>
      <c r="T161" s="2">
        <v>1.15</v>
      </c>
      <c r="U161" s="2">
        <v>1.5</v>
      </c>
      <c r="V161" s="16" t="s">
        <v>184</v>
      </c>
    </row>
    <row r="162" customHeight="1" spans="3:22">
      <c r="C162" s="5">
        <v>144</v>
      </c>
      <c r="D162" s="5">
        <v>29</v>
      </c>
      <c r="E162" s="5">
        <v>4</v>
      </c>
      <c r="F162" s="5" t="s">
        <v>211</v>
      </c>
      <c r="G162" s="10">
        <f>G159*S162</f>
        <v>32400000</v>
      </c>
      <c r="H162" s="10">
        <f>H159*T162</f>
        <v>13200000</v>
      </c>
      <c r="I162" s="10">
        <f t="shared" ref="G162:I162" si="118">I159*U162</f>
        <v>2520000000000</v>
      </c>
      <c r="J162" s="10">
        <f t="shared" si="116"/>
        <v>270</v>
      </c>
      <c r="K162" s="3">
        <v>100</v>
      </c>
      <c r="L162" s="2">
        <v>1800</v>
      </c>
      <c r="M162" s="2">
        <v>1800</v>
      </c>
      <c r="N162" s="2">
        <v>1800</v>
      </c>
      <c r="O162" s="2">
        <v>99</v>
      </c>
      <c r="P162" s="2">
        <v>0</v>
      </c>
      <c r="Q162" s="16" t="s">
        <v>188</v>
      </c>
      <c r="R162" s="16" t="s">
        <v>189</v>
      </c>
      <c r="S162" s="2">
        <v>1.2</v>
      </c>
      <c r="T162" s="2">
        <v>1.2</v>
      </c>
      <c r="U162" s="2">
        <v>1.8</v>
      </c>
      <c r="V162" s="16" t="s">
        <v>117</v>
      </c>
    </row>
    <row r="163" customHeight="1" spans="3:22">
      <c r="C163" s="5">
        <v>145</v>
      </c>
      <c r="D163" s="5">
        <v>29</v>
      </c>
      <c r="E163" s="5">
        <v>5</v>
      </c>
      <c r="F163" s="5" t="s">
        <v>212</v>
      </c>
      <c r="G163" s="10">
        <f>G159*S163</f>
        <v>33750000</v>
      </c>
      <c r="H163" s="10">
        <f>H159*T163</f>
        <v>13750000</v>
      </c>
      <c r="I163" s="10">
        <f t="shared" ref="G163:I163" si="119">I159*U163</f>
        <v>3500000000000</v>
      </c>
      <c r="J163" s="10">
        <f t="shared" si="116"/>
        <v>280</v>
      </c>
      <c r="K163" s="3">
        <v>100</v>
      </c>
      <c r="L163" s="2">
        <v>1800</v>
      </c>
      <c r="M163" s="2">
        <v>1800</v>
      </c>
      <c r="N163" s="2">
        <v>1800</v>
      </c>
      <c r="O163" s="2">
        <v>99</v>
      </c>
      <c r="P163" s="2">
        <v>0</v>
      </c>
      <c r="Q163" s="16" t="s">
        <v>191</v>
      </c>
      <c r="R163" s="16" t="s">
        <v>189</v>
      </c>
      <c r="S163" s="2">
        <v>1.25</v>
      </c>
      <c r="T163" s="2">
        <v>1.25</v>
      </c>
      <c r="U163" s="2">
        <v>2.5</v>
      </c>
      <c r="V163" s="16" t="s">
        <v>191</v>
      </c>
    </row>
    <row r="165" customHeight="1" spans="3:22">
      <c r="C165" s="5">
        <v>146</v>
      </c>
      <c r="D165" s="5">
        <v>30</v>
      </c>
      <c r="E165" s="11">
        <v>1</v>
      </c>
      <c r="F165" s="11" t="s">
        <v>213</v>
      </c>
      <c r="G165" s="17" t="s">
        <v>214</v>
      </c>
      <c r="H165" s="17" t="s">
        <v>193</v>
      </c>
      <c r="I165" s="17" t="s">
        <v>215</v>
      </c>
      <c r="J165" s="10">
        <v>240</v>
      </c>
      <c r="K165" s="3">
        <v>100</v>
      </c>
      <c r="L165" s="3">
        <v>1800</v>
      </c>
      <c r="M165" s="3">
        <v>1800</v>
      </c>
      <c r="N165" s="3">
        <v>1800</v>
      </c>
      <c r="O165" s="3">
        <v>99</v>
      </c>
      <c r="P165" s="3">
        <v>0</v>
      </c>
      <c r="Q165" s="16" t="s">
        <v>182</v>
      </c>
      <c r="R165" s="16" t="s">
        <v>183</v>
      </c>
      <c r="S165" s="3">
        <v>1</v>
      </c>
      <c r="T165" s="3">
        <v>1</v>
      </c>
      <c r="U165" s="3">
        <v>1</v>
      </c>
      <c r="V165" s="16" t="s">
        <v>184</v>
      </c>
    </row>
    <row r="166" customHeight="1" spans="3:22">
      <c r="C166" s="5">
        <v>147</v>
      </c>
      <c r="D166" s="5">
        <v>30</v>
      </c>
      <c r="E166" s="5">
        <v>2</v>
      </c>
      <c r="F166" s="5" t="s">
        <v>213</v>
      </c>
      <c r="G166" s="10">
        <f t="shared" ref="G166:I166" si="120">G165*S166</f>
        <v>39600000</v>
      </c>
      <c r="H166" s="10">
        <f t="shared" si="120"/>
        <v>13200000</v>
      </c>
      <c r="I166" s="10">
        <f t="shared" si="120"/>
        <v>2400000000000</v>
      </c>
      <c r="J166" s="10">
        <f t="shared" ref="J166:J169" si="121">J165+10</f>
        <v>250</v>
      </c>
      <c r="K166" s="3">
        <v>100</v>
      </c>
      <c r="L166" s="2">
        <v>1800</v>
      </c>
      <c r="M166" s="2">
        <v>1800</v>
      </c>
      <c r="N166" s="2">
        <v>1800</v>
      </c>
      <c r="O166" s="2">
        <v>99</v>
      </c>
      <c r="P166" s="2">
        <v>0</v>
      </c>
      <c r="Q166" s="16" t="s">
        <v>185</v>
      </c>
      <c r="R166" s="16" t="s">
        <v>183</v>
      </c>
      <c r="S166" s="2">
        <v>1.1</v>
      </c>
      <c r="T166" s="2">
        <v>1.1</v>
      </c>
      <c r="U166" s="2">
        <v>1.2</v>
      </c>
      <c r="V166" s="16" t="s">
        <v>186</v>
      </c>
    </row>
    <row r="167" customHeight="1" spans="3:22">
      <c r="C167" s="5">
        <v>148</v>
      </c>
      <c r="D167" s="5">
        <v>30</v>
      </c>
      <c r="E167" s="5">
        <v>3</v>
      </c>
      <c r="F167" s="5" t="s">
        <v>213</v>
      </c>
      <c r="G167" s="10">
        <f t="shared" ref="G167:I167" si="122">G165*S167</f>
        <v>41400000</v>
      </c>
      <c r="H167" s="10">
        <f t="shared" si="122"/>
        <v>13800000</v>
      </c>
      <c r="I167" s="10">
        <f t="shared" si="122"/>
        <v>3000000000000</v>
      </c>
      <c r="J167" s="10">
        <f t="shared" si="121"/>
        <v>260</v>
      </c>
      <c r="K167" s="3">
        <v>100</v>
      </c>
      <c r="L167" s="2">
        <v>1800</v>
      </c>
      <c r="M167" s="2">
        <v>1800</v>
      </c>
      <c r="N167" s="2">
        <v>1800</v>
      </c>
      <c r="O167" s="2">
        <v>99</v>
      </c>
      <c r="P167" s="2">
        <v>0</v>
      </c>
      <c r="Q167" s="16" t="s">
        <v>182</v>
      </c>
      <c r="R167" s="16" t="s">
        <v>183</v>
      </c>
      <c r="S167" s="2">
        <v>1.15</v>
      </c>
      <c r="T167" s="2">
        <v>1.15</v>
      </c>
      <c r="U167" s="2">
        <v>1.5</v>
      </c>
      <c r="V167" s="16" t="s">
        <v>184</v>
      </c>
    </row>
    <row r="168" customHeight="1" spans="3:22">
      <c r="C168" s="5">
        <v>149</v>
      </c>
      <c r="D168" s="5">
        <v>30</v>
      </c>
      <c r="E168" s="5">
        <v>4</v>
      </c>
      <c r="F168" s="5" t="s">
        <v>216</v>
      </c>
      <c r="G168" s="10">
        <f t="shared" ref="G168:I168" si="123">G165*S168</f>
        <v>43200000</v>
      </c>
      <c r="H168" s="10">
        <f t="shared" si="123"/>
        <v>14400000</v>
      </c>
      <c r="I168" s="10">
        <f t="shared" si="123"/>
        <v>3600000000000</v>
      </c>
      <c r="J168" s="10">
        <f t="shared" si="121"/>
        <v>270</v>
      </c>
      <c r="K168" s="3">
        <v>100</v>
      </c>
      <c r="L168" s="2">
        <v>1800</v>
      </c>
      <c r="M168" s="2">
        <v>1800</v>
      </c>
      <c r="N168" s="2">
        <v>1800</v>
      </c>
      <c r="O168" s="2">
        <v>99</v>
      </c>
      <c r="P168" s="2">
        <v>0</v>
      </c>
      <c r="Q168" s="16" t="s">
        <v>188</v>
      </c>
      <c r="R168" s="16" t="s">
        <v>189</v>
      </c>
      <c r="S168" s="2">
        <v>1.2</v>
      </c>
      <c r="T168" s="2">
        <v>1.2</v>
      </c>
      <c r="U168" s="2">
        <v>1.8</v>
      </c>
      <c r="V168" s="16" t="s">
        <v>117</v>
      </c>
    </row>
    <row r="169" customHeight="1" spans="3:22">
      <c r="C169" s="5">
        <v>150</v>
      </c>
      <c r="D169" s="5">
        <v>30</v>
      </c>
      <c r="E169" s="5">
        <v>5</v>
      </c>
      <c r="F169" s="5" t="s">
        <v>217</v>
      </c>
      <c r="G169" s="10">
        <f t="shared" ref="G169:I169" si="124">G165*S169</f>
        <v>45000000</v>
      </c>
      <c r="H169" s="10">
        <f t="shared" si="124"/>
        <v>15000000</v>
      </c>
      <c r="I169" s="10">
        <f t="shared" si="124"/>
        <v>5000000000000</v>
      </c>
      <c r="J169" s="10">
        <f t="shared" si="121"/>
        <v>280</v>
      </c>
      <c r="K169" s="3">
        <v>100</v>
      </c>
      <c r="L169" s="2">
        <v>1800</v>
      </c>
      <c r="M169" s="2">
        <v>1800</v>
      </c>
      <c r="N169" s="2">
        <v>1800</v>
      </c>
      <c r="O169" s="2">
        <v>99</v>
      </c>
      <c r="P169" s="2">
        <v>0</v>
      </c>
      <c r="Q169" s="16" t="s">
        <v>191</v>
      </c>
      <c r="R169" s="16" t="s">
        <v>189</v>
      </c>
      <c r="S169" s="2">
        <v>1.25</v>
      </c>
      <c r="T169" s="2">
        <v>1.25</v>
      </c>
      <c r="U169" s="2">
        <v>2.5</v>
      </c>
      <c r="V169" s="16" t="s">
        <v>191</v>
      </c>
    </row>
    <row r="171" customHeight="1" spans="3:22">
      <c r="C171" s="5">
        <v>151</v>
      </c>
      <c r="D171" s="5">
        <v>31</v>
      </c>
      <c r="E171" s="11">
        <v>1</v>
      </c>
      <c r="F171" s="11" t="s">
        <v>218</v>
      </c>
      <c r="G171" s="17" t="s">
        <v>219</v>
      </c>
      <c r="H171" s="17" t="s">
        <v>220</v>
      </c>
      <c r="I171" s="17" t="s">
        <v>221</v>
      </c>
      <c r="J171" s="10">
        <v>250</v>
      </c>
      <c r="K171" s="3">
        <v>100</v>
      </c>
      <c r="L171" s="3">
        <v>1800</v>
      </c>
      <c r="M171" s="3">
        <v>1800</v>
      </c>
      <c r="N171" s="3">
        <v>1800</v>
      </c>
      <c r="O171" s="3">
        <v>99</v>
      </c>
      <c r="P171" s="3">
        <v>0</v>
      </c>
      <c r="Q171" s="16" t="s">
        <v>182</v>
      </c>
      <c r="R171" s="16" t="s">
        <v>183</v>
      </c>
      <c r="S171" s="3">
        <v>1</v>
      </c>
      <c r="T171" s="3">
        <v>1</v>
      </c>
      <c r="U171" s="3">
        <v>1</v>
      </c>
      <c r="V171" s="16" t="s">
        <v>184</v>
      </c>
    </row>
    <row r="172" customHeight="1" spans="3:22">
      <c r="C172" s="5">
        <v>152</v>
      </c>
      <c r="D172" s="5">
        <v>31</v>
      </c>
      <c r="E172" s="5">
        <v>2</v>
      </c>
      <c r="F172" s="5" t="s">
        <v>218</v>
      </c>
      <c r="G172" s="10">
        <f t="shared" ref="G172:I172" si="125">G171*S172</f>
        <v>49500000</v>
      </c>
      <c r="H172" s="10">
        <f t="shared" si="125"/>
        <v>14300000</v>
      </c>
      <c r="I172" s="10">
        <f t="shared" si="125"/>
        <v>3600000000000</v>
      </c>
      <c r="J172" s="10">
        <f t="shared" ref="J172:J175" si="126">J171+10</f>
        <v>260</v>
      </c>
      <c r="K172" s="3">
        <v>100</v>
      </c>
      <c r="L172" s="2">
        <v>1800</v>
      </c>
      <c r="M172" s="2">
        <v>1800</v>
      </c>
      <c r="N172" s="2">
        <v>1800</v>
      </c>
      <c r="O172" s="2">
        <v>99</v>
      </c>
      <c r="P172" s="2">
        <v>0</v>
      </c>
      <c r="Q172" s="16" t="s">
        <v>185</v>
      </c>
      <c r="R172" s="16" t="s">
        <v>183</v>
      </c>
      <c r="S172" s="2">
        <v>1.1</v>
      </c>
      <c r="T172" s="2">
        <v>1.1</v>
      </c>
      <c r="U172" s="2">
        <v>1.2</v>
      </c>
      <c r="V172" s="16" t="s">
        <v>186</v>
      </c>
    </row>
    <row r="173" customHeight="1" spans="3:22">
      <c r="C173" s="5">
        <v>153</v>
      </c>
      <c r="D173" s="5">
        <v>31</v>
      </c>
      <c r="E173" s="5">
        <v>3</v>
      </c>
      <c r="F173" s="5" t="s">
        <v>218</v>
      </c>
      <c r="G173" s="10">
        <f t="shared" ref="G173:I173" si="127">G171*S173</f>
        <v>51750000</v>
      </c>
      <c r="H173" s="10">
        <f t="shared" si="127"/>
        <v>14950000</v>
      </c>
      <c r="I173" s="10">
        <f t="shared" si="127"/>
        <v>4500000000000</v>
      </c>
      <c r="J173" s="10">
        <f t="shared" si="126"/>
        <v>270</v>
      </c>
      <c r="K173" s="3">
        <v>100</v>
      </c>
      <c r="L173" s="2">
        <v>1800</v>
      </c>
      <c r="M173" s="2">
        <v>1800</v>
      </c>
      <c r="N173" s="2">
        <v>1800</v>
      </c>
      <c r="O173" s="2">
        <v>99</v>
      </c>
      <c r="P173" s="2">
        <v>0</v>
      </c>
      <c r="Q173" s="16" t="s">
        <v>182</v>
      </c>
      <c r="R173" s="16" t="s">
        <v>183</v>
      </c>
      <c r="S173" s="2">
        <v>1.15</v>
      </c>
      <c r="T173" s="2">
        <v>1.15</v>
      </c>
      <c r="U173" s="2">
        <v>1.5</v>
      </c>
      <c r="V173" s="16" t="s">
        <v>184</v>
      </c>
    </row>
    <row r="174" customHeight="1" spans="3:22">
      <c r="C174" s="5">
        <v>154</v>
      </c>
      <c r="D174" s="5">
        <v>31</v>
      </c>
      <c r="E174" s="5">
        <v>4</v>
      </c>
      <c r="F174" s="5" t="s">
        <v>222</v>
      </c>
      <c r="G174" s="10">
        <f t="shared" ref="G174:I174" si="128">G171*S174</f>
        <v>54000000</v>
      </c>
      <c r="H174" s="10">
        <f t="shared" si="128"/>
        <v>15600000</v>
      </c>
      <c r="I174" s="10">
        <f t="shared" si="128"/>
        <v>5400000000000</v>
      </c>
      <c r="J174" s="10">
        <f t="shared" si="126"/>
        <v>280</v>
      </c>
      <c r="K174" s="3">
        <v>100</v>
      </c>
      <c r="L174" s="2">
        <v>1800</v>
      </c>
      <c r="M174" s="2">
        <v>1800</v>
      </c>
      <c r="N174" s="2">
        <v>1800</v>
      </c>
      <c r="O174" s="2">
        <v>99</v>
      </c>
      <c r="P174" s="2">
        <v>0</v>
      </c>
      <c r="Q174" s="16" t="s">
        <v>188</v>
      </c>
      <c r="R174" s="16" t="s">
        <v>189</v>
      </c>
      <c r="S174" s="2">
        <v>1.2</v>
      </c>
      <c r="T174" s="2">
        <v>1.2</v>
      </c>
      <c r="U174" s="2">
        <v>1.8</v>
      </c>
      <c r="V174" s="16" t="s">
        <v>117</v>
      </c>
    </row>
    <row r="175" customHeight="1" spans="3:22">
      <c r="C175" s="5">
        <v>155</v>
      </c>
      <c r="D175" s="5">
        <v>31</v>
      </c>
      <c r="E175" s="5">
        <v>5</v>
      </c>
      <c r="F175" s="5" t="s">
        <v>223</v>
      </c>
      <c r="G175" s="10">
        <f t="shared" ref="G175:I175" si="129">G171*S175</f>
        <v>56250000</v>
      </c>
      <c r="H175" s="10">
        <f t="shared" si="129"/>
        <v>16250000</v>
      </c>
      <c r="I175" s="10">
        <f t="shared" si="129"/>
        <v>7500000000000</v>
      </c>
      <c r="J175" s="10">
        <f t="shared" si="126"/>
        <v>290</v>
      </c>
      <c r="K175" s="3">
        <v>100</v>
      </c>
      <c r="L175" s="2">
        <v>1800</v>
      </c>
      <c r="M175" s="2">
        <v>1800</v>
      </c>
      <c r="N175" s="2">
        <v>1800</v>
      </c>
      <c r="O175" s="2">
        <v>99</v>
      </c>
      <c r="P175" s="2">
        <v>0</v>
      </c>
      <c r="Q175" s="16" t="s">
        <v>191</v>
      </c>
      <c r="R175" s="16" t="s">
        <v>189</v>
      </c>
      <c r="S175" s="2">
        <v>1.25</v>
      </c>
      <c r="T175" s="2">
        <v>1.25</v>
      </c>
      <c r="U175" s="2">
        <v>2.5</v>
      </c>
      <c r="V175" s="16" t="s">
        <v>191</v>
      </c>
    </row>
    <row r="177" customHeight="1" spans="3:22">
      <c r="C177" s="5">
        <v>156</v>
      </c>
      <c r="D177" s="5">
        <v>32</v>
      </c>
      <c r="E177" s="11">
        <v>1</v>
      </c>
      <c r="F177" s="11" t="s">
        <v>224</v>
      </c>
      <c r="G177" s="17" t="s">
        <v>225</v>
      </c>
      <c r="H177" s="17" t="s">
        <v>226</v>
      </c>
      <c r="I177" s="17" t="s">
        <v>227</v>
      </c>
      <c r="J177" s="10">
        <v>260</v>
      </c>
      <c r="K177" s="3">
        <v>100</v>
      </c>
      <c r="L177" s="3">
        <v>1800</v>
      </c>
      <c r="M177" s="3">
        <v>1800</v>
      </c>
      <c r="N177" s="3">
        <v>1800</v>
      </c>
      <c r="O177" s="3">
        <v>99</v>
      </c>
      <c r="P177" s="3">
        <v>0</v>
      </c>
      <c r="Q177" s="16" t="s">
        <v>182</v>
      </c>
      <c r="R177" s="16" t="s">
        <v>183</v>
      </c>
      <c r="S177" s="3">
        <v>1</v>
      </c>
      <c r="T177" s="3">
        <v>1</v>
      </c>
      <c r="U177" s="3">
        <v>1</v>
      </c>
      <c r="V177" s="16" t="s">
        <v>184</v>
      </c>
    </row>
    <row r="178" customHeight="1" spans="3:22">
      <c r="C178" s="5">
        <v>157</v>
      </c>
      <c r="D178" s="5">
        <v>32</v>
      </c>
      <c r="E178" s="5">
        <v>2</v>
      </c>
      <c r="F178" s="5" t="s">
        <v>224</v>
      </c>
      <c r="G178" s="10">
        <f t="shared" ref="G178:I178" si="130">G177*S178</f>
        <v>66000000</v>
      </c>
      <c r="H178" s="10">
        <f t="shared" si="130"/>
        <v>15400000</v>
      </c>
      <c r="I178" s="10">
        <f t="shared" si="130"/>
        <v>6000000000000</v>
      </c>
      <c r="J178" s="10">
        <f t="shared" ref="J178:J181" si="131">J177+10</f>
        <v>270</v>
      </c>
      <c r="K178" s="3">
        <v>100</v>
      </c>
      <c r="L178" s="2">
        <v>1800</v>
      </c>
      <c r="M178" s="2">
        <v>1800</v>
      </c>
      <c r="N178" s="2">
        <v>1800</v>
      </c>
      <c r="O178" s="2">
        <v>99</v>
      </c>
      <c r="P178" s="2">
        <v>0</v>
      </c>
      <c r="Q178" s="16" t="s">
        <v>185</v>
      </c>
      <c r="R178" s="16" t="s">
        <v>183</v>
      </c>
      <c r="S178" s="2">
        <v>1.1</v>
      </c>
      <c r="T178" s="2">
        <v>1.1</v>
      </c>
      <c r="U178" s="2">
        <v>1.2</v>
      </c>
      <c r="V178" s="16" t="s">
        <v>186</v>
      </c>
    </row>
    <row r="179" customHeight="1" spans="3:22">
      <c r="C179" s="5">
        <v>158</v>
      </c>
      <c r="D179" s="5">
        <v>32</v>
      </c>
      <c r="E179" s="5">
        <v>3</v>
      </c>
      <c r="F179" s="5" t="s">
        <v>224</v>
      </c>
      <c r="G179" s="10">
        <f t="shared" ref="G179:I179" si="132">G177*S179</f>
        <v>69000000</v>
      </c>
      <c r="H179" s="10">
        <f t="shared" si="132"/>
        <v>16100000</v>
      </c>
      <c r="I179" s="10">
        <f t="shared" si="132"/>
        <v>7500000000000</v>
      </c>
      <c r="J179" s="10">
        <f t="shared" si="131"/>
        <v>280</v>
      </c>
      <c r="K179" s="3">
        <v>100</v>
      </c>
      <c r="L179" s="2">
        <v>1800</v>
      </c>
      <c r="M179" s="2">
        <v>1800</v>
      </c>
      <c r="N179" s="2">
        <v>1800</v>
      </c>
      <c r="O179" s="2">
        <v>99</v>
      </c>
      <c r="P179" s="2">
        <v>0</v>
      </c>
      <c r="Q179" s="16" t="s">
        <v>182</v>
      </c>
      <c r="R179" s="16" t="s">
        <v>183</v>
      </c>
      <c r="S179" s="2">
        <v>1.15</v>
      </c>
      <c r="T179" s="2">
        <v>1.15</v>
      </c>
      <c r="U179" s="2">
        <v>1.5</v>
      </c>
      <c r="V179" s="16" t="s">
        <v>184</v>
      </c>
    </row>
    <row r="180" customHeight="1" spans="3:22">
      <c r="C180" s="5">
        <v>159</v>
      </c>
      <c r="D180" s="5">
        <v>32</v>
      </c>
      <c r="E180" s="5">
        <v>4</v>
      </c>
      <c r="F180" s="5" t="s">
        <v>228</v>
      </c>
      <c r="G180" s="10">
        <f t="shared" ref="G180:I180" si="133">G177*S180</f>
        <v>72000000</v>
      </c>
      <c r="H180" s="10">
        <f t="shared" si="133"/>
        <v>16800000</v>
      </c>
      <c r="I180" s="10">
        <f t="shared" si="133"/>
        <v>9000000000000</v>
      </c>
      <c r="J180" s="10">
        <f t="shared" si="131"/>
        <v>290</v>
      </c>
      <c r="K180" s="3">
        <v>100</v>
      </c>
      <c r="L180" s="2">
        <v>1800</v>
      </c>
      <c r="M180" s="2">
        <v>1800</v>
      </c>
      <c r="N180" s="2">
        <v>1800</v>
      </c>
      <c r="O180" s="2">
        <v>99</v>
      </c>
      <c r="P180" s="2">
        <v>0</v>
      </c>
      <c r="Q180" s="16" t="s">
        <v>188</v>
      </c>
      <c r="R180" s="16" t="s">
        <v>189</v>
      </c>
      <c r="S180" s="2">
        <v>1.2</v>
      </c>
      <c r="T180" s="2">
        <v>1.2</v>
      </c>
      <c r="U180" s="2">
        <v>1.8</v>
      </c>
      <c r="V180" s="16" t="s">
        <v>117</v>
      </c>
    </row>
    <row r="181" customHeight="1" spans="3:22">
      <c r="C181" s="5">
        <v>160</v>
      </c>
      <c r="D181" s="5">
        <v>32</v>
      </c>
      <c r="E181" s="5">
        <v>5</v>
      </c>
      <c r="F181" s="5" t="s">
        <v>229</v>
      </c>
      <c r="G181" s="10">
        <f t="shared" ref="G181:I181" si="134">G177*S181</f>
        <v>75000000</v>
      </c>
      <c r="H181" s="10">
        <f t="shared" si="134"/>
        <v>17500000</v>
      </c>
      <c r="I181" s="10">
        <f t="shared" si="134"/>
        <v>12500000000000</v>
      </c>
      <c r="J181" s="10">
        <f t="shared" si="131"/>
        <v>300</v>
      </c>
      <c r="K181" s="3">
        <v>100</v>
      </c>
      <c r="L181" s="2">
        <v>1800</v>
      </c>
      <c r="M181" s="2">
        <v>1800</v>
      </c>
      <c r="N181" s="2">
        <v>1800</v>
      </c>
      <c r="O181" s="2">
        <v>99</v>
      </c>
      <c r="P181" s="2">
        <v>0</v>
      </c>
      <c r="Q181" s="16" t="s">
        <v>191</v>
      </c>
      <c r="R181" s="16" t="s">
        <v>189</v>
      </c>
      <c r="S181" s="2">
        <v>1.25</v>
      </c>
      <c r="T181" s="2">
        <v>1.25</v>
      </c>
      <c r="U181" s="2">
        <v>2.5</v>
      </c>
      <c r="V181" s="16" t="s">
        <v>191</v>
      </c>
    </row>
    <row r="183" customHeight="1" spans="3:22">
      <c r="C183" s="5">
        <v>161</v>
      </c>
      <c r="D183" s="5">
        <v>33</v>
      </c>
      <c r="E183" s="11">
        <v>1</v>
      </c>
      <c r="F183" s="11" t="s">
        <v>230</v>
      </c>
      <c r="G183" s="17" t="s">
        <v>231</v>
      </c>
      <c r="H183" s="17" t="s">
        <v>199</v>
      </c>
      <c r="I183" s="17" t="s">
        <v>232</v>
      </c>
      <c r="J183" s="10">
        <v>270</v>
      </c>
      <c r="K183" s="3">
        <v>100</v>
      </c>
      <c r="L183" s="3">
        <v>1800</v>
      </c>
      <c r="M183" s="3">
        <v>1800</v>
      </c>
      <c r="N183" s="3">
        <v>1800</v>
      </c>
      <c r="O183" s="3">
        <v>99</v>
      </c>
      <c r="P183" s="3">
        <v>0</v>
      </c>
      <c r="Q183" s="16" t="s">
        <v>182</v>
      </c>
      <c r="R183" s="16" t="s">
        <v>183</v>
      </c>
      <c r="S183" s="3">
        <v>1</v>
      </c>
      <c r="T183" s="3">
        <v>1</v>
      </c>
      <c r="U183" s="3">
        <v>1</v>
      </c>
      <c r="V183" s="16" t="s">
        <v>184</v>
      </c>
    </row>
    <row r="184" customHeight="1" spans="3:22">
      <c r="C184" s="5">
        <v>162</v>
      </c>
      <c r="D184" s="5">
        <v>33</v>
      </c>
      <c r="E184" s="5">
        <v>2</v>
      </c>
      <c r="F184" s="5" t="s">
        <v>230</v>
      </c>
      <c r="G184" s="10">
        <f t="shared" ref="G184:I184" si="135">G183*S184</f>
        <v>88000000</v>
      </c>
      <c r="H184" s="10">
        <f t="shared" si="135"/>
        <v>16500000</v>
      </c>
      <c r="I184" s="10">
        <f t="shared" si="135"/>
        <v>9600000000000</v>
      </c>
      <c r="J184" s="10">
        <f t="shared" ref="J184:J187" si="136">J183+10</f>
        <v>280</v>
      </c>
      <c r="K184" s="3">
        <v>100</v>
      </c>
      <c r="L184" s="2">
        <v>1800</v>
      </c>
      <c r="M184" s="2">
        <v>1800</v>
      </c>
      <c r="N184" s="2">
        <v>1800</v>
      </c>
      <c r="O184" s="2">
        <v>99</v>
      </c>
      <c r="P184" s="2">
        <v>0</v>
      </c>
      <c r="Q184" s="16" t="s">
        <v>185</v>
      </c>
      <c r="R184" s="16" t="s">
        <v>183</v>
      </c>
      <c r="S184" s="2">
        <v>1.1</v>
      </c>
      <c r="T184" s="2">
        <v>1.1</v>
      </c>
      <c r="U184" s="2">
        <v>1.2</v>
      </c>
      <c r="V184" s="16" t="s">
        <v>186</v>
      </c>
    </row>
    <row r="185" customHeight="1" spans="3:22">
      <c r="C185" s="5">
        <v>163</v>
      </c>
      <c r="D185" s="5">
        <v>33</v>
      </c>
      <c r="E185" s="5">
        <v>3</v>
      </c>
      <c r="F185" s="5" t="s">
        <v>230</v>
      </c>
      <c r="G185" s="10">
        <f t="shared" ref="G185:I185" si="137">G183*S185</f>
        <v>92000000</v>
      </c>
      <c r="H185" s="10">
        <f t="shared" si="137"/>
        <v>17250000</v>
      </c>
      <c r="I185" s="10">
        <f t="shared" si="137"/>
        <v>12000000000000</v>
      </c>
      <c r="J185" s="10">
        <f t="shared" si="136"/>
        <v>290</v>
      </c>
      <c r="K185" s="3">
        <v>100</v>
      </c>
      <c r="L185" s="2">
        <v>1800</v>
      </c>
      <c r="M185" s="2">
        <v>1800</v>
      </c>
      <c r="N185" s="2">
        <v>1800</v>
      </c>
      <c r="O185" s="2">
        <v>99</v>
      </c>
      <c r="P185" s="2">
        <v>0</v>
      </c>
      <c r="Q185" s="16" t="s">
        <v>182</v>
      </c>
      <c r="R185" s="16" t="s">
        <v>183</v>
      </c>
      <c r="S185" s="2">
        <v>1.15</v>
      </c>
      <c r="T185" s="2">
        <v>1.15</v>
      </c>
      <c r="U185" s="2">
        <v>1.5</v>
      </c>
      <c r="V185" s="16" t="s">
        <v>184</v>
      </c>
    </row>
    <row r="186" customHeight="1" spans="3:22">
      <c r="C186" s="5">
        <v>164</v>
      </c>
      <c r="D186" s="5">
        <v>33</v>
      </c>
      <c r="E186" s="5">
        <v>4</v>
      </c>
      <c r="F186" s="5" t="s">
        <v>233</v>
      </c>
      <c r="G186" s="10">
        <f t="shared" ref="G186:I186" si="138">G183*S186</f>
        <v>96000000</v>
      </c>
      <c r="H186" s="10">
        <f t="shared" si="138"/>
        <v>18000000</v>
      </c>
      <c r="I186" s="10">
        <f t="shared" si="138"/>
        <v>14400000000000</v>
      </c>
      <c r="J186" s="10">
        <f t="shared" si="136"/>
        <v>300</v>
      </c>
      <c r="K186" s="3">
        <v>100</v>
      </c>
      <c r="L186" s="2">
        <v>1800</v>
      </c>
      <c r="M186" s="2">
        <v>1800</v>
      </c>
      <c r="N186" s="2">
        <v>1800</v>
      </c>
      <c r="O186" s="2">
        <v>99</v>
      </c>
      <c r="P186" s="2">
        <v>0</v>
      </c>
      <c r="Q186" s="16" t="s">
        <v>188</v>
      </c>
      <c r="R186" s="16" t="s">
        <v>189</v>
      </c>
      <c r="S186" s="2">
        <v>1.2</v>
      </c>
      <c r="T186" s="2">
        <v>1.2</v>
      </c>
      <c r="U186" s="2">
        <v>1.8</v>
      </c>
      <c r="V186" s="16" t="s">
        <v>117</v>
      </c>
    </row>
    <row r="187" customHeight="1" spans="3:22">
      <c r="C187" s="5">
        <v>165</v>
      </c>
      <c r="D187" s="5">
        <v>33</v>
      </c>
      <c r="E187" s="5">
        <v>5</v>
      </c>
      <c r="F187" s="5" t="s">
        <v>234</v>
      </c>
      <c r="G187" s="10">
        <f t="shared" ref="G187:I187" si="139">G183*S187</f>
        <v>100000000</v>
      </c>
      <c r="H187" s="10">
        <f t="shared" si="139"/>
        <v>18750000</v>
      </c>
      <c r="I187" s="10">
        <f t="shared" si="139"/>
        <v>20000000000000</v>
      </c>
      <c r="J187" s="10">
        <f t="shared" si="136"/>
        <v>310</v>
      </c>
      <c r="K187" s="3">
        <v>100</v>
      </c>
      <c r="L187" s="2">
        <v>1800</v>
      </c>
      <c r="M187" s="2">
        <v>1800</v>
      </c>
      <c r="N187" s="2">
        <v>1800</v>
      </c>
      <c r="O187" s="2">
        <v>99</v>
      </c>
      <c r="P187" s="2">
        <v>0</v>
      </c>
      <c r="Q187" s="16" t="s">
        <v>191</v>
      </c>
      <c r="R187" s="16" t="s">
        <v>189</v>
      </c>
      <c r="S187" s="2">
        <v>1.25</v>
      </c>
      <c r="T187" s="2">
        <v>1.25</v>
      </c>
      <c r="U187" s="2">
        <v>2.5</v>
      </c>
      <c r="V187" s="16" t="s">
        <v>191</v>
      </c>
    </row>
    <row r="189" customHeight="1" spans="3:22">
      <c r="C189" s="5">
        <v>166</v>
      </c>
      <c r="D189" s="5">
        <v>34</v>
      </c>
      <c r="E189" s="11">
        <v>1</v>
      </c>
      <c r="F189" s="11" t="s">
        <v>235</v>
      </c>
      <c r="G189" s="17" t="s">
        <v>236</v>
      </c>
      <c r="H189" s="17" t="s">
        <v>237</v>
      </c>
      <c r="I189" s="17" t="s">
        <v>238</v>
      </c>
      <c r="J189" s="10">
        <v>280</v>
      </c>
      <c r="K189" s="3">
        <v>100</v>
      </c>
      <c r="L189" s="3">
        <v>1800</v>
      </c>
      <c r="M189" s="3">
        <v>1800</v>
      </c>
      <c r="N189" s="3">
        <v>1800</v>
      </c>
      <c r="O189" s="3">
        <v>99</v>
      </c>
      <c r="P189" s="3">
        <v>0</v>
      </c>
      <c r="Q189" s="16" t="s">
        <v>182</v>
      </c>
      <c r="R189" s="16" t="s">
        <v>183</v>
      </c>
      <c r="S189" s="3">
        <v>1</v>
      </c>
      <c r="T189" s="3">
        <v>1</v>
      </c>
      <c r="U189" s="3">
        <v>1</v>
      </c>
      <c r="V189" s="16" t="s">
        <v>184</v>
      </c>
    </row>
    <row r="190" customHeight="1" spans="3:22">
      <c r="C190" s="5">
        <v>167</v>
      </c>
      <c r="D190" s="5">
        <v>34</v>
      </c>
      <c r="E190" s="5">
        <v>2</v>
      </c>
      <c r="F190" s="5" t="s">
        <v>235</v>
      </c>
      <c r="G190" s="10">
        <f t="shared" ref="G190:I190" si="140">G189*S190</f>
        <v>121000000</v>
      </c>
      <c r="H190" s="10">
        <f t="shared" si="140"/>
        <v>17600000</v>
      </c>
      <c r="I190" s="10">
        <f t="shared" si="140"/>
        <v>14400000000000</v>
      </c>
      <c r="J190" s="10">
        <f t="shared" ref="J190:J193" si="141">J189+10</f>
        <v>290</v>
      </c>
      <c r="K190" s="3">
        <v>100</v>
      </c>
      <c r="L190" s="2">
        <v>1800</v>
      </c>
      <c r="M190" s="2">
        <v>1800</v>
      </c>
      <c r="N190" s="2">
        <v>1800</v>
      </c>
      <c r="O190" s="2">
        <v>99</v>
      </c>
      <c r="P190" s="2">
        <v>0</v>
      </c>
      <c r="Q190" s="16" t="s">
        <v>185</v>
      </c>
      <c r="R190" s="16" t="s">
        <v>183</v>
      </c>
      <c r="S190" s="2">
        <v>1.1</v>
      </c>
      <c r="T190" s="2">
        <v>1.1</v>
      </c>
      <c r="U190" s="2">
        <v>1.2</v>
      </c>
      <c r="V190" s="16" t="s">
        <v>186</v>
      </c>
    </row>
    <row r="191" customHeight="1" spans="3:22">
      <c r="C191" s="5">
        <v>168</v>
      </c>
      <c r="D191" s="5">
        <v>34</v>
      </c>
      <c r="E191" s="5">
        <v>3</v>
      </c>
      <c r="F191" s="5" t="s">
        <v>235</v>
      </c>
      <c r="G191" s="10">
        <f t="shared" ref="G191:I191" si="142">G189*S191</f>
        <v>126500000</v>
      </c>
      <c r="H191" s="10">
        <f t="shared" si="142"/>
        <v>18400000</v>
      </c>
      <c r="I191" s="10">
        <f t="shared" si="142"/>
        <v>18000000000000</v>
      </c>
      <c r="J191" s="10">
        <f t="shared" si="141"/>
        <v>300</v>
      </c>
      <c r="K191" s="3">
        <v>100</v>
      </c>
      <c r="L191" s="2">
        <v>1800</v>
      </c>
      <c r="M191" s="2">
        <v>1800</v>
      </c>
      <c r="N191" s="2">
        <v>1800</v>
      </c>
      <c r="O191" s="2">
        <v>99</v>
      </c>
      <c r="P191" s="2">
        <v>0</v>
      </c>
      <c r="Q191" s="16" t="s">
        <v>182</v>
      </c>
      <c r="R191" s="16" t="s">
        <v>183</v>
      </c>
      <c r="S191" s="2">
        <v>1.15</v>
      </c>
      <c r="T191" s="2">
        <v>1.15</v>
      </c>
      <c r="U191" s="2">
        <v>1.5</v>
      </c>
      <c r="V191" s="16" t="s">
        <v>184</v>
      </c>
    </row>
    <row r="192" customHeight="1" spans="3:22">
      <c r="C192" s="5">
        <v>169</v>
      </c>
      <c r="D192" s="5">
        <v>34</v>
      </c>
      <c r="E192" s="5">
        <v>4</v>
      </c>
      <c r="F192" s="5" t="s">
        <v>239</v>
      </c>
      <c r="G192" s="10">
        <f t="shared" ref="G192:I192" si="143">G189*S192</f>
        <v>132000000</v>
      </c>
      <c r="H192" s="10">
        <f t="shared" si="143"/>
        <v>19200000</v>
      </c>
      <c r="I192" s="10">
        <f t="shared" si="143"/>
        <v>21600000000000</v>
      </c>
      <c r="J192" s="10">
        <f t="shared" si="141"/>
        <v>310</v>
      </c>
      <c r="K192" s="3">
        <v>100</v>
      </c>
      <c r="L192" s="2">
        <v>1800</v>
      </c>
      <c r="M192" s="2">
        <v>1800</v>
      </c>
      <c r="N192" s="2">
        <v>1800</v>
      </c>
      <c r="O192" s="2">
        <v>99</v>
      </c>
      <c r="P192" s="2">
        <v>0</v>
      </c>
      <c r="Q192" s="16" t="s">
        <v>188</v>
      </c>
      <c r="R192" s="16" t="s">
        <v>189</v>
      </c>
      <c r="S192" s="2">
        <v>1.2</v>
      </c>
      <c r="T192" s="2">
        <v>1.2</v>
      </c>
      <c r="U192" s="2">
        <v>1.8</v>
      </c>
      <c r="V192" s="16" t="s">
        <v>117</v>
      </c>
    </row>
    <row r="193" customHeight="1" spans="3:22">
      <c r="C193" s="5">
        <v>170</v>
      </c>
      <c r="D193" s="5">
        <v>34</v>
      </c>
      <c r="E193" s="5">
        <v>5</v>
      </c>
      <c r="F193" s="5" t="s">
        <v>240</v>
      </c>
      <c r="G193" s="10">
        <f t="shared" ref="G193:I193" si="144">G189*S193</f>
        <v>137500000</v>
      </c>
      <c r="H193" s="10">
        <f t="shared" si="144"/>
        <v>20000000</v>
      </c>
      <c r="I193" s="10">
        <f t="shared" si="144"/>
        <v>30000000000000</v>
      </c>
      <c r="J193" s="10">
        <f t="shared" si="141"/>
        <v>320</v>
      </c>
      <c r="K193" s="3">
        <v>100</v>
      </c>
      <c r="L193" s="2">
        <v>1800</v>
      </c>
      <c r="M193" s="2">
        <v>1800</v>
      </c>
      <c r="N193" s="2">
        <v>1800</v>
      </c>
      <c r="O193" s="2">
        <v>99</v>
      </c>
      <c r="P193" s="2">
        <v>0</v>
      </c>
      <c r="Q193" s="16" t="s">
        <v>191</v>
      </c>
      <c r="R193" s="16" t="s">
        <v>189</v>
      </c>
      <c r="S193" s="2">
        <v>1.25</v>
      </c>
      <c r="T193" s="2">
        <v>1.25</v>
      </c>
      <c r="U193" s="2">
        <v>2.5</v>
      </c>
      <c r="V193" s="16" t="s">
        <v>191</v>
      </c>
    </row>
    <row r="195" customHeight="1" spans="3:22">
      <c r="C195" s="5">
        <v>171</v>
      </c>
      <c r="D195" s="5">
        <v>35</v>
      </c>
      <c r="E195" s="11">
        <v>1</v>
      </c>
      <c r="F195" s="11" t="s">
        <v>241</v>
      </c>
      <c r="G195" s="17" t="s">
        <v>55</v>
      </c>
      <c r="H195" s="17" t="s">
        <v>242</v>
      </c>
      <c r="I195" s="17" t="s">
        <v>243</v>
      </c>
      <c r="J195" s="10">
        <v>290</v>
      </c>
      <c r="K195" s="3">
        <v>100</v>
      </c>
      <c r="L195" s="3">
        <v>1800</v>
      </c>
      <c r="M195" s="3">
        <v>1800</v>
      </c>
      <c r="N195" s="3">
        <v>1800</v>
      </c>
      <c r="O195" s="3">
        <v>99</v>
      </c>
      <c r="P195" s="3">
        <v>0</v>
      </c>
      <c r="Q195" s="16" t="s">
        <v>182</v>
      </c>
      <c r="R195" s="16" t="s">
        <v>183</v>
      </c>
      <c r="S195" s="3">
        <v>1</v>
      </c>
      <c r="T195" s="3">
        <v>1</v>
      </c>
      <c r="U195" s="3">
        <v>1</v>
      </c>
      <c r="V195" s="16" t="s">
        <v>184</v>
      </c>
    </row>
    <row r="196" customHeight="1" spans="3:22">
      <c r="C196" s="5">
        <v>172</v>
      </c>
      <c r="D196" s="5">
        <v>35</v>
      </c>
      <c r="E196" s="5">
        <v>2</v>
      </c>
      <c r="F196" s="5" t="s">
        <v>241</v>
      </c>
      <c r="G196" s="10">
        <f t="shared" ref="G196:I196" si="145">G195*S196</f>
        <v>154000000</v>
      </c>
      <c r="H196" s="10">
        <f t="shared" si="145"/>
        <v>19800000</v>
      </c>
      <c r="I196" s="10">
        <f t="shared" si="145"/>
        <v>19200000000000</v>
      </c>
      <c r="J196" s="10">
        <f t="shared" ref="J196:J199" si="146">J195+10</f>
        <v>300</v>
      </c>
      <c r="K196" s="3">
        <v>100</v>
      </c>
      <c r="L196" s="2">
        <v>1800</v>
      </c>
      <c r="M196" s="2">
        <v>1800</v>
      </c>
      <c r="N196" s="2">
        <v>1800</v>
      </c>
      <c r="O196" s="2">
        <v>99</v>
      </c>
      <c r="P196" s="2">
        <v>0</v>
      </c>
      <c r="Q196" s="16" t="s">
        <v>185</v>
      </c>
      <c r="R196" s="16" t="s">
        <v>183</v>
      </c>
      <c r="S196" s="2">
        <v>1.1</v>
      </c>
      <c r="T196" s="2">
        <v>1.1</v>
      </c>
      <c r="U196" s="2">
        <v>1.2</v>
      </c>
      <c r="V196" s="16" t="s">
        <v>186</v>
      </c>
    </row>
    <row r="197" customHeight="1" spans="3:22">
      <c r="C197" s="5">
        <v>173</v>
      </c>
      <c r="D197" s="5">
        <v>35</v>
      </c>
      <c r="E197" s="5">
        <v>3</v>
      </c>
      <c r="F197" s="5" t="s">
        <v>241</v>
      </c>
      <c r="G197" s="10">
        <f t="shared" ref="G197:I197" si="147">G195*S197</f>
        <v>161000000</v>
      </c>
      <c r="H197" s="10">
        <f t="shared" si="147"/>
        <v>20700000</v>
      </c>
      <c r="I197" s="10">
        <f t="shared" si="147"/>
        <v>24000000000000</v>
      </c>
      <c r="J197" s="10">
        <f t="shared" si="146"/>
        <v>310</v>
      </c>
      <c r="K197" s="3">
        <v>100</v>
      </c>
      <c r="L197" s="2">
        <v>1800</v>
      </c>
      <c r="M197" s="2">
        <v>1800</v>
      </c>
      <c r="N197" s="2">
        <v>1800</v>
      </c>
      <c r="O197" s="2">
        <v>99</v>
      </c>
      <c r="P197" s="2">
        <v>0</v>
      </c>
      <c r="Q197" s="16" t="s">
        <v>182</v>
      </c>
      <c r="R197" s="16" t="s">
        <v>183</v>
      </c>
      <c r="S197" s="2">
        <v>1.15</v>
      </c>
      <c r="T197" s="2">
        <v>1.15</v>
      </c>
      <c r="U197" s="2">
        <v>1.5</v>
      </c>
      <c r="V197" s="16" t="s">
        <v>184</v>
      </c>
    </row>
    <row r="198" customHeight="1" spans="3:22">
      <c r="C198" s="5">
        <v>174</v>
      </c>
      <c r="D198" s="5">
        <v>35</v>
      </c>
      <c r="E198" s="5">
        <v>4</v>
      </c>
      <c r="F198" s="5" t="s">
        <v>244</v>
      </c>
      <c r="G198" s="10">
        <f t="shared" ref="G198:I198" si="148">G195*S198</f>
        <v>168000000</v>
      </c>
      <c r="H198" s="10">
        <f t="shared" si="148"/>
        <v>21600000</v>
      </c>
      <c r="I198" s="10">
        <f t="shared" si="148"/>
        <v>28800000000000</v>
      </c>
      <c r="J198" s="10">
        <f t="shared" si="146"/>
        <v>320</v>
      </c>
      <c r="K198" s="3">
        <v>100</v>
      </c>
      <c r="L198" s="2">
        <v>1800</v>
      </c>
      <c r="M198" s="2">
        <v>1800</v>
      </c>
      <c r="N198" s="2">
        <v>1800</v>
      </c>
      <c r="O198" s="2">
        <v>99</v>
      </c>
      <c r="P198" s="2">
        <v>0</v>
      </c>
      <c r="Q198" s="16" t="s">
        <v>188</v>
      </c>
      <c r="R198" s="16" t="s">
        <v>189</v>
      </c>
      <c r="S198" s="2">
        <v>1.2</v>
      </c>
      <c r="T198" s="2">
        <v>1.2</v>
      </c>
      <c r="U198" s="2">
        <v>1.8</v>
      </c>
      <c r="V198" s="16" t="s">
        <v>117</v>
      </c>
    </row>
    <row r="199" customHeight="1" spans="3:22">
      <c r="C199" s="5">
        <v>175</v>
      </c>
      <c r="D199" s="5">
        <v>35</v>
      </c>
      <c r="E199" s="5">
        <v>5</v>
      </c>
      <c r="F199" s="5" t="s">
        <v>245</v>
      </c>
      <c r="G199" s="10">
        <f t="shared" ref="G199:I199" si="149">G195*S199</f>
        <v>175000000</v>
      </c>
      <c r="H199" s="10">
        <f t="shared" si="149"/>
        <v>22500000</v>
      </c>
      <c r="I199" s="10">
        <f t="shared" si="149"/>
        <v>40000000000000</v>
      </c>
      <c r="J199" s="10">
        <f t="shared" si="146"/>
        <v>330</v>
      </c>
      <c r="K199" s="3">
        <v>100</v>
      </c>
      <c r="L199" s="2">
        <v>1800</v>
      </c>
      <c r="M199" s="2">
        <v>1800</v>
      </c>
      <c r="N199" s="2">
        <v>1800</v>
      </c>
      <c r="O199" s="2">
        <v>99</v>
      </c>
      <c r="P199" s="2">
        <v>0</v>
      </c>
      <c r="Q199" s="16" t="s">
        <v>191</v>
      </c>
      <c r="R199" s="16" t="s">
        <v>189</v>
      </c>
      <c r="S199" s="2">
        <v>1.25</v>
      </c>
      <c r="T199" s="2">
        <v>1.25</v>
      </c>
      <c r="U199" s="2">
        <v>2.5</v>
      </c>
      <c r="V199" s="16" t="s">
        <v>191</v>
      </c>
    </row>
    <row r="200" customHeight="1" spans="3:22">
      <c r="G200" s="1"/>
    </row>
    <row r="201" customHeight="1" spans="3:22">
      <c r="C201" s="5">
        <v>176</v>
      </c>
      <c r="D201" s="5">
        <v>36</v>
      </c>
      <c r="E201" s="11">
        <v>1</v>
      </c>
      <c r="F201" s="11" t="s">
        <v>246</v>
      </c>
      <c r="G201" s="17" t="s">
        <v>247</v>
      </c>
      <c r="H201" s="17" t="s">
        <v>34</v>
      </c>
      <c r="I201" s="17" t="s">
        <v>248</v>
      </c>
      <c r="J201" s="10">
        <v>300</v>
      </c>
      <c r="K201" s="3">
        <v>100</v>
      </c>
      <c r="L201" s="3">
        <v>1800</v>
      </c>
      <c r="M201" s="3">
        <v>1800</v>
      </c>
      <c r="N201" s="3">
        <v>1800</v>
      </c>
      <c r="O201" s="3">
        <v>99</v>
      </c>
      <c r="P201" s="3">
        <v>0</v>
      </c>
      <c r="Q201" s="16" t="s">
        <v>182</v>
      </c>
      <c r="R201" s="16" t="s">
        <v>183</v>
      </c>
      <c r="S201" s="3">
        <v>1</v>
      </c>
      <c r="T201" s="3">
        <v>1</v>
      </c>
      <c r="U201" s="3">
        <v>1</v>
      </c>
      <c r="V201" s="16" t="s">
        <v>184</v>
      </c>
    </row>
    <row r="202" customHeight="1" spans="3:22">
      <c r="C202" s="5">
        <v>177</v>
      </c>
      <c r="D202" s="5">
        <v>36</v>
      </c>
      <c r="E202" s="5">
        <v>2</v>
      </c>
      <c r="F202" s="5" t="s">
        <v>246</v>
      </c>
      <c r="G202" s="10">
        <f t="shared" ref="G202:I202" si="150">G201*S202</f>
        <v>198000000</v>
      </c>
      <c r="H202" s="10">
        <f t="shared" si="150"/>
        <v>22000000</v>
      </c>
      <c r="I202" s="10">
        <f t="shared" si="150"/>
        <v>24000000000000</v>
      </c>
      <c r="J202" s="10">
        <f t="shared" ref="J202:J205" si="151">J201+10</f>
        <v>310</v>
      </c>
      <c r="K202" s="3">
        <v>100</v>
      </c>
      <c r="L202" s="2">
        <v>1800</v>
      </c>
      <c r="M202" s="2">
        <v>1800</v>
      </c>
      <c r="N202" s="2">
        <v>1800</v>
      </c>
      <c r="O202" s="2">
        <v>99</v>
      </c>
      <c r="P202" s="2">
        <v>0</v>
      </c>
      <c r="Q202" s="16" t="s">
        <v>185</v>
      </c>
      <c r="R202" s="16" t="s">
        <v>183</v>
      </c>
      <c r="S202" s="2">
        <v>1.1</v>
      </c>
      <c r="T202" s="2">
        <v>1.1</v>
      </c>
      <c r="U202" s="2">
        <v>1.2</v>
      </c>
      <c r="V202" s="16" t="s">
        <v>186</v>
      </c>
    </row>
    <row r="203" customHeight="1" spans="3:22">
      <c r="C203" s="5">
        <v>178</v>
      </c>
      <c r="D203" s="5">
        <v>36</v>
      </c>
      <c r="E203" s="5">
        <v>3</v>
      </c>
      <c r="F203" s="5" t="s">
        <v>246</v>
      </c>
      <c r="G203" s="10">
        <f t="shared" ref="G203:I203" si="152">G201*S203</f>
        <v>207000000</v>
      </c>
      <c r="H203" s="10">
        <f t="shared" si="152"/>
        <v>23000000</v>
      </c>
      <c r="I203" s="10">
        <f t="shared" si="152"/>
        <v>30000000000000</v>
      </c>
      <c r="J203" s="10">
        <f t="shared" si="151"/>
        <v>320</v>
      </c>
      <c r="K203" s="3">
        <v>100</v>
      </c>
      <c r="L203" s="2">
        <v>1800</v>
      </c>
      <c r="M203" s="2">
        <v>1800</v>
      </c>
      <c r="N203" s="2">
        <v>1800</v>
      </c>
      <c r="O203" s="2">
        <v>99</v>
      </c>
      <c r="P203" s="2">
        <v>0</v>
      </c>
      <c r="Q203" s="16" t="s">
        <v>182</v>
      </c>
      <c r="R203" s="16" t="s">
        <v>183</v>
      </c>
      <c r="S203" s="2">
        <v>1.15</v>
      </c>
      <c r="T203" s="2">
        <v>1.15</v>
      </c>
      <c r="U203" s="2">
        <v>1.5</v>
      </c>
      <c r="V203" s="16" t="s">
        <v>184</v>
      </c>
    </row>
    <row r="204" customHeight="1" spans="3:22">
      <c r="C204" s="5">
        <v>179</v>
      </c>
      <c r="D204" s="5">
        <v>36</v>
      </c>
      <c r="E204" s="5">
        <v>4</v>
      </c>
      <c r="F204" s="5" t="s">
        <v>249</v>
      </c>
      <c r="G204" s="10">
        <f t="shared" ref="G204:I204" si="153">G201*S204</f>
        <v>216000000</v>
      </c>
      <c r="H204" s="10">
        <f t="shared" si="153"/>
        <v>24000000</v>
      </c>
      <c r="I204" s="10">
        <f t="shared" si="153"/>
        <v>36000000000000</v>
      </c>
      <c r="J204" s="10">
        <f t="shared" si="151"/>
        <v>330</v>
      </c>
      <c r="K204" s="3">
        <v>100</v>
      </c>
      <c r="L204" s="2">
        <v>1800</v>
      </c>
      <c r="M204" s="2">
        <v>1800</v>
      </c>
      <c r="N204" s="2">
        <v>1800</v>
      </c>
      <c r="O204" s="2">
        <v>99</v>
      </c>
      <c r="P204" s="2">
        <v>0</v>
      </c>
      <c r="Q204" s="16" t="s">
        <v>188</v>
      </c>
      <c r="R204" s="16" t="s">
        <v>189</v>
      </c>
      <c r="S204" s="2">
        <v>1.2</v>
      </c>
      <c r="T204" s="2">
        <v>1.2</v>
      </c>
      <c r="U204" s="2">
        <v>1.8</v>
      </c>
      <c r="V204" s="16" t="s">
        <v>117</v>
      </c>
    </row>
    <row r="205" customHeight="1" spans="3:22">
      <c r="C205" s="5">
        <v>180</v>
      </c>
      <c r="D205" s="5">
        <v>36</v>
      </c>
      <c r="E205" s="5">
        <v>5</v>
      </c>
      <c r="F205" s="5" t="s">
        <v>250</v>
      </c>
      <c r="G205" s="10">
        <f t="shared" ref="G205:I205" si="154">G201*S205</f>
        <v>225000000</v>
      </c>
      <c r="H205" s="10">
        <f t="shared" si="154"/>
        <v>25000000</v>
      </c>
      <c r="I205" s="10">
        <f t="shared" si="154"/>
        <v>50000000000000</v>
      </c>
      <c r="J205" s="10">
        <f t="shared" si="151"/>
        <v>340</v>
      </c>
      <c r="K205" s="3">
        <v>100</v>
      </c>
      <c r="L205" s="2">
        <v>1800</v>
      </c>
      <c r="M205" s="2">
        <v>1800</v>
      </c>
      <c r="N205" s="2">
        <v>1800</v>
      </c>
      <c r="O205" s="2">
        <v>99</v>
      </c>
      <c r="P205" s="2">
        <v>0</v>
      </c>
      <c r="Q205" s="16" t="s">
        <v>191</v>
      </c>
      <c r="R205" s="16" t="s">
        <v>189</v>
      </c>
      <c r="S205" s="2">
        <v>1.25</v>
      </c>
      <c r="T205" s="2">
        <v>1.25</v>
      </c>
      <c r="U205" s="2">
        <v>2.5</v>
      </c>
      <c r="V205" s="16" t="s">
        <v>191</v>
      </c>
    </row>
    <row r="206" customHeight="1" spans="3:22">
      <c r="G206" s="1"/>
    </row>
    <row r="207" customHeight="1" spans="3:22">
      <c r="C207" s="5">
        <v>181</v>
      </c>
      <c r="D207" s="5">
        <v>37</v>
      </c>
      <c r="E207" s="11">
        <v>1</v>
      </c>
      <c r="F207" s="11" t="s">
        <v>251</v>
      </c>
      <c r="G207" s="17" t="s">
        <v>252</v>
      </c>
      <c r="H207" s="17" t="s">
        <v>253</v>
      </c>
      <c r="I207" s="17" t="s">
        <v>254</v>
      </c>
      <c r="J207" s="10">
        <v>310</v>
      </c>
      <c r="K207" s="3">
        <v>100</v>
      </c>
      <c r="L207" s="3">
        <v>1800</v>
      </c>
      <c r="M207" s="3">
        <v>1800</v>
      </c>
      <c r="N207" s="3">
        <v>1800</v>
      </c>
      <c r="O207" s="3">
        <v>99</v>
      </c>
      <c r="P207" s="3">
        <v>0</v>
      </c>
      <c r="Q207" s="16" t="s">
        <v>182</v>
      </c>
      <c r="R207" s="16" t="s">
        <v>183</v>
      </c>
      <c r="S207" s="3">
        <v>1</v>
      </c>
      <c r="T207" s="3">
        <v>1</v>
      </c>
      <c r="U207" s="3">
        <v>1</v>
      </c>
      <c r="V207" s="16" t="s">
        <v>184</v>
      </c>
    </row>
    <row r="208" customHeight="1" spans="3:22">
      <c r="C208" s="5">
        <v>182</v>
      </c>
      <c r="D208" s="5">
        <v>37</v>
      </c>
      <c r="E208" s="5">
        <v>2</v>
      </c>
      <c r="F208" s="5" t="s">
        <v>251</v>
      </c>
      <c r="G208" s="10">
        <f t="shared" ref="G208:I208" si="155">G207*S208</f>
        <v>242000000</v>
      </c>
      <c r="H208" s="10">
        <f t="shared" si="155"/>
        <v>24200000</v>
      </c>
      <c r="I208" s="10">
        <f t="shared" si="155"/>
        <v>30000000000000</v>
      </c>
      <c r="J208" s="10">
        <f t="shared" ref="J208:J211" si="156">J207+10</f>
        <v>320</v>
      </c>
      <c r="K208" s="3">
        <v>100</v>
      </c>
      <c r="L208" s="2">
        <v>1800</v>
      </c>
      <c r="M208" s="2">
        <v>1800</v>
      </c>
      <c r="N208" s="2">
        <v>1800</v>
      </c>
      <c r="O208" s="2">
        <v>99</v>
      </c>
      <c r="P208" s="2">
        <v>0</v>
      </c>
      <c r="Q208" s="16" t="s">
        <v>185</v>
      </c>
      <c r="R208" s="16" t="s">
        <v>183</v>
      </c>
      <c r="S208" s="2">
        <v>1.1</v>
      </c>
      <c r="T208" s="2">
        <v>1.1</v>
      </c>
      <c r="U208" s="2">
        <v>1.2</v>
      </c>
      <c r="V208" s="16" t="s">
        <v>186</v>
      </c>
    </row>
    <row r="209" customHeight="1" spans="3:22">
      <c r="C209" s="5">
        <v>183</v>
      </c>
      <c r="D209" s="5">
        <v>37</v>
      </c>
      <c r="E209" s="5">
        <v>3</v>
      </c>
      <c r="F209" s="5" t="s">
        <v>251</v>
      </c>
      <c r="G209" s="10">
        <f t="shared" ref="G209:I209" si="157">G207*S209</f>
        <v>253000000</v>
      </c>
      <c r="H209" s="10">
        <f t="shared" si="157"/>
        <v>25300000</v>
      </c>
      <c r="I209" s="10">
        <f t="shared" si="157"/>
        <v>37500000000000</v>
      </c>
      <c r="J209" s="10">
        <f t="shared" si="156"/>
        <v>330</v>
      </c>
      <c r="K209" s="3">
        <v>100</v>
      </c>
      <c r="L209" s="2">
        <v>1800</v>
      </c>
      <c r="M209" s="2">
        <v>1800</v>
      </c>
      <c r="N209" s="2">
        <v>1800</v>
      </c>
      <c r="O209" s="2">
        <v>99</v>
      </c>
      <c r="P209" s="2">
        <v>0</v>
      </c>
      <c r="Q209" s="16" t="s">
        <v>182</v>
      </c>
      <c r="R209" s="16" t="s">
        <v>183</v>
      </c>
      <c r="S209" s="2">
        <v>1.15</v>
      </c>
      <c r="T209" s="2">
        <v>1.15</v>
      </c>
      <c r="U209" s="2">
        <v>1.5</v>
      </c>
      <c r="V209" s="16" t="s">
        <v>184</v>
      </c>
    </row>
    <row r="210" customHeight="1" spans="3:22">
      <c r="C210" s="5">
        <v>184</v>
      </c>
      <c r="D210" s="5">
        <v>37</v>
      </c>
      <c r="E210" s="5">
        <v>4</v>
      </c>
      <c r="F210" s="5" t="s">
        <v>255</v>
      </c>
      <c r="G210" s="10">
        <f t="shared" ref="G210:I210" si="158">G207*S210</f>
        <v>264000000</v>
      </c>
      <c r="H210" s="10">
        <f t="shared" si="158"/>
        <v>26400000</v>
      </c>
      <c r="I210" s="10">
        <f t="shared" si="158"/>
        <v>45000000000000</v>
      </c>
      <c r="J210" s="10">
        <f t="shared" si="156"/>
        <v>340</v>
      </c>
      <c r="K210" s="3">
        <v>100</v>
      </c>
      <c r="L210" s="2">
        <v>1800</v>
      </c>
      <c r="M210" s="2">
        <v>1800</v>
      </c>
      <c r="N210" s="2">
        <v>1800</v>
      </c>
      <c r="O210" s="2">
        <v>99</v>
      </c>
      <c r="P210" s="2">
        <v>0</v>
      </c>
      <c r="Q210" s="16" t="s">
        <v>188</v>
      </c>
      <c r="R210" s="16" t="s">
        <v>189</v>
      </c>
      <c r="S210" s="2">
        <v>1.2</v>
      </c>
      <c r="T210" s="2">
        <v>1.2</v>
      </c>
      <c r="U210" s="2">
        <v>1.8</v>
      </c>
      <c r="V210" s="16" t="s">
        <v>117</v>
      </c>
    </row>
    <row r="211" customHeight="1" spans="3:22">
      <c r="C211" s="5">
        <v>185</v>
      </c>
      <c r="D211" s="5">
        <v>37</v>
      </c>
      <c r="E211" s="5">
        <v>5</v>
      </c>
      <c r="F211" s="5" t="s">
        <v>256</v>
      </c>
      <c r="G211" s="10">
        <f t="shared" ref="G211:I211" si="159">G207*S211</f>
        <v>275000000</v>
      </c>
      <c r="H211" s="10">
        <f t="shared" si="159"/>
        <v>27500000</v>
      </c>
      <c r="I211" s="10">
        <f t="shared" si="159"/>
        <v>62500000000000</v>
      </c>
      <c r="J211" s="10">
        <f t="shared" si="156"/>
        <v>350</v>
      </c>
      <c r="K211" s="3">
        <v>100</v>
      </c>
      <c r="L211" s="2">
        <v>1800</v>
      </c>
      <c r="M211" s="2">
        <v>1800</v>
      </c>
      <c r="N211" s="2">
        <v>1800</v>
      </c>
      <c r="O211" s="2">
        <v>99</v>
      </c>
      <c r="P211" s="2">
        <v>0</v>
      </c>
      <c r="Q211" s="16" t="s">
        <v>191</v>
      </c>
      <c r="R211" s="16" t="s">
        <v>189</v>
      </c>
      <c r="S211" s="2">
        <v>1.25</v>
      </c>
      <c r="T211" s="2">
        <v>1.25</v>
      </c>
      <c r="U211" s="2">
        <v>2.5</v>
      </c>
      <c r="V211" s="16" t="s">
        <v>191</v>
      </c>
    </row>
    <row r="212" customHeight="1" spans="3:22">
      <c r="G212" s="1"/>
    </row>
    <row r="213" customHeight="1" spans="3:22">
      <c r="C213" s="5">
        <v>186</v>
      </c>
      <c r="D213" s="5">
        <v>38</v>
      </c>
      <c r="E213" s="11">
        <v>1</v>
      </c>
      <c r="F213" s="11" t="s">
        <v>257</v>
      </c>
      <c r="G213" s="17" t="s">
        <v>258</v>
      </c>
      <c r="H213" s="17" t="s">
        <v>259</v>
      </c>
      <c r="I213" s="17" t="s">
        <v>260</v>
      </c>
      <c r="J213" s="10">
        <v>320</v>
      </c>
      <c r="K213" s="3">
        <v>100</v>
      </c>
      <c r="L213" s="3">
        <v>1800</v>
      </c>
      <c r="M213" s="3">
        <v>1800</v>
      </c>
      <c r="N213" s="3">
        <v>1800</v>
      </c>
      <c r="O213" s="3">
        <v>99</v>
      </c>
      <c r="P213" s="3">
        <v>0</v>
      </c>
      <c r="Q213" s="16" t="s">
        <v>182</v>
      </c>
      <c r="R213" s="16" t="s">
        <v>183</v>
      </c>
      <c r="S213" s="3">
        <v>1</v>
      </c>
      <c r="T213" s="3">
        <v>1</v>
      </c>
      <c r="U213" s="3">
        <v>1</v>
      </c>
      <c r="V213" s="16" t="s">
        <v>184</v>
      </c>
    </row>
    <row r="214" customHeight="1" spans="3:22">
      <c r="C214" s="5">
        <v>187</v>
      </c>
      <c r="D214" s="5">
        <v>38</v>
      </c>
      <c r="E214" s="5">
        <v>2</v>
      </c>
      <c r="F214" s="5" t="s">
        <v>257</v>
      </c>
      <c r="G214" s="10">
        <f t="shared" ref="G214:I214" si="160">G213*S214</f>
        <v>286000000</v>
      </c>
      <c r="H214" s="10">
        <f t="shared" si="160"/>
        <v>27500000</v>
      </c>
      <c r="I214" s="10">
        <f t="shared" si="160"/>
        <v>37200000000000</v>
      </c>
      <c r="J214" s="10">
        <f t="shared" ref="J214:J217" si="161">J213+10</f>
        <v>330</v>
      </c>
      <c r="K214" s="3">
        <v>100</v>
      </c>
      <c r="L214" s="2">
        <v>1800</v>
      </c>
      <c r="M214" s="2">
        <v>1800</v>
      </c>
      <c r="N214" s="2">
        <v>1800</v>
      </c>
      <c r="O214" s="2">
        <v>99</v>
      </c>
      <c r="P214" s="2">
        <v>0</v>
      </c>
      <c r="Q214" s="16" t="s">
        <v>185</v>
      </c>
      <c r="R214" s="16" t="s">
        <v>183</v>
      </c>
      <c r="S214" s="2">
        <v>1.1</v>
      </c>
      <c r="T214" s="2">
        <v>1.1</v>
      </c>
      <c r="U214" s="2">
        <v>1.2</v>
      </c>
      <c r="V214" s="16" t="s">
        <v>186</v>
      </c>
    </row>
    <row r="215" customHeight="1" spans="3:22">
      <c r="C215" s="5">
        <v>188</v>
      </c>
      <c r="D215" s="5">
        <v>38</v>
      </c>
      <c r="E215" s="5">
        <v>3</v>
      </c>
      <c r="F215" s="5" t="s">
        <v>257</v>
      </c>
      <c r="G215" s="10">
        <f t="shared" ref="G215:I215" si="162">G213*S215</f>
        <v>299000000</v>
      </c>
      <c r="H215" s="10">
        <f t="shared" si="162"/>
        <v>28750000</v>
      </c>
      <c r="I215" s="10">
        <f t="shared" si="162"/>
        <v>46500000000000</v>
      </c>
      <c r="J215" s="10">
        <f t="shared" si="161"/>
        <v>340</v>
      </c>
      <c r="K215" s="3">
        <v>100</v>
      </c>
      <c r="L215" s="2">
        <v>1800</v>
      </c>
      <c r="M215" s="2">
        <v>1800</v>
      </c>
      <c r="N215" s="2">
        <v>1800</v>
      </c>
      <c r="O215" s="2">
        <v>99</v>
      </c>
      <c r="P215" s="2">
        <v>0</v>
      </c>
      <c r="Q215" s="16" t="s">
        <v>182</v>
      </c>
      <c r="R215" s="16" t="s">
        <v>183</v>
      </c>
      <c r="S215" s="2">
        <v>1.15</v>
      </c>
      <c r="T215" s="2">
        <v>1.15</v>
      </c>
      <c r="U215" s="2">
        <v>1.5</v>
      </c>
      <c r="V215" s="16" t="s">
        <v>184</v>
      </c>
    </row>
    <row r="216" customHeight="1" spans="3:22">
      <c r="C216" s="5">
        <v>189</v>
      </c>
      <c r="D216" s="5">
        <v>38</v>
      </c>
      <c r="E216" s="5">
        <v>4</v>
      </c>
      <c r="F216" s="5" t="s">
        <v>261</v>
      </c>
      <c r="G216" s="10">
        <f t="shared" ref="G216:I216" si="163">G213*S216</f>
        <v>312000000</v>
      </c>
      <c r="H216" s="10">
        <f t="shared" si="163"/>
        <v>30000000</v>
      </c>
      <c r="I216" s="10">
        <f t="shared" si="163"/>
        <v>55800000000000</v>
      </c>
      <c r="J216" s="10">
        <f t="shared" si="161"/>
        <v>350</v>
      </c>
      <c r="K216" s="3">
        <v>100</v>
      </c>
      <c r="L216" s="2">
        <v>1800</v>
      </c>
      <c r="M216" s="2">
        <v>1800</v>
      </c>
      <c r="N216" s="2">
        <v>1800</v>
      </c>
      <c r="O216" s="2">
        <v>99</v>
      </c>
      <c r="P216" s="2">
        <v>0</v>
      </c>
      <c r="Q216" s="16" t="s">
        <v>188</v>
      </c>
      <c r="R216" s="16" t="s">
        <v>189</v>
      </c>
      <c r="S216" s="2">
        <v>1.2</v>
      </c>
      <c r="T216" s="2">
        <v>1.2</v>
      </c>
      <c r="U216" s="2">
        <v>1.8</v>
      </c>
      <c r="V216" s="16" t="s">
        <v>117</v>
      </c>
    </row>
    <row r="217" customHeight="1" spans="3:22">
      <c r="C217" s="5">
        <v>190</v>
      </c>
      <c r="D217" s="5">
        <v>38</v>
      </c>
      <c r="E217" s="5">
        <v>5</v>
      </c>
      <c r="F217" s="5" t="s">
        <v>262</v>
      </c>
      <c r="G217" s="10">
        <f t="shared" ref="G217:I217" si="164">G213*S217</f>
        <v>325000000</v>
      </c>
      <c r="H217" s="10">
        <f t="shared" si="164"/>
        <v>31250000</v>
      </c>
      <c r="I217" s="10">
        <f t="shared" si="164"/>
        <v>77500000000000</v>
      </c>
      <c r="J217" s="10">
        <f t="shared" si="161"/>
        <v>360</v>
      </c>
      <c r="K217" s="3">
        <v>100</v>
      </c>
      <c r="L217" s="2">
        <v>1800</v>
      </c>
      <c r="M217" s="2">
        <v>1800</v>
      </c>
      <c r="N217" s="2">
        <v>1800</v>
      </c>
      <c r="O217" s="2">
        <v>99</v>
      </c>
      <c r="P217" s="2">
        <v>0</v>
      </c>
      <c r="Q217" s="16" t="s">
        <v>191</v>
      </c>
      <c r="R217" s="16" t="s">
        <v>189</v>
      </c>
      <c r="S217" s="2">
        <v>1.25</v>
      </c>
      <c r="T217" s="2">
        <v>1.25</v>
      </c>
      <c r="U217" s="2">
        <v>2.5</v>
      </c>
      <c r="V217" s="16" t="s">
        <v>191</v>
      </c>
    </row>
    <row r="218" customHeight="1" spans="3:22">
      <c r="G218" s="1"/>
    </row>
    <row r="219" customHeight="1" spans="3:22">
      <c r="C219" s="5">
        <v>191</v>
      </c>
      <c r="D219" s="5">
        <v>39</v>
      </c>
      <c r="E219" s="11">
        <v>1</v>
      </c>
      <c r="F219" s="11" t="s">
        <v>263</v>
      </c>
      <c r="G219" s="17" t="s">
        <v>71</v>
      </c>
      <c r="H219" s="17" t="s">
        <v>264</v>
      </c>
      <c r="I219" s="17" t="s">
        <v>265</v>
      </c>
      <c r="J219" s="10">
        <v>330</v>
      </c>
      <c r="K219" s="3">
        <v>100</v>
      </c>
      <c r="L219" s="3">
        <v>1800</v>
      </c>
      <c r="M219" s="3">
        <v>1800</v>
      </c>
      <c r="N219" s="3">
        <v>1800</v>
      </c>
      <c r="O219" s="3">
        <v>99</v>
      </c>
      <c r="P219" s="3">
        <v>0</v>
      </c>
      <c r="Q219" s="16" t="s">
        <v>182</v>
      </c>
      <c r="R219" s="16" t="s">
        <v>183</v>
      </c>
      <c r="S219" s="3">
        <v>1</v>
      </c>
      <c r="T219" s="3">
        <v>1</v>
      </c>
      <c r="U219" s="3">
        <v>1</v>
      </c>
      <c r="V219" s="16" t="s">
        <v>184</v>
      </c>
    </row>
    <row r="220" customHeight="1" spans="3:22">
      <c r="C220" s="5">
        <v>192</v>
      </c>
      <c r="D220" s="5">
        <v>39</v>
      </c>
      <c r="E220" s="5">
        <v>2</v>
      </c>
      <c r="F220" s="5" t="s">
        <v>263</v>
      </c>
      <c r="G220" s="10">
        <f t="shared" ref="G220:I220" si="165">G219*S220</f>
        <v>330000000</v>
      </c>
      <c r="H220" s="10">
        <f t="shared" si="165"/>
        <v>33000000</v>
      </c>
      <c r="I220" s="10">
        <f t="shared" si="165"/>
        <v>45600000000000</v>
      </c>
      <c r="J220" s="10">
        <f t="shared" ref="J220:J223" si="166">J219+10</f>
        <v>340</v>
      </c>
      <c r="K220" s="3">
        <v>100</v>
      </c>
      <c r="L220" s="2">
        <v>1800</v>
      </c>
      <c r="M220" s="2">
        <v>1800</v>
      </c>
      <c r="N220" s="2">
        <v>1800</v>
      </c>
      <c r="O220" s="2">
        <v>99</v>
      </c>
      <c r="P220" s="2">
        <v>0</v>
      </c>
      <c r="Q220" s="16" t="s">
        <v>185</v>
      </c>
      <c r="R220" s="16" t="s">
        <v>183</v>
      </c>
      <c r="S220" s="2">
        <v>1.1</v>
      </c>
      <c r="T220" s="2">
        <v>1.1</v>
      </c>
      <c r="U220" s="2">
        <v>1.2</v>
      </c>
      <c r="V220" s="16" t="s">
        <v>186</v>
      </c>
    </row>
    <row r="221" customHeight="1" spans="3:22">
      <c r="C221" s="5">
        <v>193</v>
      </c>
      <c r="D221" s="5">
        <v>39</v>
      </c>
      <c r="E221" s="5">
        <v>3</v>
      </c>
      <c r="F221" s="5" t="s">
        <v>263</v>
      </c>
      <c r="G221" s="10">
        <f t="shared" ref="G221:I221" si="167">G219*S221</f>
        <v>345000000</v>
      </c>
      <c r="H221" s="10">
        <f t="shared" si="167"/>
        <v>34500000</v>
      </c>
      <c r="I221" s="10">
        <f t="shared" si="167"/>
        <v>57000000000000</v>
      </c>
      <c r="J221" s="10">
        <f t="shared" si="166"/>
        <v>350</v>
      </c>
      <c r="K221" s="3">
        <v>100</v>
      </c>
      <c r="L221" s="2">
        <v>1800</v>
      </c>
      <c r="M221" s="2">
        <v>1800</v>
      </c>
      <c r="N221" s="2">
        <v>1800</v>
      </c>
      <c r="O221" s="2">
        <v>99</v>
      </c>
      <c r="P221" s="2">
        <v>0</v>
      </c>
      <c r="Q221" s="16" t="s">
        <v>182</v>
      </c>
      <c r="R221" s="16" t="s">
        <v>183</v>
      </c>
      <c r="S221" s="2">
        <v>1.15</v>
      </c>
      <c r="T221" s="2">
        <v>1.15</v>
      </c>
      <c r="U221" s="2">
        <v>1.5</v>
      </c>
      <c r="V221" s="16" t="s">
        <v>184</v>
      </c>
    </row>
    <row r="222" customHeight="1" spans="3:22">
      <c r="C222" s="5">
        <v>194</v>
      </c>
      <c r="D222" s="5">
        <v>39</v>
      </c>
      <c r="E222" s="5">
        <v>4</v>
      </c>
      <c r="F222" s="5" t="s">
        <v>266</v>
      </c>
      <c r="G222" s="10">
        <f t="shared" ref="G222:I222" si="168">G219*S222</f>
        <v>360000000</v>
      </c>
      <c r="H222" s="10">
        <f t="shared" si="168"/>
        <v>36000000</v>
      </c>
      <c r="I222" s="10">
        <f t="shared" si="168"/>
        <v>68400000000000</v>
      </c>
      <c r="J222" s="10">
        <f t="shared" si="166"/>
        <v>360</v>
      </c>
      <c r="K222" s="3">
        <v>100</v>
      </c>
      <c r="L222" s="2">
        <v>1800</v>
      </c>
      <c r="M222" s="2">
        <v>1800</v>
      </c>
      <c r="N222" s="2">
        <v>1800</v>
      </c>
      <c r="O222" s="2">
        <v>99</v>
      </c>
      <c r="P222" s="2">
        <v>0</v>
      </c>
      <c r="Q222" s="16" t="s">
        <v>188</v>
      </c>
      <c r="R222" s="16" t="s">
        <v>189</v>
      </c>
      <c r="S222" s="2">
        <v>1.2</v>
      </c>
      <c r="T222" s="2">
        <v>1.2</v>
      </c>
      <c r="U222" s="2">
        <v>1.8</v>
      </c>
      <c r="V222" s="16" t="s">
        <v>117</v>
      </c>
    </row>
    <row r="223" customHeight="1" spans="3:22">
      <c r="C223" s="5">
        <v>195</v>
      </c>
      <c r="D223" s="5">
        <v>39</v>
      </c>
      <c r="E223" s="5">
        <v>5</v>
      </c>
      <c r="F223" s="5" t="s">
        <v>267</v>
      </c>
      <c r="G223" s="10">
        <f t="shared" ref="G223:I223" si="169">G219*S223</f>
        <v>375000000</v>
      </c>
      <c r="H223" s="10">
        <f t="shared" si="169"/>
        <v>37500000</v>
      </c>
      <c r="I223" s="10">
        <f t="shared" si="169"/>
        <v>95000000000000</v>
      </c>
      <c r="J223" s="10">
        <f t="shared" si="166"/>
        <v>370</v>
      </c>
      <c r="K223" s="3">
        <v>100</v>
      </c>
      <c r="L223" s="2">
        <v>1800</v>
      </c>
      <c r="M223" s="2">
        <v>1800</v>
      </c>
      <c r="N223" s="2">
        <v>1800</v>
      </c>
      <c r="O223" s="2">
        <v>99</v>
      </c>
      <c r="P223" s="2">
        <v>0</v>
      </c>
      <c r="Q223" s="16" t="s">
        <v>191</v>
      </c>
      <c r="R223" s="16" t="s">
        <v>189</v>
      </c>
      <c r="S223" s="2">
        <v>1.25</v>
      </c>
      <c r="T223" s="2">
        <v>1.25</v>
      </c>
      <c r="U223" s="2">
        <v>2.5</v>
      </c>
      <c r="V223" s="16" t="s">
        <v>191</v>
      </c>
    </row>
    <row r="224" customHeight="1" spans="3:22">
      <c r="G224" s="1"/>
    </row>
    <row r="225" customHeight="1" spans="3:22">
      <c r="C225" s="5">
        <v>196</v>
      </c>
      <c r="D225" s="5">
        <v>40</v>
      </c>
      <c r="E225" s="11">
        <v>1</v>
      </c>
      <c r="F225" s="11" t="s">
        <v>268</v>
      </c>
      <c r="G225" s="17" t="s">
        <v>269</v>
      </c>
      <c r="H225" s="17" t="s">
        <v>270</v>
      </c>
      <c r="I225" s="17" t="s">
        <v>271</v>
      </c>
      <c r="J225" s="10">
        <v>340</v>
      </c>
      <c r="K225" s="3">
        <v>100</v>
      </c>
      <c r="L225" s="3">
        <v>1800</v>
      </c>
      <c r="M225" s="3">
        <v>1800</v>
      </c>
      <c r="N225" s="3">
        <v>1800</v>
      </c>
      <c r="O225" s="3">
        <v>99</v>
      </c>
      <c r="P225" s="3">
        <v>0</v>
      </c>
      <c r="Q225" s="16" t="s">
        <v>182</v>
      </c>
      <c r="R225" s="16" t="s">
        <v>183</v>
      </c>
      <c r="S225" s="3">
        <v>1</v>
      </c>
      <c r="T225" s="3">
        <v>1</v>
      </c>
      <c r="U225" s="3">
        <v>1</v>
      </c>
      <c r="V225" s="16" t="s">
        <v>184</v>
      </c>
    </row>
    <row r="226" customHeight="1" spans="3:22">
      <c r="C226" s="5">
        <v>197</v>
      </c>
      <c r="D226" s="5">
        <v>40</v>
      </c>
      <c r="E226" s="5">
        <v>2</v>
      </c>
      <c r="F226" s="5" t="s">
        <v>268</v>
      </c>
      <c r="G226" s="10">
        <f t="shared" ref="G226:I226" si="170">G225*S226</f>
        <v>396000000</v>
      </c>
      <c r="H226" s="10">
        <f t="shared" si="170"/>
        <v>38500000</v>
      </c>
      <c r="I226" s="10">
        <f t="shared" si="170"/>
        <v>56400000000000</v>
      </c>
      <c r="J226" s="10">
        <f t="shared" ref="J226:J229" si="171">J225+10</f>
        <v>350</v>
      </c>
      <c r="K226" s="3">
        <v>100</v>
      </c>
      <c r="L226" s="2">
        <v>1800</v>
      </c>
      <c r="M226" s="2">
        <v>1800</v>
      </c>
      <c r="N226" s="2">
        <v>1800</v>
      </c>
      <c r="O226" s="2">
        <v>99</v>
      </c>
      <c r="P226" s="2">
        <v>0</v>
      </c>
      <c r="Q226" s="16" t="s">
        <v>185</v>
      </c>
      <c r="R226" s="16" t="s">
        <v>183</v>
      </c>
      <c r="S226" s="2">
        <v>1.1</v>
      </c>
      <c r="T226" s="2">
        <v>1.1</v>
      </c>
      <c r="U226" s="2">
        <v>1.2</v>
      </c>
      <c r="V226" s="16" t="s">
        <v>186</v>
      </c>
    </row>
    <row r="227" customHeight="1" spans="3:22">
      <c r="C227" s="5">
        <v>198</v>
      </c>
      <c r="D227" s="5">
        <v>40</v>
      </c>
      <c r="E227" s="5">
        <v>3</v>
      </c>
      <c r="F227" s="5" t="s">
        <v>268</v>
      </c>
      <c r="G227" s="10">
        <f t="shared" ref="G227:I227" si="172">G225*S227</f>
        <v>414000000</v>
      </c>
      <c r="H227" s="10">
        <f t="shared" si="172"/>
        <v>40250000</v>
      </c>
      <c r="I227" s="10">
        <f t="shared" si="172"/>
        <v>70500000000000</v>
      </c>
      <c r="J227" s="10">
        <f t="shared" si="171"/>
        <v>360</v>
      </c>
      <c r="K227" s="3">
        <v>100</v>
      </c>
      <c r="L227" s="2">
        <v>1800</v>
      </c>
      <c r="M227" s="2">
        <v>1800</v>
      </c>
      <c r="N227" s="2">
        <v>1800</v>
      </c>
      <c r="O227" s="2">
        <v>99</v>
      </c>
      <c r="P227" s="2">
        <v>0</v>
      </c>
      <c r="Q227" s="16" t="s">
        <v>182</v>
      </c>
      <c r="R227" s="16" t="s">
        <v>183</v>
      </c>
      <c r="S227" s="2">
        <v>1.15</v>
      </c>
      <c r="T227" s="2">
        <v>1.15</v>
      </c>
      <c r="U227" s="2">
        <v>1.5</v>
      </c>
      <c r="V227" s="16" t="s">
        <v>184</v>
      </c>
    </row>
    <row r="228" customHeight="1" spans="3:22">
      <c r="C228" s="5">
        <v>199</v>
      </c>
      <c r="D228" s="5">
        <v>40</v>
      </c>
      <c r="E228" s="5">
        <v>4</v>
      </c>
      <c r="F228" s="5" t="s">
        <v>272</v>
      </c>
      <c r="G228" s="10">
        <f t="shared" ref="G228:I228" si="173">G225*S228</f>
        <v>432000000</v>
      </c>
      <c r="H228" s="10">
        <f t="shared" si="173"/>
        <v>42000000</v>
      </c>
      <c r="I228" s="10">
        <f t="shared" si="173"/>
        <v>84600000000000</v>
      </c>
      <c r="J228" s="10">
        <f t="shared" si="171"/>
        <v>370</v>
      </c>
      <c r="K228" s="3">
        <v>100</v>
      </c>
      <c r="L228" s="2">
        <v>1800</v>
      </c>
      <c r="M228" s="2">
        <v>1800</v>
      </c>
      <c r="N228" s="2">
        <v>1800</v>
      </c>
      <c r="O228" s="2">
        <v>99</v>
      </c>
      <c r="P228" s="2">
        <v>0</v>
      </c>
      <c r="Q228" s="16" t="s">
        <v>188</v>
      </c>
      <c r="R228" s="16" t="s">
        <v>189</v>
      </c>
      <c r="S228" s="2">
        <v>1.2</v>
      </c>
      <c r="T228" s="2">
        <v>1.2</v>
      </c>
      <c r="U228" s="2">
        <v>1.8</v>
      </c>
      <c r="V228" s="16" t="s">
        <v>117</v>
      </c>
    </row>
    <row r="229" customHeight="1" spans="3:22">
      <c r="C229" s="5">
        <v>200</v>
      </c>
      <c r="D229" s="5">
        <v>40</v>
      </c>
      <c r="E229" s="5">
        <v>5</v>
      </c>
      <c r="F229" s="5" t="s">
        <v>273</v>
      </c>
      <c r="G229" s="10">
        <f t="shared" ref="G229:I229" si="174">G225*S229</f>
        <v>450000000</v>
      </c>
      <c r="H229" s="10">
        <f t="shared" si="174"/>
        <v>43750000</v>
      </c>
      <c r="I229" s="10">
        <f t="shared" si="174"/>
        <v>117500000000000</v>
      </c>
      <c r="J229" s="10">
        <f t="shared" si="171"/>
        <v>380</v>
      </c>
      <c r="K229" s="3">
        <v>100</v>
      </c>
      <c r="L229" s="2">
        <v>1800</v>
      </c>
      <c r="M229" s="2">
        <v>1800</v>
      </c>
      <c r="N229" s="2">
        <v>1800</v>
      </c>
      <c r="O229" s="2">
        <v>99</v>
      </c>
      <c r="P229" s="2">
        <v>0</v>
      </c>
      <c r="Q229" s="16" t="s">
        <v>191</v>
      </c>
      <c r="R229" s="16" t="s">
        <v>189</v>
      </c>
      <c r="S229" s="2">
        <v>1.25</v>
      </c>
      <c r="T229" s="2">
        <v>1.25</v>
      </c>
      <c r="U229" s="2">
        <v>2.5</v>
      </c>
      <c r="V229" s="16" t="s">
        <v>191</v>
      </c>
    </row>
    <row r="230" customHeight="1" spans="3:22">
      <c r="G230" s="1"/>
    </row>
    <row r="231" customHeight="1" spans="3:22">
      <c r="C231" s="5">
        <v>201</v>
      </c>
      <c r="D231" s="5">
        <v>41</v>
      </c>
      <c r="E231" s="11">
        <v>1</v>
      </c>
      <c r="F231" s="11" t="s">
        <v>274</v>
      </c>
      <c r="G231" s="17" t="s">
        <v>275</v>
      </c>
      <c r="H231" s="17" t="s">
        <v>276</v>
      </c>
      <c r="I231" s="17" t="s">
        <v>277</v>
      </c>
      <c r="J231" s="10">
        <v>350</v>
      </c>
      <c r="K231" s="3">
        <v>100</v>
      </c>
      <c r="L231" s="3">
        <v>1800</v>
      </c>
      <c r="M231" s="3">
        <v>1800</v>
      </c>
      <c r="N231" s="3">
        <v>1800</v>
      </c>
      <c r="O231" s="3">
        <v>99</v>
      </c>
      <c r="P231" s="3">
        <v>0</v>
      </c>
      <c r="Q231" s="16" t="s">
        <v>182</v>
      </c>
      <c r="R231" s="16" t="s">
        <v>183</v>
      </c>
      <c r="S231" s="3">
        <v>1</v>
      </c>
      <c r="T231" s="3">
        <v>1</v>
      </c>
      <c r="U231" s="3">
        <v>1</v>
      </c>
      <c r="V231" s="16" t="s">
        <v>184</v>
      </c>
    </row>
    <row r="232" customHeight="1" spans="3:22">
      <c r="C232" s="5">
        <v>202</v>
      </c>
      <c r="D232" s="5">
        <v>41</v>
      </c>
      <c r="E232" s="5">
        <v>2</v>
      </c>
      <c r="F232" s="5" t="s">
        <v>274</v>
      </c>
      <c r="G232" s="10">
        <f t="shared" ref="G232:I232" si="175">G231*S232</f>
        <v>484000000</v>
      </c>
      <c r="H232" s="10">
        <f t="shared" si="175"/>
        <v>46200000</v>
      </c>
      <c r="I232" s="10">
        <f t="shared" si="175"/>
        <v>69600000000000</v>
      </c>
      <c r="J232" s="10">
        <f t="shared" ref="J232:J235" si="176">J231+10</f>
        <v>360</v>
      </c>
      <c r="K232" s="3">
        <v>100</v>
      </c>
      <c r="L232" s="2">
        <v>1800</v>
      </c>
      <c r="M232" s="2">
        <v>1800</v>
      </c>
      <c r="N232" s="2">
        <v>1800</v>
      </c>
      <c r="O232" s="2">
        <v>99</v>
      </c>
      <c r="P232" s="2">
        <v>0</v>
      </c>
      <c r="Q232" s="16" t="s">
        <v>185</v>
      </c>
      <c r="R232" s="16" t="s">
        <v>183</v>
      </c>
      <c r="S232" s="2">
        <v>1.1</v>
      </c>
      <c r="T232" s="2">
        <v>1.1</v>
      </c>
      <c r="U232" s="2">
        <v>1.2</v>
      </c>
      <c r="V232" s="16" t="s">
        <v>186</v>
      </c>
    </row>
    <row r="233" customHeight="1" spans="3:22">
      <c r="C233" s="5">
        <v>203</v>
      </c>
      <c r="D233" s="5">
        <v>41</v>
      </c>
      <c r="E233" s="5">
        <v>3</v>
      </c>
      <c r="F233" s="5" t="s">
        <v>274</v>
      </c>
      <c r="G233" s="10">
        <f t="shared" ref="G233:I233" si="177">G231*S233</f>
        <v>506000000</v>
      </c>
      <c r="H233" s="10">
        <f t="shared" si="177"/>
        <v>48300000</v>
      </c>
      <c r="I233" s="10">
        <f t="shared" si="177"/>
        <v>87000000000000</v>
      </c>
      <c r="J233" s="10">
        <f t="shared" si="176"/>
        <v>370</v>
      </c>
      <c r="K233" s="3">
        <v>100</v>
      </c>
      <c r="L233" s="2">
        <v>1800</v>
      </c>
      <c r="M233" s="2">
        <v>1800</v>
      </c>
      <c r="N233" s="2">
        <v>1800</v>
      </c>
      <c r="O233" s="2">
        <v>99</v>
      </c>
      <c r="P233" s="2">
        <v>0</v>
      </c>
      <c r="Q233" s="16" t="s">
        <v>182</v>
      </c>
      <c r="R233" s="16" t="s">
        <v>183</v>
      </c>
      <c r="S233" s="2">
        <v>1.15</v>
      </c>
      <c r="T233" s="2">
        <v>1.15</v>
      </c>
      <c r="U233" s="2">
        <v>1.5</v>
      </c>
      <c r="V233" s="16" t="s">
        <v>184</v>
      </c>
    </row>
    <row r="234" customHeight="1" spans="3:22">
      <c r="C234" s="5">
        <v>204</v>
      </c>
      <c r="D234" s="5">
        <v>41</v>
      </c>
      <c r="E234" s="5">
        <v>4</v>
      </c>
      <c r="F234" s="5" t="s">
        <v>278</v>
      </c>
      <c r="G234" s="10">
        <f t="shared" ref="G234:I234" si="178">G231*S234</f>
        <v>528000000</v>
      </c>
      <c r="H234" s="10">
        <f t="shared" si="178"/>
        <v>50400000</v>
      </c>
      <c r="I234" s="10">
        <f t="shared" si="178"/>
        <v>104400000000000</v>
      </c>
      <c r="J234" s="10">
        <f t="shared" si="176"/>
        <v>380</v>
      </c>
      <c r="K234" s="3">
        <v>100</v>
      </c>
      <c r="L234" s="2">
        <v>1800</v>
      </c>
      <c r="M234" s="2">
        <v>1800</v>
      </c>
      <c r="N234" s="2">
        <v>1800</v>
      </c>
      <c r="O234" s="2">
        <v>99</v>
      </c>
      <c r="P234" s="2">
        <v>0</v>
      </c>
      <c r="Q234" s="16" t="s">
        <v>188</v>
      </c>
      <c r="R234" s="16" t="s">
        <v>189</v>
      </c>
      <c r="S234" s="2">
        <v>1.2</v>
      </c>
      <c r="T234" s="2">
        <v>1.2</v>
      </c>
      <c r="U234" s="2">
        <v>1.8</v>
      </c>
      <c r="V234" s="16" t="s">
        <v>117</v>
      </c>
    </row>
    <row r="235" customHeight="1" spans="3:22">
      <c r="C235" s="5">
        <v>205</v>
      </c>
      <c r="D235" s="5">
        <v>41</v>
      </c>
      <c r="E235" s="5">
        <v>5</v>
      </c>
      <c r="F235" s="5" t="s">
        <v>279</v>
      </c>
      <c r="G235" s="10">
        <f t="shared" ref="G235:I235" si="179">G231*S235</f>
        <v>550000000</v>
      </c>
      <c r="H235" s="10">
        <f t="shared" si="179"/>
        <v>52500000</v>
      </c>
      <c r="I235" s="10">
        <f t="shared" si="179"/>
        <v>145000000000000</v>
      </c>
      <c r="J235" s="10">
        <f t="shared" si="176"/>
        <v>390</v>
      </c>
      <c r="K235" s="3">
        <v>100</v>
      </c>
      <c r="L235" s="2">
        <v>1800</v>
      </c>
      <c r="M235" s="2">
        <v>1800</v>
      </c>
      <c r="N235" s="2">
        <v>1800</v>
      </c>
      <c r="O235" s="2">
        <v>99</v>
      </c>
      <c r="P235" s="2">
        <v>0</v>
      </c>
      <c r="Q235" s="16" t="s">
        <v>191</v>
      </c>
      <c r="R235" s="16" t="s">
        <v>189</v>
      </c>
      <c r="S235" s="2">
        <v>1.25</v>
      </c>
      <c r="T235" s="2">
        <v>1.25</v>
      </c>
      <c r="U235" s="2">
        <v>2.5</v>
      </c>
      <c r="V235" s="16" t="s">
        <v>191</v>
      </c>
    </row>
    <row r="236" customHeight="1" spans="3:22">
      <c r="G236" s="1"/>
    </row>
    <row r="237" customHeight="1" spans="3:22">
      <c r="C237" s="5">
        <v>206</v>
      </c>
      <c r="D237" s="5">
        <v>42</v>
      </c>
      <c r="E237" s="11">
        <v>1</v>
      </c>
      <c r="F237" s="11" t="s">
        <v>280</v>
      </c>
      <c r="G237" s="17" t="s">
        <v>281</v>
      </c>
      <c r="H237" s="17" t="s">
        <v>282</v>
      </c>
      <c r="I237" s="17" t="s">
        <v>283</v>
      </c>
      <c r="J237" s="10">
        <v>360</v>
      </c>
      <c r="K237" s="3">
        <v>100</v>
      </c>
      <c r="L237" s="3">
        <v>1800</v>
      </c>
      <c r="M237" s="3">
        <v>1800</v>
      </c>
      <c r="N237" s="3">
        <v>1800</v>
      </c>
      <c r="O237" s="3">
        <v>99</v>
      </c>
      <c r="P237" s="3">
        <v>0</v>
      </c>
      <c r="Q237" s="16" t="s">
        <v>182</v>
      </c>
      <c r="R237" s="16" t="s">
        <v>183</v>
      </c>
      <c r="S237" s="3">
        <v>1</v>
      </c>
      <c r="T237" s="3">
        <v>1</v>
      </c>
      <c r="U237" s="3">
        <v>1</v>
      </c>
      <c r="V237" s="16" t="s">
        <v>184</v>
      </c>
    </row>
    <row r="238" customHeight="1" spans="3:22">
      <c r="C238" s="5">
        <v>207</v>
      </c>
      <c r="D238" s="5">
        <v>42</v>
      </c>
      <c r="E238" s="5">
        <v>2</v>
      </c>
      <c r="F238" s="5" t="s">
        <v>280</v>
      </c>
      <c r="G238" s="10">
        <f t="shared" ref="G238:I238" si="180">G237*S238</f>
        <v>605000000</v>
      </c>
      <c r="H238" s="10">
        <f t="shared" si="180"/>
        <v>55000000</v>
      </c>
      <c r="I238" s="10">
        <f t="shared" si="180"/>
        <v>84000000000000</v>
      </c>
      <c r="J238" s="10">
        <f t="shared" ref="J238:J241" si="181">J237+10</f>
        <v>370</v>
      </c>
      <c r="K238" s="3">
        <v>100</v>
      </c>
      <c r="L238" s="2">
        <v>1800</v>
      </c>
      <c r="M238" s="2">
        <v>1800</v>
      </c>
      <c r="N238" s="2">
        <v>1800</v>
      </c>
      <c r="O238" s="2">
        <v>99</v>
      </c>
      <c r="P238" s="2">
        <v>0</v>
      </c>
      <c r="Q238" s="16" t="s">
        <v>185</v>
      </c>
      <c r="R238" s="16" t="s">
        <v>183</v>
      </c>
      <c r="S238" s="2">
        <v>1.1</v>
      </c>
      <c r="T238" s="2">
        <v>1.1</v>
      </c>
      <c r="U238" s="2">
        <v>1.2</v>
      </c>
      <c r="V238" s="16" t="s">
        <v>186</v>
      </c>
    </row>
    <row r="239" customHeight="1" spans="3:22">
      <c r="C239" s="5">
        <v>208</v>
      </c>
      <c r="D239" s="5">
        <v>42</v>
      </c>
      <c r="E239" s="5">
        <v>3</v>
      </c>
      <c r="F239" s="5" t="s">
        <v>280</v>
      </c>
      <c r="G239" s="10">
        <f t="shared" ref="G239:I239" si="182">G237*S239</f>
        <v>632500000</v>
      </c>
      <c r="H239" s="10">
        <f t="shared" si="182"/>
        <v>57500000</v>
      </c>
      <c r="I239" s="10">
        <f t="shared" si="182"/>
        <v>105000000000000</v>
      </c>
      <c r="J239" s="10">
        <f t="shared" si="181"/>
        <v>380</v>
      </c>
      <c r="K239" s="3">
        <v>100</v>
      </c>
      <c r="L239" s="2">
        <v>1800</v>
      </c>
      <c r="M239" s="2">
        <v>1800</v>
      </c>
      <c r="N239" s="2">
        <v>1800</v>
      </c>
      <c r="O239" s="2">
        <v>99</v>
      </c>
      <c r="P239" s="2">
        <v>0</v>
      </c>
      <c r="Q239" s="16" t="s">
        <v>182</v>
      </c>
      <c r="R239" s="16" t="s">
        <v>183</v>
      </c>
      <c r="S239" s="2">
        <v>1.15</v>
      </c>
      <c r="T239" s="2">
        <v>1.15</v>
      </c>
      <c r="U239" s="2">
        <v>1.5</v>
      </c>
      <c r="V239" s="16" t="s">
        <v>184</v>
      </c>
    </row>
    <row r="240" customHeight="1" spans="3:22">
      <c r="C240" s="5">
        <v>209</v>
      </c>
      <c r="D240" s="5">
        <v>42</v>
      </c>
      <c r="E240" s="5">
        <v>4</v>
      </c>
      <c r="F240" s="5" t="s">
        <v>284</v>
      </c>
      <c r="G240" s="10">
        <f t="shared" ref="G240:I240" si="183">G237*S240</f>
        <v>660000000</v>
      </c>
      <c r="H240" s="10">
        <f t="shared" si="183"/>
        <v>60000000</v>
      </c>
      <c r="I240" s="10">
        <f t="shared" si="183"/>
        <v>126000000000000</v>
      </c>
      <c r="J240" s="10">
        <f t="shared" si="181"/>
        <v>390</v>
      </c>
      <c r="K240" s="3">
        <v>100</v>
      </c>
      <c r="L240" s="2">
        <v>1800</v>
      </c>
      <c r="M240" s="2">
        <v>1800</v>
      </c>
      <c r="N240" s="2">
        <v>1800</v>
      </c>
      <c r="O240" s="2">
        <v>99</v>
      </c>
      <c r="P240" s="2">
        <v>0</v>
      </c>
      <c r="Q240" s="16" t="s">
        <v>188</v>
      </c>
      <c r="R240" s="16" t="s">
        <v>189</v>
      </c>
      <c r="S240" s="2">
        <v>1.2</v>
      </c>
      <c r="T240" s="2">
        <v>1.2</v>
      </c>
      <c r="U240" s="2">
        <v>1.8</v>
      </c>
      <c r="V240" s="16" t="s">
        <v>117</v>
      </c>
    </row>
    <row r="241" customHeight="1" spans="3:22">
      <c r="C241" s="5">
        <v>210</v>
      </c>
      <c r="D241" s="5">
        <v>42</v>
      </c>
      <c r="E241" s="5">
        <v>5</v>
      </c>
      <c r="F241" s="5" t="s">
        <v>285</v>
      </c>
      <c r="G241" s="10">
        <f t="shared" ref="G241:I241" si="184">G237*S241</f>
        <v>687500000</v>
      </c>
      <c r="H241" s="10">
        <f t="shared" si="184"/>
        <v>62500000</v>
      </c>
      <c r="I241" s="10">
        <f t="shared" si="184"/>
        <v>175000000000000</v>
      </c>
      <c r="J241" s="10">
        <f t="shared" si="181"/>
        <v>400</v>
      </c>
      <c r="K241" s="3">
        <v>100</v>
      </c>
      <c r="L241" s="2">
        <v>1800</v>
      </c>
      <c r="M241" s="2">
        <v>1800</v>
      </c>
      <c r="N241" s="2">
        <v>1800</v>
      </c>
      <c r="O241" s="2">
        <v>99</v>
      </c>
      <c r="P241" s="2">
        <v>0</v>
      </c>
      <c r="Q241" s="16" t="s">
        <v>191</v>
      </c>
      <c r="R241" s="16" t="s">
        <v>189</v>
      </c>
      <c r="S241" s="2">
        <v>1.25</v>
      </c>
      <c r="T241" s="2">
        <v>1.25</v>
      </c>
      <c r="U241" s="2">
        <v>2.5</v>
      </c>
      <c r="V241" s="16" t="s">
        <v>191</v>
      </c>
    </row>
    <row r="242" customHeight="1" spans="3:22">
      <c r="G242" s="1"/>
    </row>
    <row r="243" customHeight="1" spans="3:22">
      <c r="C243" s="5">
        <v>211</v>
      </c>
      <c r="D243" s="5">
        <v>43</v>
      </c>
      <c r="E243" s="11">
        <v>1</v>
      </c>
      <c r="F243" s="11" t="s">
        <v>286</v>
      </c>
      <c r="G243" s="17" t="s">
        <v>92</v>
      </c>
      <c r="H243" s="17" t="s">
        <v>43</v>
      </c>
      <c r="I243" s="17" t="s">
        <v>287</v>
      </c>
      <c r="J243" s="10">
        <v>360</v>
      </c>
      <c r="K243" s="3">
        <v>100</v>
      </c>
      <c r="L243" s="3">
        <v>1800</v>
      </c>
      <c r="M243" s="3">
        <v>1800</v>
      </c>
      <c r="N243" s="3">
        <v>1800</v>
      </c>
      <c r="O243" s="3">
        <v>99</v>
      </c>
      <c r="P243" s="3">
        <v>0</v>
      </c>
      <c r="Q243" s="16" t="s">
        <v>182</v>
      </c>
      <c r="R243" s="16" t="s">
        <v>183</v>
      </c>
      <c r="S243" s="3">
        <v>1</v>
      </c>
      <c r="T243" s="3">
        <v>1</v>
      </c>
      <c r="U243" s="3">
        <v>1</v>
      </c>
      <c r="V243" s="16" t="s">
        <v>184</v>
      </c>
    </row>
    <row r="244" customHeight="1" spans="3:22">
      <c r="C244" s="5">
        <v>212</v>
      </c>
      <c r="D244" s="5">
        <v>43</v>
      </c>
      <c r="E244" s="5">
        <v>2</v>
      </c>
      <c r="F244" s="5" t="s">
        <v>286</v>
      </c>
      <c r="G244" s="10">
        <f t="shared" ref="G244:I244" si="185">G243*S244</f>
        <v>770000000</v>
      </c>
      <c r="H244" s="10">
        <f t="shared" si="185"/>
        <v>77000000</v>
      </c>
      <c r="I244" s="10">
        <f t="shared" si="185"/>
        <v>108000000000000</v>
      </c>
      <c r="J244" s="10">
        <f t="shared" ref="J244:J247" si="186">J243+10</f>
        <v>370</v>
      </c>
      <c r="K244" s="3">
        <v>100</v>
      </c>
      <c r="L244" s="2">
        <v>1800</v>
      </c>
      <c r="M244" s="2">
        <v>1800</v>
      </c>
      <c r="N244" s="2">
        <v>1800</v>
      </c>
      <c r="O244" s="2">
        <v>99</v>
      </c>
      <c r="P244" s="2">
        <v>0</v>
      </c>
      <c r="Q244" s="16" t="s">
        <v>185</v>
      </c>
      <c r="R244" s="16" t="s">
        <v>183</v>
      </c>
      <c r="S244" s="2">
        <v>1.1</v>
      </c>
      <c r="T244" s="2">
        <v>1.1</v>
      </c>
      <c r="U244" s="2">
        <v>1.2</v>
      </c>
      <c r="V244" s="16" t="s">
        <v>186</v>
      </c>
    </row>
    <row r="245" customHeight="1" spans="3:22">
      <c r="C245" s="5">
        <v>213</v>
      </c>
      <c r="D245" s="5">
        <v>43</v>
      </c>
      <c r="E245" s="5">
        <v>3</v>
      </c>
      <c r="F245" s="5" t="s">
        <v>286</v>
      </c>
      <c r="G245" s="10">
        <f t="shared" ref="G245:I245" si="187">G243*S245</f>
        <v>805000000</v>
      </c>
      <c r="H245" s="10">
        <f t="shared" si="187"/>
        <v>80500000</v>
      </c>
      <c r="I245" s="10">
        <f t="shared" si="187"/>
        <v>135000000000000</v>
      </c>
      <c r="J245" s="10">
        <f t="shared" si="186"/>
        <v>380</v>
      </c>
      <c r="K245" s="3">
        <v>100</v>
      </c>
      <c r="L245" s="2">
        <v>1800</v>
      </c>
      <c r="M245" s="2">
        <v>1800</v>
      </c>
      <c r="N245" s="2">
        <v>1800</v>
      </c>
      <c r="O245" s="2">
        <v>99</v>
      </c>
      <c r="P245" s="2">
        <v>0</v>
      </c>
      <c r="Q245" s="16" t="s">
        <v>182</v>
      </c>
      <c r="R245" s="16" t="s">
        <v>183</v>
      </c>
      <c r="S245" s="2">
        <v>1.15</v>
      </c>
      <c r="T245" s="2">
        <v>1.15</v>
      </c>
      <c r="U245" s="2">
        <v>1.5</v>
      </c>
      <c r="V245" s="16" t="s">
        <v>184</v>
      </c>
    </row>
    <row r="246" customHeight="1" spans="3:22">
      <c r="C246" s="5">
        <v>214</v>
      </c>
      <c r="D246" s="5">
        <v>43</v>
      </c>
      <c r="E246" s="5">
        <v>4</v>
      </c>
      <c r="F246" s="5" t="s">
        <v>288</v>
      </c>
      <c r="G246" s="10">
        <f t="shared" ref="G246:I246" si="188">G243*S246</f>
        <v>840000000</v>
      </c>
      <c r="H246" s="10">
        <f t="shared" si="188"/>
        <v>84000000</v>
      </c>
      <c r="I246" s="10">
        <f t="shared" si="188"/>
        <v>162000000000000</v>
      </c>
      <c r="J246" s="10">
        <f t="shared" si="186"/>
        <v>390</v>
      </c>
      <c r="K246" s="3">
        <v>100</v>
      </c>
      <c r="L246" s="2">
        <v>1800</v>
      </c>
      <c r="M246" s="2">
        <v>1800</v>
      </c>
      <c r="N246" s="2">
        <v>1800</v>
      </c>
      <c r="O246" s="2">
        <v>99</v>
      </c>
      <c r="P246" s="2">
        <v>0</v>
      </c>
      <c r="Q246" s="16" t="s">
        <v>188</v>
      </c>
      <c r="R246" s="16" t="s">
        <v>189</v>
      </c>
      <c r="S246" s="2">
        <v>1.2</v>
      </c>
      <c r="T246" s="2">
        <v>1.2</v>
      </c>
      <c r="U246" s="2">
        <v>1.8</v>
      </c>
      <c r="V246" s="16" t="s">
        <v>117</v>
      </c>
    </row>
    <row r="247" customHeight="1" spans="3:22">
      <c r="C247" s="5">
        <v>215</v>
      </c>
      <c r="D247" s="5">
        <v>43</v>
      </c>
      <c r="E247" s="5">
        <v>5</v>
      </c>
      <c r="F247" s="5" t="s">
        <v>289</v>
      </c>
      <c r="G247" s="10">
        <f t="shared" ref="G247:I247" si="189">G243*S247</f>
        <v>875000000</v>
      </c>
      <c r="H247" s="10">
        <f t="shared" si="189"/>
        <v>87500000</v>
      </c>
      <c r="I247" s="10">
        <f t="shared" si="189"/>
        <v>225000000000000</v>
      </c>
      <c r="J247" s="10">
        <f t="shared" si="186"/>
        <v>400</v>
      </c>
      <c r="K247" s="3">
        <v>100</v>
      </c>
      <c r="L247" s="2">
        <v>1800</v>
      </c>
      <c r="M247" s="2">
        <v>1800</v>
      </c>
      <c r="N247" s="2">
        <v>1800</v>
      </c>
      <c r="O247" s="2">
        <v>99</v>
      </c>
      <c r="P247" s="2">
        <v>0</v>
      </c>
      <c r="Q247" s="16" t="s">
        <v>191</v>
      </c>
      <c r="R247" s="16" t="s">
        <v>189</v>
      </c>
      <c r="S247" s="2">
        <v>1.25</v>
      </c>
      <c r="T247" s="2">
        <v>1.25</v>
      </c>
      <c r="U247" s="2">
        <v>2.5</v>
      </c>
      <c r="V247" s="16" t="s">
        <v>191</v>
      </c>
    </row>
    <row r="248" customHeight="1" spans="3:22">
      <c r="G248" s="1"/>
    </row>
    <row r="249" customHeight="1" spans="3:22">
      <c r="C249" s="5">
        <v>216</v>
      </c>
      <c r="D249" s="5">
        <v>44</v>
      </c>
      <c r="E249" s="11">
        <v>1</v>
      </c>
      <c r="F249" s="11" t="s">
        <v>290</v>
      </c>
      <c r="G249" s="17" t="s">
        <v>109</v>
      </c>
      <c r="H249" s="17" t="s">
        <v>48</v>
      </c>
      <c r="I249" s="17" t="s">
        <v>291</v>
      </c>
      <c r="J249" s="10">
        <v>360</v>
      </c>
      <c r="K249" s="3">
        <v>100</v>
      </c>
      <c r="L249" s="3">
        <v>1800</v>
      </c>
      <c r="M249" s="3">
        <v>1800</v>
      </c>
      <c r="N249" s="3">
        <v>1800</v>
      </c>
      <c r="O249" s="3">
        <v>99</v>
      </c>
      <c r="P249" s="3">
        <v>0</v>
      </c>
      <c r="Q249" s="16" t="s">
        <v>182</v>
      </c>
      <c r="R249" s="16" t="s">
        <v>183</v>
      </c>
      <c r="S249" s="3">
        <v>1</v>
      </c>
      <c r="T249" s="3">
        <v>1</v>
      </c>
      <c r="U249" s="3">
        <v>1</v>
      </c>
      <c r="V249" s="16" t="s">
        <v>184</v>
      </c>
    </row>
    <row r="250" customHeight="1" spans="3:22">
      <c r="C250" s="5">
        <v>217</v>
      </c>
      <c r="D250" s="5">
        <v>44</v>
      </c>
      <c r="E250" s="5">
        <v>2</v>
      </c>
      <c r="F250" s="5" t="s">
        <v>290</v>
      </c>
      <c r="G250" s="10">
        <f t="shared" ref="G250:I250" si="190">G249*S250</f>
        <v>990000000</v>
      </c>
      <c r="H250" s="10">
        <f t="shared" si="190"/>
        <v>110000000</v>
      </c>
      <c r="I250" s="10">
        <f t="shared" si="190"/>
        <v>144000000000000</v>
      </c>
      <c r="J250" s="10">
        <f t="shared" ref="J250:J253" si="191">J249+10</f>
        <v>370</v>
      </c>
      <c r="K250" s="3">
        <v>100</v>
      </c>
      <c r="L250" s="2">
        <v>1800</v>
      </c>
      <c r="M250" s="2">
        <v>1800</v>
      </c>
      <c r="N250" s="2">
        <v>1800</v>
      </c>
      <c r="O250" s="2">
        <v>99</v>
      </c>
      <c r="P250" s="2">
        <v>0</v>
      </c>
      <c r="Q250" s="16" t="s">
        <v>185</v>
      </c>
      <c r="R250" s="16" t="s">
        <v>183</v>
      </c>
      <c r="S250" s="2">
        <v>1.1</v>
      </c>
      <c r="T250" s="2">
        <v>1.1</v>
      </c>
      <c r="U250" s="2">
        <v>1.2</v>
      </c>
      <c r="V250" s="16" t="s">
        <v>186</v>
      </c>
    </row>
    <row r="251" customHeight="1" spans="3:22">
      <c r="C251" s="5">
        <v>218</v>
      </c>
      <c r="D251" s="5">
        <v>44</v>
      </c>
      <c r="E251" s="5">
        <v>3</v>
      </c>
      <c r="F251" s="5" t="s">
        <v>290</v>
      </c>
      <c r="G251" s="10">
        <f t="shared" ref="G251:I251" si="192">G249*S251</f>
        <v>1035000000</v>
      </c>
      <c r="H251" s="10">
        <f t="shared" si="192"/>
        <v>115000000</v>
      </c>
      <c r="I251" s="10">
        <f t="shared" si="192"/>
        <v>180000000000000</v>
      </c>
      <c r="J251" s="10">
        <f t="shared" si="191"/>
        <v>380</v>
      </c>
      <c r="K251" s="3">
        <v>100</v>
      </c>
      <c r="L251" s="2">
        <v>1800</v>
      </c>
      <c r="M251" s="2">
        <v>1800</v>
      </c>
      <c r="N251" s="2">
        <v>1800</v>
      </c>
      <c r="O251" s="2">
        <v>99</v>
      </c>
      <c r="P251" s="2">
        <v>0</v>
      </c>
      <c r="Q251" s="16" t="s">
        <v>182</v>
      </c>
      <c r="R251" s="16" t="s">
        <v>183</v>
      </c>
      <c r="S251" s="2">
        <v>1.15</v>
      </c>
      <c r="T251" s="2">
        <v>1.15</v>
      </c>
      <c r="U251" s="2">
        <v>1.5</v>
      </c>
      <c r="V251" s="16" t="s">
        <v>184</v>
      </c>
    </row>
    <row r="252" customHeight="1" spans="3:22">
      <c r="C252" s="5">
        <v>219</v>
      </c>
      <c r="D252" s="5">
        <v>44</v>
      </c>
      <c r="E252" s="5">
        <v>4</v>
      </c>
      <c r="F252" s="5" t="s">
        <v>292</v>
      </c>
      <c r="G252" s="10">
        <f t="shared" ref="G252:I252" si="193">G249*S252</f>
        <v>1080000000</v>
      </c>
      <c r="H252" s="10">
        <f t="shared" si="193"/>
        <v>120000000</v>
      </c>
      <c r="I252" s="10">
        <f t="shared" si="193"/>
        <v>216000000000000</v>
      </c>
      <c r="J252" s="10">
        <f t="shared" si="191"/>
        <v>390</v>
      </c>
      <c r="K252" s="3">
        <v>100</v>
      </c>
      <c r="L252" s="2">
        <v>1800</v>
      </c>
      <c r="M252" s="2">
        <v>1800</v>
      </c>
      <c r="N252" s="2">
        <v>1800</v>
      </c>
      <c r="O252" s="2">
        <v>99</v>
      </c>
      <c r="P252" s="2">
        <v>0</v>
      </c>
      <c r="Q252" s="16" t="s">
        <v>188</v>
      </c>
      <c r="R252" s="16" t="s">
        <v>189</v>
      </c>
      <c r="S252" s="2">
        <v>1.2</v>
      </c>
      <c r="T252" s="2">
        <v>1.2</v>
      </c>
      <c r="U252" s="2">
        <v>1.8</v>
      </c>
      <c r="V252" s="16" t="s">
        <v>117</v>
      </c>
    </row>
    <row r="253" customHeight="1" spans="3:22">
      <c r="C253" s="5">
        <v>220</v>
      </c>
      <c r="D253" s="5">
        <v>44</v>
      </c>
      <c r="E253" s="5">
        <v>5</v>
      </c>
      <c r="F253" s="5" t="s">
        <v>293</v>
      </c>
      <c r="G253" s="10">
        <f t="shared" ref="G253:I253" si="194">G249*S253</f>
        <v>1125000000</v>
      </c>
      <c r="H253" s="10">
        <f t="shared" si="194"/>
        <v>125000000</v>
      </c>
      <c r="I253" s="10">
        <f t="shared" si="194"/>
        <v>300000000000000</v>
      </c>
      <c r="J253" s="10">
        <f t="shared" si="191"/>
        <v>400</v>
      </c>
      <c r="K253" s="3">
        <v>100</v>
      </c>
      <c r="L253" s="2">
        <v>1800</v>
      </c>
      <c r="M253" s="2">
        <v>1800</v>
      </c>
      <c r="N253" s="2">
        <v>1800</v>
      </c>
      <c r="O253" s="2">
        <v>99</v>
      </c>
      <c r="P253" s="2">
        <v>0</v>
      </c>
      <c r="Q253" s="16" t="s">
        <v>191</v>
      </c>
      <c r="R253" s="16" t="s">
        <v>189</v>
      </c>
      <c r="S253" s="2">
        <v>1.25</v>
      </c>
      <c r="T253" s="2">
        <v>1.25</v>
      </c>
      <c r="U253" s="2">
        <v>2.5</v>
      </c>
      <c r="V253" s="16" t="s">
        <v>191</v>
      </c>
    </row>
    <row r="254" s="2" customFormat="1" customHeight="1" spans="3:22">
      <c r="C254" s="5"/>
      <c r="D254" s="5"/>
      <c r="E254" s="5"/>
      <c r="F254" s="5"/>
      <c r="G254" s="10"/>
      <c r="H254" s="10"/>
      <c r="I254" s="10"/>
      <c r="J254" s="10"/>
    </row>
    <row r="255" customHeight="1" spans="3:22">
      <c r="C255" s="5">
        <v>221</v>
      </c>
      <c r="D255" s="5">
        <v>45</v>
      </c>
      <c r="E255" s="11">
        <v>1</v>
      </c>
      <c r="F255" s="11" t="s">
        <v>294</v>
      </c>
      <c r="G255" s="17" t="s">
        <v>113</v>
      </c>
      <c r="H255" s="17" t="s">
        <v>295</v>
      </c>
      <c r="I255" s="17" t="s">
        <v>296</v>
      </c>
      <c r="J255" s="10">
        <v>360</v>
      </c>
      <c r="K255" s="3">
        <v>100</v>
      </c>
      <c r="L255" s="3">
        <v>1800</v>
      </c>
      <c r="M255" s="3">
        <v>1800</v>
      </c>
      <c r="N255" s="3">
        <v>1800</v>
      </c>
      <c r="O255" s="3">
        <v>99</v>
      </c>
      <c r="P255" s="3">
        <v>0</v>
      </c>
      <c r="Q255" s="16" t="s">
        <v>182</v>
      </c>
      <c r="R255" s="16" t="s">
        <v>183</v>
      </c>
      <c r="S255" s="3">
        <v>1</v>
      </c>
      <c r="T255" s="3">
        <v>1</v>
      </c>
      <c r="U255" s="3">
        <v>1</v>
      </c>
      <c r="V255" s="16" t="s">
        <v>184</v>
      </c>
    </row>
    <row r="256" customHeight="1" spans="3:22">
      <c r="C256" s="5">
        <v>222</v>
      </c>
      <c r="D256" s="5">
        <v>45</v>
      </c>
      <c r="E256" s="5">
        <v>2</v>
      </c>
      <c r="F256" s="5" t="s">
        <v>294</v>
      </c>
      <c r="G256" s="10">
        <f t="shared" ref="G256:I256" si="195">G255*S256</f>
        <v>1320000000</v>
      </c>
      <c r="H256" s="10">
        <f t="shared" si="195"/>
        <v>165000000</v>
      </c>
      <c r="I256" s="10">
        <f t="shared" si="195"/>
        <v>192000000000000</v>
      </c>
      <c r="J256" s="10">
        <f t="shared" ref="J256:J259" si="196">J255+10</f>
        <v>370</v>
      </c>
      <c r="K256" s="3">
        <v>100</v>
      </c>
      <c r="L256" s="2">
        <v>1800</v>
      </c>
      <c r="M256" s="2">
        <v>1800</v>
      </c>
      <c r="N256" s="2">
        <v>1800</v>
      </c>
      <c r="O256" s="2">
        <v>99</v>
      </c>
      <c r="P256" s="2">
        <v>0</v>
      </c>
      <c r="Q256" s="16" t="s">
        <v>185</v>
      </c>
      <c r="R256" s="16" t="s">
        <v>183</v>
      </c>
      <c r="S256" s="2">
        <v>1.1</v>
      </c>
      <c r="T256" s="2">
        <v>1.1</v>
      </c>
      <c r="U256" s="2">
        <v>1.2</v>
      </c>
      <c r="V256" s="16" t="s">
        <v>186</v>
      </c>
    </row>
    <row r="257" customHeight="1" spans="1:22">
      <c r="C257" s="5">
        <v>223</v>
      </c>
      <c r="D257" s="5">
        <v>45</v>
      </c>
      <c r="E257" s="5">
        <v>3</v>
      </c>
      <c r="F257" s="5" t="s">
        <v>294</v>
      </c>
      <c r="G257" s="10">
        <f t="shared" ref="G257:I257" si="197">G255*S257</f>
        <v>1380000000</v>
      </c>
      <c r="H257" s="10">
        <f t="shared" si="197"/>
        <v>172500000</v>
      </c>
      <c r="I257" s="10">
        <f t="shared" si="197"/>
        <v>240000000000000</v>
      </c>
      <c r="J257" s="10">
        <f t="shared" si="196"/>
        <v>380</v>
      </c>
      <c r="K257" s="3">
        <v>100</v>
      </c>
      <c r="L257" s="2">
        <v>1800</v>
      </c>
      <c r="M257" s="2">
        <v>1800</v>
      </c>
      <c r="N257" s="2">
        <v>1800</v>
      </c>
      <c r="O257" s="2">
        <v>99</v>
      </c>
      <c r="P257" s="2">
        <v>0</v>
      </c>
      <c r="Q257" s="16" t="s">
        <v>182</v>
      </c>
      <c r="R257" s="16" t="s">
        <v>183</v>
      </c>
      <c r="S257" s="2">
        <v>1.15</v>
      </c>
      <c r="T257" s="2">
        <v>1.15</v>
      </c>
      <c r="U257" s="2">
        <v>1.5</v>
      </c>
      <c r="V257" s="16" t="s">
        <v>184</v>
      </c>
    </row>
    <row r="258" customHeight="1" spans="1:22">
      <c r="C258" s="5">
        <v>224</v>
      </c>
      <c r="D258" s="5">
        <v>45</v>
      </c>
      <c r="E258" s="5">
        <v>4</v>
      </c>
      <c r="F258" s="5" t="s">
        <v>297</v>
      </c>
      <c r="G258" s="10">
        <f t="shared" ref="G258:I258" si="198">G255*S258</f>
        <v>1440000000</v>
      </c>
      <c r="H258" s="10">
        <f t="shared" si="198"/>
        <v>180000000</v>
      </c>
      <c r="I258" s="10">
        <f t="shared" si="198"/>
        <v>288000000000000</v>
      </c>
      <c r="J258" s="10">
        <f t="shared" si="196"/>
        <v>390</v>
      </c>
      <c r="K258" s="3">
        <v>100</v>
      </c>
      <c r="L258" s="2">
        <v>1800</v>
      </c>
      <c r="M258" s="2">
        <v>1800</v>
      </c>
      <c r="N258" s="2">
        <v>1800</v>
      </c>
      <c r="O258" s="2">
        <v>99</v>
      </c>
      <c r="P258" s="2">
        <v>0</v>
      </c>
      <c r="Q258" s="16" t="s">
        <v>188</v>
      </c>
      <c r="R258" s="16" t="s">
        <v>189</v>
      </c>
      <c r="S258" s="2">
        <v>1.2</v>
      </c>
      <c r="T258" s="2">
        <v>1.2</v>
      </c>
      <c r="U258" s="2">
        <v>1.8</v>
      </c>
      <c r="V258" s="16" t="s">
        <v>117</v>
      </c>
    </row>
    <row r="259" customHeight="1" spans="1:22">
      <c r="C259" s="5">
        <v>225</v>
      </c>
      <c r="D259" s="5">
        <v>45</v>
      </c>
      <c r="E259" s="5">
        <v>5</v>
      </c>
      <c r="F259" s="5" t="s">
        <v>298</v>
      </c>
      <c r="G259" s="10">
        <f t="shared" ref="G259:I259" si="199">G255*S259</f>
        <v>1500000000</v>
      </c>
      <c r="H259" s="10">
        <f t="shared" si="199"/>
        <v>187500000</v>
      </c>
      <c r="I259" s="10">
        <f t="shared" si="199"/>
        <v>400000000000000</v>
      </c>
      <c r="J259" s="10">
        <f t="shared" si="196"/>
        <v>400</v>
      </c>
      <c r="K259" s="3">
        <v>100</v>
      </c>
      <c r="L259" s="2">
        <v>1800</v>
      </c>
      <c r="M259" s="2">
        <v>1800</v>
      </c>
      <c r="N259" s="2">
        <v>1800</v>
      </c>
      <c r="O259" s="2">
        <v>99</v>
      </c>
      <c r="P259" s="2">
        <v>0</v>
      </c>
      <c r="Q259" s="16" t="s">
        <v>191</v>
      </c>
      <c r="R259" s="16" t="s">
        <v>189</v>
      </c>
      <c r="S259" s="2">
        <v>1.25</v>
      </c>
      <c r="T259" s="2">
        <v>1.25</v>
      </c>
      <c r="U259" s="2">
        <v>2.5</v>
      </c>
      <c r="V259" s="16" t="s">
        <v>191</v>
      </c>
    </row>
    <row r="260" s="2" customFormat="1" customHeight="1" spans="1:22">
      <c r="C260" s="5"/>
      <c r="D260" s="5"/>
      <c r="E260" s="5"/>
      <c r="F260" s="5"/>
      <c r="G260" s="10"/>
      <c r="H260" s="10"/>
      <c r="I260" s="10"/>
      <c r="J260" s="10"/>
    </row>
    <row r="261" s="2" customFormat="1" customHeight="1" spans="1:22">
      <c r="C261" s="5">
        <v>226</v>
      </c>
      <c r="D261" s="5">
        <v>46</v>
      </c>
      <c r="E261" s="11">
        <v>1</v>
      </c>
      <c r="F261" s="11" t="s">
        <v>299</v>
      </c>
      <c r="G261" s="17" t="s">
        <v>300</v>
      </c>
      <c r="H261" s="17" t="s">
        <v>71</v>
      </c>
      <c r="I261" s="17" t="s">
        <v>301</v>
      </c>
      <c r="J261" s="10">
        <v>360</v>
      </c>
      <c r="K261" s="3">
        <v>100</v>
      </c>
      <c r="L261" s="3">
        <v>1800</v>
      </c>
      <c r="M261" s="3">
        <v>1800</v>
      </c>
      <c r="N261" s="3">
        <v>1800</v>
      </c>
      <c r="O261" s="3">
        <v>99</v>
      </c>
      <c r="P261" s="3">
        <v>0</v>
      </c>
      <c r="Q261" s="16" t="s">
        <v>182</v>
      </c>
      <c r="R261" s="16" t="s">
        <v>183</v>
      </c>
      <c r="S261" s="3">
        <v>1</v>
      </c>
      <c r="T261" s="3">
        <v>1</v>
      </c>
      <c r="U261" s="3">
        <v>1</v>
      </c>
      <c r="V261" s="16" t="s">
        <v>184</v>
      </c>
    </row>
    <row r="262" s="2" customFormat="1" customHeight="1" spans="1:22">
      <c r="A262" s="4"/>
      <c r="B262" s="4"/>
      <c r="C262" s="5">
        <v>227</v>
      </c>
      <c r="D262" s="5">
        <v>46</v>
      </c>
      <c r="E262" s="5">
        <v>2</v>
      </c>
      <c r="F262" s="5" t="s">
        <v>299</v>
      </c>
      <c r="G262" s="10">
        <f t="shared" ref="G262:I262" si="200">G261*S262</f>
        <v>1760000000</v>
      </c>
      <c r="H262" s="10">
        <f t="shared" si="200"/>
        <v>330000000</v>
      </c>
      <c r="I262" s="10">
        <f t="shared" si="200"/>
        <v>252000000000000</v>
      </c>
      <c r="J262" s="10">
        <f t="shared" ref="J262:J265" si="201">J261+10</f>
        <v>370</v>
      </c>
      <c r="K262" s="3">
        <v>100</v>
      </c>
      <c r="L262" s="2">
        <v>1800</v>
      </c>
      <c r="M262" s="2">
        <v>1800</v>
      </c>
      <c r="N262" s="2">
        <v>1800</v>
      </c>
      <c r="O262" s="2">
        <v>99</v>
      </c>
      <c r="P262" s="2">
        <v>0</v>
      </c>
      <c r="Q262" s="16" t="s">
        <v>185</v>
      </c>
      <c r="R262" s="16" t="s">
        <v>183</v>
      </c>
      <c r="S262" s="2">
        <v>1.1</v>
      </c>
      <c r="T262" s="2">
        <v>1.1</v>
      </c>
      <c r="U262" s="2">
        <v>1.2</v>
      </c>
      <c r="V262" s="16" t="s">
        <v>186</v>
      </c>
    </row>
    <row r="263" s="2" customFormat="1" customHeight="1" spans="1:22">
      <c r="A263" s="4"/>
      <c r="B263" s="4"/>
      <c r="C263" s="5">
        <v>228</v>
      </c>
      <c r="D263" s="5">
        <v>46</v>
      </c>
      <c r="E263" s="5">
        <v>3</v>
      </c>
      <c r="F263" s="5" t="s">
        <v>299</v>
      </c>
      <c r="G263" s="10">
        <f t="shared" ref="G263:I263" si="202">G261*S263</f>
        <v>1840000000</v>
      </c>
      <c r="H263" s="10">
        <f t="shared" si="202"/>
        <v>345000000</v>
      </c>
      <c r="I263" s="10">
        <f t="shared" si="202"/>
        <v>315000000000000</v>
      </c>
      <c r="J263" s="10">
        <f t="shared" si="201"/>
        <v>380</v>
      </c>
      <c r="K263" s="3">
        <v>100</v>
      </c>
      <c r="L263" s="2">
        <v>1800</v>
      </c>
      <c r="M263" s="2">
        <v>1800</v>
      </c>
      <c r="N263" s="2">
        <v>1800</v>
      </c>
      <c r="O263" s="2">
        <v>99</v>
      </c>
      <c r="P263" s="2">
        <v>0</v>
      </c>
      <c r="Q263" s="16" t="s">
        <v>182</v>
      </c>
      <c r="R263" s="16" t="s">
        <v>183</v>
      </c>
      <c r="S263" s="2">
        <v>1.15</v>
      </c>
      <c r="T263" s="2">
        <v>1.15</v>
      </c>
      <c r="U263" s="2">
        <v>1.5</v>
      </c>
      <c r="V263" s="16" t="s">
        <v>184</v>
      </c>
    </row>
    <row r="264" s="2" customFormat="1" customHeight="1" spans="1:22">
      <c r="A264" s="4"/>
      <c r="B264" s="4"/>
      <c r="C264" s="5">
        <v>229</v>
      </c>
      <c r="D264" s="5">
        <v>46</v>
      </c>
      <c r="E264" s="5">
        <v>4</v>
      </c>
      <c r="F264" s="5" t="s">
        <v>302</v>
      </c>
      <c r="G264" s="10">
        <f t="shared" ref="G264:I264" si="203">G261*S264</f>
        <v>1920000000</v>
      </c>
      <c r="H264" s="10">
        <f t="shared" si="203"/>
        <v>360000000</v>
      </c>
      <c r="I264" s="10">
        <f t="shared" si="203"/>
        <v>378000000000000</v>
      </c>
      <c r="J264" s="10">
        <f t="shared" si="201"/>
        <v>390</v>
      </c>
      <c r="K264" s="3">
        <v>100</v>
      </c>
      <c r="L264" s="2">
        <v>1800</v>
      </c>
      <c r="M264" s="2">
        <v>1800</v>
      </c>
      <c r="N264" s="2">
        <v>1800</v>
      </c>
      <c r="O264" s="2">
        <v>99</v>
      </c>
      <c r="P264" s="2">
        <v>0</v>
      </c>
      <c r="Q264" s="16" t="s">
        <v>188</v>
      </c>
      <c r="R264" s="16" t="s">
        <v>189</v>
      </c>
      <c r="S264" s="2">
        <v>1.2</v>
      </c>
      <c r="T264" s="2">
        <v>1.2</v>
      </c>
      <c r="U264" s="2">
        <v>1.8</v>
      </c>
      <c r="V264" s="16" t="s">
        <v>117</v>
      </c>
    </row>
    <row r="265" s="2" customFormat="1" customHeight="1" spans="1:22">
      <c r="A265" s="4"/>
      <c r="B265" s="4"/>
      <c r="C265" s="5">
        <v>230</v>
      </c>
      <c r="D265" s="5">
        <v>46</v>
      </c>
      <c r="E265" s="5">
        <v>5</v>
      </c>
      <c r="F265" s="5" t="s">
        <v>303</v>
      </c>
      <c r="G265" s="10">
        <f t="shared" ref="G265:I265" si="204">G261*S265</f>
        <v>2000000000</v>
      </c>
      <c r="H265" s="10">
        <f t="shared" si="204"/>
        <v>375000000</v>
      </c>
      <c r="I265" s="10">
        <f t="shared" si="204"/>
        <v>525000000000000</v>
      </c>
      <c r="J265" s="10">
        <f t="shared" si="201"/>
        <v>400</v>
      </c>
      <c r="K265" s="3">
        <v>100</v>
      </c>
      <c r="L265" s="2">
        <v>1800</v>
      </c>
      <c r="M265" s="2">
        <v>1800</v>
      </c>
      <c r="N265" s="2">
        <v>1800</v>
      </c>
      <c r="O265" s="2">
        <v>99</v>
      </c>
      <c r="P265" s="2">
        <v>0</v>
      </c>
      <c r="Q265" s="16" t="s">
        <v>191</v>
      </c>
      <c r="R265" s="16" t="s">
        <v>189</v>
      </c>
      <c r="S265" s="2">
        <v>1.25</v>
      </c>
      <c r="T265" s="2">
        <v>1.25</v>
      </c>
      <c r="U265" s="2">
        <v>2.5</v>
      </c>
      <c r="V265" s="16" t="s">
        <v>191</v>
      </c>
    </row>
    <row r="266" s="2" customFormat="1" customHeight="1" spans="1:22">
      <c r="C266" s="5"/>
      <c r="D266" s="5"/>
      <c r="E266" s="5"/>
      <c r="F266" s="5"/>
      <c r="G266" s="10"/>
      <c r="H266" s="10"/>
      <c r="I266" s="10"/>
      <c r="J266" s="10"/>
    </row>
    <row r="267" customHeight="1" spans="1:22">
      <c r="C267" s="5">
        <v>231</v>
      </c>
      <c r="D267" s="5">
        <v>47</v>
      </c>
      <c r="E267" s="11">
        <v>1</v>
      </c>
      <c r="F267" s="11" t="s">
        <v>304</v>
      </c>
      <c r="G267" s="17" t="s">
        <v>305</v>
      </c>
      <c r="H267" s="17" t="s">
        <v>83</v>
      </c>
      <c r="I267" s="17" t="s">
        <v>306</v>
      </c>
      <c r="J267" s="10">
        <v>360</v>
      </c>
      <c r="K267" s="3">
        <v>100</v>
      </c>
      <c r="L267" s="3">
        <v>1800</v>
      </c>
      <c r="M267" s="3">
        <v>1800</v>
      </c>
      <c r="N267" s="3">
        <v>1800</v>
      </c>
      <c r="O267" s="3">
        <v>99</v>
      </c>
      <c r="P267" s="3">
        <v>0</v>
      </c>
      <c r="Q267" s="16" t="s">
        <v>182</v>
      </c>
      <c r="R267" s="16" t="s">
        <v>183</v>
      </c>
      <c r="S267" s="3">
        <v>1</v>
      </c>
      <c r="T267" s="3">
        <v>1</v>
      </c>
      <c r="U267" s="3">
        <v>1</v>
      </c>
      <c r="V267" s="16" t="s">
        <v>184</v>
      </c>
    </row>
    <row r="268" customHeight="1" spans="1:22">
      <c r="C268" s="5">
        <v>232</v>
      </c>
      <c r="D268" s="5">
        <v>47</v>
      </c>
      <c r="E268" s="5">
        <v>2</v>
      </c>
      <c r="F268" s="5" t="s">
        <v>304</v>
      </c>
      <c r="G268" s="10">
        <f t="shared" ref="G268:I268" si="205">G267*S268</f>
        <v>2310000000</v>
      </c>
      <c r="H268" s="10">
        <f t="shared" si="205"/>
        <v>660000000</v>
      </c>
      <c r="I268" s="10">
        <f t="shared" si="205"/>
        <v>324000000000000</v>
      </c>
      <c r="J268" s="10">
        <f t="shared" ref="J268:J271" si="206">J267+10</f>
        <v>370</v>
      </c>
      <c r="K268" s="3">
        <v>100</v>
      </c>
      <c r="L268" s="2">
        <v>1800</v>
      </c>
      <c r="M268" s="2">
        <v>1800</v>
      </c>
      <c r="N268" s="2">
        <v>1800</v>
      </c>
      <c r="O268" s="2">
        <v>99</v>
      </c>
      <c r="P268" s="2">
        <v>0</v>
      </c>
      <c r="Q268" s="16" t="s">
        <v>185</v>
      </c>
      <c r="R268" s="16" t="s">
        <v>183</v>
      </c>
      <c r="S268" s="2">
        <v>1.1</v>
      </c>
      <c r="T268" s="2">
        <v>1.1</v>
      </c>
      <c r="U268" s="2">
        <v>1.2</v>
      </c>
      <c r="V268" s="16" t="s">
        <v>186</v>
      </c>
    </row>
    <row r="269" customHeight="1" spans="1:22">
      <c r="C269" s="5">
        <v>233</v>
      </c>
      <c r="D269" s="5">
        <v>47</v>
      </c>
      <c r="E269" s="5">
        <v>3</v>
      </c>
      <c r="F269" s="5" t="s">
        <v>304</v>
      </c>
      <c r="G269" s="10">
        <f t="shared" ref="G269:I269" si="207">G267*S269</f>
        <v>2415000000</v>
      </c>
      <c r="H269" s="10">
        <f t="shared" si="207"/>
        <v>690000000</v>
      </c>
      <c r="I269" s="10">
        <f t="shared" si="207"/>
        <v>405000000000000</v>
      </c>
      <c r="J269" s="10">
        <f t="shared" si="206"/>
        <v>380</v>
      </c>
      <c r="K269" s="3">
        <v>100</v>
      </c>
      <c r="L269" s="2">
        <v>1800</v>
      </c>
      <c r="M269" s="2">
        <v>1800</v>
      </c>
      <c r="N269" s="2">
        <v>1800</v>
      </c>
      <c r="O269" s="2">
        <v>99</v>
      </c>
      <c r="P269" s="2">
        <v>0</v>
      </c>
      <c r="Q269" s="16" t="s">
        <v>182</v>
      </c>
      <c r="R269" s="16" t="s">
        <v>183</v>
      </c>
      <c r="S269" s="2">
        <v>1.15</v>
      </c>
      <c r="T269" s="2">
        <v>1.15</v>
      </c>
      <c r="U269" s="2">
        <v>1.5</v>
      </c>
      <c r="V269" s="16" t="s">
        <v>184</v>
      </c>
    </row>
    <row r="270" customHeight="1" spans="1:22">
      <c r="C270" s="5">
        <v>234</v>
      </c>
      <c r="D270" s="5">
        <v>47</v>
      </c>
      <c r="E270" s="5">
        <v>4</v>
      </c>
      <c r="F270" s="5" t="s">
        <v>307</v>
      </c>
      <c r="G270" s="10">
        <f t="shared" ref="G270:I270" si="208">G267*S270</f>
        <v>2520000000</v>
      </c>
      <c r="H270" s="10">
        <f t="shared" si="208"/>
        <v>720000000</v>
      </c>
      <c r="I270" s="10">
        <f t="shared" si="208"/>
        <v>486000000000000</v>
      </c>
      <c r="J270" s="10">
        <f t="shared" si="206"/>
        <v>390</v>
      </c>
      <c r="K270" s="3">
        <v>100</v>
      </c>
      <c r="L270" s="2">
        <v>1800</v>
      </c>
      <c r="M270" s="2">
        <v>1800</v>
      </c>
      <c r="N270" s="2">
        <v>1800</v>
      </c>
      <c r="O270" s="2">
        <v>99</v>
      </c>
      <c r="P270" s="2">
        <v>0</v>
      </c>
      <c r="Q270" s="16" t="s">
        <v>188</v>
      </c>
      <c r="R270" s="16" t="s">
        <v>189</v>
      </c>
      <c r="S270" s="2">
        <v>1.2</v>
      </c>
      <c r="T270" s="2">
        <v>1.2</v>
      </c>
      <c r="U270" s="2">
        <v>1.8</v>
      </c>
      <c r="V270" s="16" t="s">
        <v>117</v>
      </c>
    </row>
    <row r="271" customHeight="1" spans="1:22">
      <c r="C271" s="5">
        <v>235</v>
      </c>
      <c r="D271" s="5">
        <v>47</v>
      </c>
      <c r="E271" s="5">
        <v>5</v>
      </c>
      <c r="F271" s="5" t="s">
        <v>308</v>
      </c>
      <c r="G271" s="10">
        <f t="shared" ref="G271:I271" si="209">G267*S271</f>
        <v>2625000000</v>
      </c>
      <c r="H271" s="10">
        <f t="shared" si="209"/>
        <v>750000000</v>
      </c>
      <c r="I271" s="10">
        <f t="shared" si="209"/>
        <v>675000000000000</v>
      </c>
      <c r="J271" s="10">
        <f t="shared" si="206"/>
        <v>400</v>
      </c>
      <c r="K271" s="3">
        <v>100</v>
      </c>
      <c r="L271" s="2">
        <v>1800</v>
      </c>
      <c r="M271" s="2">
        <v>1800</v>
      </c>
      <c r="N271" s="2">
        <v>1800</v>
      </c>
      <c r="O271" s="2">
        <v>99</v>
      </c>
      <c r="P271" s="2">
        <v>0</v>
      </c>
      <c r="Q271" s="16" t="s">
        <v>191</v>
      </c>
      <c r="R271" s="16" t="s">
        <v>189</v>
      </c>
      <c r="S271" s="2">
        <v>1.25</v>
      </c>
      <c r="T271" s="2">
        <v>1.25</v>
      </c>
      <c r="U271" s="2">
        <v>2.5</v>
      </c>
      <c r="V271" s="16" t="s">
        <v>191</v>
      </c>
    </row>
    <row r="272" s="2" customFormat="1" customHeight="1" spans="1:22">
      <c r="C272" s="5"/>
      <c r="D272" s="5"/>
      <c r="E272" s="5"/>
      <c r="F272" s="5"/>
      <c r="G272" s="10"/>
      <c r="H272" s="10"/>
      <c r="I272" s="10"/>
      <c r="J272" s="10"/>
    </row>
    <row r="273" customHeight="1" spans="3:22">
      <c r="C273" s="5">
        <v>236</v>
      </c>
      <c r="D273" s="5">
        <v>48</v>
      </c>
      <c r="E273" s="11">
        <v>1</v>
      </c>
      <c r="F273" s="11" t="s">
        <v>309</v>
      </c>
      <c r="G273" s="17" t="s">
        <v>310</v>
      </c>
      <c r="H273" s="17" t="s">
        <v>113</v>
      </c>
      <c r="I273" s="17" t="s">
        <v>311</v>
      </c>
      <c r="J273" s="10">
        <v>360</v>
      </c>
      <c r="K273" s="3">
        <v>100</v>
      </c>
      <c r="L273" s="3">
        <v>1800</v>
      </c>
      <c r="M273" s="3">
        <v>1800</v>
      </c>
      <c r="N273" s="3">
        <v>1800</v>
      </c>
      <c r="O273" s="3">
        <v>99</v>
      </c>
      <c r="P273" s="3">
        <v>0</v>
      </c>
      <c r="Q273" s="16" t="s">
        <v>182</v>
      </c>
      <c r="R273" s="16" t="s">
        <v>183</v>
      </c>
      <c r="S273" s="3">
        <v>1</v>
      </c>
      <c r="T273" s="3">
        <v>1</v>
      </c>
      <c r="U273" s="3">
        <v>1</v>
      </c>
      <c r="V273" s="16" t="s">
        <v>184</v>
      </c>
    </row>
    <row r="274" customHeight="1" spans="3:22">
      <c r="C274" s="5">
        <v>237</v>
      </c>
      <c r="D274" s="5">
        <v>48</v>
      </c>
      <c r="E274" s="5">
        <v>2</v>
      </c>
      <c r="F274" s="5" t="s">
        <v>309</v>
      </c>
      <c r="G274" s="10">
        <f t="shared" ref="G274:I274" si="210">G273*S274</f>
        <v>2970000000</v>
      </c>
      <c r="H274" s="10">
        <f t="shared" si="210"/>
        <v>1320000000</v>
      </c>
      <c r="I274" s="10">
        <f t="shared" si="210"/>
        <v>420000000000000</v>
      </c>
      <c r="J274" s="10">
        <f t="shared" ref="J274:J277" si="211">J273+10</f>
        <v>370</v>
      </c>
      <c r="K274" s="3">
        <v>100</v>
      </c>
      <c r="L274" s="2">
        <v>1800</v>
      </c>
      <c r="M274" s="2">
        <v>1800</v>
      </c>
      <c r="N274" s="2">
        <v>1800</v>
      </c>
      <c r="O274" s="2">
        <v>99</v>
      </c>
      <c r="P274" s="2">
        <v>0</v>
      </c>
      <c r="Q274" s="16" t="s">
        <v>185</v>
      </c>
      <c r="R274" s="16" t="s">
        <v>183</v>
      </c>
      <c r="S274" s="2">
        <v>1.1</v>
      </c>
      <c r="T274" s="2">
        <v>1.1</v>
      </c>
      <c r="U274" s="2">
        <v>1.2</v>
      </c>
      <c r="V274" s="16" t="s">
        <v>186</v>
      </c>
    </row>
    <row r="275" customHeight="1" spans="3:22">
      <c r="C275" s="5">
        <v>238</v>
      </c>
      <c r="D275" s="5">
        <v>48</v>
      </c>
      <c r="E275" s="5">
        <v>3</v>
      </c>
      <c r="F275" s="5" t="s">
        <v>309</v>
      </c>
      <c r="G275" s="10">
        <f t="shared" ref="G275:I275" si="212">G273*S275</f>
        <v>3105000000</v>
      </c>
      <c r="H275" s="10">
        <f t="shared" si="212"/>
        <v>1380000000</v>
      </c>
      <c r="I275" s="10">
        <f t="shared" si="212"/>
        <v>525000000000000</v>
      </c>
      <c r="J275" s="10">
        <f t="shared" si="211"/>
        <v>380</v>
      </c>
      <c r="K275" s="3">
        <v>100</v>
      </c>
      <c r="L275" s="2">
        <v>1800</v>
      </c>
      <c r="M275" s="2">
        <v>1800</v>
      </c>
      <c r="N275" s="2">
        <v>1800</v>
      </c>
      <c r="O275" s="2">
        <v>99</v>
      </c>
      <c r="P275" s="2">
        <v>0</v>
      </c>
      <c r="Q275" s="16" t="s">
        <v>182</v>
      </c>
      <c r="R275" s="16" t="s">
        <v>183</v>
      </c>
      <c r="S275" s="2">
        <v>1.15</v>
      </c>
      <c r="T275" s="2">
        <v>1.15</v>
      </c>
      <c r="U275" s="2">
        <v>1.5</v>
      </c>
      <c r="V275" s="16" t="s">
        <v>184</v>
      </c>
    </row>
    <row r="276" customHeight="1" spans="3:22">
      <c r="C276" s="5">
        <v>239</v>
      </c>
      <c r="D276" s="5">
        <v>48</v>
      </c>
      <c r="E276" s="5">
        <v>4</v>
      </c>
      <c r="F276" s="5" t="s">
        <v>312</v>
      </c>
      <c r="G276" s="10">
        <f t="shared" ref="G276:I276" si="213">G273*S276</f>
        <v>3240000000</v>
      </c>
      <c r="H276" s="10">
        <f t="shared" si="213"/>
        <v>1440000000</v>
      </c>
      <c r="I276" s="10">
        <f t="shared" si="213"/>
        <v>630000000000000</v>
      </c>
      <c r="J276" s="10">
        <f t="shared" si="211"/>
        <v>390</v>
      </c>
      <c r="K276" s="3">
        <v>100</v>
      </c>
      <c r="L276" s="2">
        <v>1800</v>
      </c>
      <c r="M276" s="2">
        <v>1800</v>
      </c>
      <c r="N276" s="2">
        <v>1800</v>
      </c>
      <c r="O276" s="2">
        <v>99</v>
      </c>
      <c r="P276" s="2">
        <v>0</v>
      </c>
      <c r="Q276" s="16" t="s">
        <v>188</v>
      </c>
      <c r="R276" s="16" t="s">
        <v>189</v>
      </c>
      <c r="S276" s="2">
        <v>1.2</v>
      </c>
      <c r="T276" s="2">
        <v>1.2</v>
      </c>
      <c r="U276" s="2">
        <v>1.8</v>
      </c>
      <c r="V276" s="16" t="s">
        <v>117</v>
      </c>
    </row>
    <row r="277" customHeight="1" spans="3:22">
      <c r="C277" s="5">
        <v>240</v>
      </c>
      <c r="D277" s="5">
        <v>48</v>
      </c>
      <c r="E277" s="5">
        <v>5</v>
      </c>
      <c r="F277" s="5" t="s">
        <v>313</v>
      </c>
      <c r="G277" s="10">
        <f t="shared" ref="G277:I277" si="214">G273*S277</f>
        <v>3375000000</v>
      </c>
      <c r="H277" s="10">
        <f t="shared" si="214"/>
        <v>1500000000</v>
      </c>
      <c r="I277" s="10">
        <f t="shared" si="214"/>
        <v>875000000000000</v>
      </c>
      <c r="J277" s="10">
        <f t="shared" si="211"/>
        <v>400</v>
      </c>
      <c r="K277" s="3">
        <v>100</v>
      </c>
      <c r="L277" s="2">
        <v>1800</v>
      </c>
      <c r="M277" s="2">
        <v>1800</v>
      </c>
      <c r="N277" s="2">
        <v>1800</v>
      </c>
      <c r="O277" s="2">
        <v>99</v>
      </c>
      <c r="P277" s="2">
        <v>0</v>
      </c>
      <c r="Q277" s="16" t="s">
        <v>191</v>
      </c>
      <c r="R277" s="16" t="s">
        <v>189</v>
      </c>
      <c r="S277" s="2">
        <v>1.25</v>
      </c>
      <c r="T277" s="2">
        <v>1.25</v>
      </c>
      <c r="U277" s="2">
        <v>2.5</v>
      </c>
      <c r="V277" s="16" t="s">
        <v>191</v>
      </c>
    </row>
  </sheetData>
  <dataValidations count="1">
    <dataValidation type="custom" allowBlank="1" showErrorMessage="1" errorTitle="拒绝重复输入" error="当前输入的内容，与本区域的其他单元格内容重复。" sqref="C3:R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"/>
  <sheetViews>
    <sheetView tabSelected="1" workbookViewId="0">
      <selection activeCell="C36" sqref="C36"/>
    </sheetView>
  </sheetViews>
  <sheetFormatPr defaultColWidth="8.66666666666667" defaultRowHeight="14"/>
  <cols>
    <col min="6" max="6" width="13.6666666666667" customWidth="1"/>
    <col min="7" max="7" width="16.25" customWidth="1"/>
    <col min="8" max="8" width="17.4166666666667" customWidth="1"/>
    <col min="9" max="9" width="15.75" customWidth="1"/>
    <col min="10" max="10" width="11.1666666666667" customWidth="1"/>
    <col min="11" max="11" width="12.5" customWidth="1"/>
    <col min="12" max="12" width="13.4166666666667" customWidth="1"/>
    <col min="13" max="13" width="12.3333333333333" customWidth="1"/>
    <col min="14" max="14" width="15.9166666666667" customWidth="1"/>
    <col min="15" max="15" width="11.4166666666667" customWidth="1"/>
    <col min="16" max="16" width="12.9166666666667" customWidth="1"/>
    <col min="18" max="18" width="16.4166666666667" customWidth="1"/>
  </cols>
  <sheetData>
    <row r="1" s="1" customFormat="1" customHeight="1" spans="1:22">
      <c r="A1" s="4"/>
      <c r="B1" s="4"/>
      <c r="C1" s="5"/>
      <c r="D1" s="5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1" t="s">
        <v>0</v>
      </c>
      <c r="T1" s="1" t="s">
        <v>0</v>
      </c>
      <c r="U1" s="1" t="s">
        <v>0</v>
      </c>
      <c r="V1" s="1" t="s">
        <v>0</v>
      </c>
    </row>
    <row r="2" s="1" customFormat="1" customHeight="1" spans="1:22">
      <c r="A2" s="4"/>
      <c r="B2" s="4"/>
      <c r="C2" s="5"/>
      <c r="D2" s="5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1" t="s">
        <v>0</v>
      </c>
      <c r="T2" s="1" t="s">
        <v>0</v>
      </c>
      <c r="U2" s="1" t="s">
        <v>0</v>
      </c>
      <c r="V2" s="1" t="s">
        <v>0</v>
      </c>
    </row>
    <row r="3" s="1" customFormat="1" customHeight="1" spans="1:22">
      <c r="A3" s="4"/>
      <c r="B3" s="4"/>
      <c r="C3" s="7" t="s">
        <v>1</v>
      </c>
      <c r="D3" s="7" t="s">
        <v>2</v>
      </c>
      <c r="E3" s="8" t="s">
        <v>3</v>
      </c>
      <c r="F3" s="8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</row>
    <row r="4" s="1" customFormat="1" customHeight="1" spans="1:22">
      <c r="A4" s="4"/>
      <c r="B4" s="4"/>
      <c r="C4" s="7" t="s">
        <v>17</v>
      </c>
      <c r="D4" s="7" t="s">
        <v>2</v>
      </c>
      <c r="E4" s="8" t="s">
        <v>3</v>
      </c>
      <c r="F4" s="8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16</v>
      </c>
    </row>
    <row r="5" s="1" customFormat="1" customHeight="1" spans="1:22">
      <c r="A5" s="4"/>
      <c r="B5" s="4"/>
      <c r="C5" s="7" t="s">
        <v>18</v>
      </c>
      <c r="D5" s="7" t="s">
        <v>18</v>
      </c>
      <c r="E5" s="8" t="s">
        <v>18</v>
      </c>
      <c r="F5" s="8" t="s">
        <v>19</v>
      </c>
      <c r="G5" s="9" t="s">
        <v>19</v>
      </c>
      <c r="H5" s="9" t="s">
        <v>19</v>
      </c>
      <c r="I5" s="9" t="s">
        <v>19</v>
      </c>
      <c r="J5" s="9" t="s">
        <v>18</v>
      </c>
      <c r="K5" s="8" t="s">
        <v>18</v>
      </c>
      <c r="L5" s="8" t="s">
        <v>18</v>
      </c>
      <c r="M5" s="8" t="s">
        <v>18</v>
      </c>
      <c r="N5" s="8" t="s">
        <v>18</v>
      </c>
      <c r="O5" s="8" t="s">
        <v>18</v>
      </c>
      <c r="P5" s="8" t="s">
        <v>18</v>
      </c>
      <c r="Q5" s="8" t="s">
        <v>20</v>
      </c>
      <c r="R5" s="8" t="s">
        <v>20</v>
      </c>
    </row>
    <row r="6" s="2" customFormat="1" customHeight="1" spans="1:22">
      <c r="C6" s="5">
        <v>241</v>
      </c>
      <c r="D6" s="5">
        <v>49</v>
      </c>
      <c r="E6" s="5">
        <v>1</v>
      </c>
      <c r="F6" s="5" t="s">
        <v>314</v>
      </c>
      <c r="G6" s="15" t="s">
        <v>315</v>
      </c>
      <c r="H6" s="15" t="s">
        <v>139</v>
      </c>
      <c r="I6" s="15" t="s">
        <v>316</v>
      </c>
      <c r="J6" s="10">
        <v>360</v>
      </c>
      <c r="K6" s="2">
        <v>100</v>
      </c>
      <c r="L6" s="2">
        <v>1800</v>
      </c>
      <c r="M6" s="2">
        <v>1800</v>
      </c>
      <c r="N6" s="2">
        <v>1800</v>
      </c>
      <c r="O6" s="2">
        <v>99</v>
      </c>
      <c r="P6" s="2">
        <v>0</v>
      </c>
      <c r="Q6" s="16" t="s">
        <v>182</v>
      </c>
      <c r="R6" s="16" t="s">
        <v>183</v>
      </c>
      <c r="S6" s="2">
        <v>1</v>
      </c>
      <c r="T6" s="2">
        <v>1</v>
      </c>
      <c r="U6" s="2">
        <v>1</v>
      </c>
      <c r="V6" s="16" t="s">
        <v>184</v>
      </c>
    </row>
    <row r="7" s="2" customFormat="1" customHeight="1" spans="1:22">
      <c r="C7" s="5">
        <v>242</v>
      </c>
      <c r="D7" s="5">
        <v>49</v>
      </c>
      <c r="E7" s="5">
        <v>2</v>
      </c>
      <c r="F7" s="5" t="s">
        <v>314</v>
      </c>
      <c r="G7" s="10">
        <f t="shared" ref="G7:I7" si="0">G6*S7</f>
        <v>3740000000</v>
      </c>
      <c r="H7" s="10">
        <f t="shared" si="0"/>
        <v>2640000000</v>
      </c>
      <c r="I7" s="10">
        <f t="shared" si="0"/>
        <v>600000000000000</v>
      </c>
      <c r="J7" s="10">
        <f t="shared" ref="J7:J10" si="1">J6+10</f>
        <v>370</v>
      </c>
      <c r="K7" s="2">
        <v>100</v>
      </c>
      <c r="L7" s="2">
        <v>1800</v>
      </c>
      <c r="M7" s="2">
        <v>1800</v>
      </c>
      <c r="N7" s="2">
        <v>1800</v>
      </c>
      <c r="O7" s="2">
        <v>99</v>
      </c>
      <c r="P7" s="2">
        <v>0</v>
      </c>
      <c r="Q7" s="16" t="s">
        <v>185</v>
      </c>
      <c r="R7" s="16" t="s">
        <v>183</v>
      </c>
      <c r="S7" s="2">
        <v>1.1</v>
      </c>
      <c r="T7" s="2">
        <v>1.1</v>
      </c>
      <c r="U7" s="2">
        <v>1.2</v>
      </c>
      <c r="V7" s="16" t="s">
        <v>186</v>
      </c>
    </row>
    <row r="8" s="2" customFormat="1" customHeight="1" spans="1:22">
      <c r="C8" s="5">
        <v>243</v>
      </c>
      <c r="D8" s="5">
        <v>49</v>
      </c>
      <c r="E8" s="5">
        <v>3</v>
      </c>
      <c r="F8" s="5" t="s">
        <v>314</v>
      </c>
      <c r="G8" s="10">
        <f t="shared" ref="G8:I8" si="2">G6*S8</f>
        <v>3910000000</v>
      </c>
      <c r="H8" s="10">
        <f t="shared" si="2"/>
        <v>2760000000</v>
      </c>
      <c r="I8" s="10">
        <f t="shared" si="2"/>
        <v>750000000000000</v>
      </c>
      <c r="J8" s="10">
        <f t="shared" si="1"/>
        <v>380</v>
      </c>
      <c r="K8" s="2">
        <v>100</v>
      </c>
      <c r="L8" s="2">
        <v>1800</v>
      </c>
      <c r="M8" s="2">
        <v>1800</v>
      </c>
      <c r="N8" s="2">
        <v>1800</v>
      </c>
      <c r="O8" s="2">
        <v>99</v>
      </c>
      <c r="P8" s="2">
        <v>0</v>
      </c>
      <c r="Q8" s="16" t="s">
        <v>182</v>
      </c>
      <c r="R8" s="16" t="s">
        <v>183</v>
      </c>
      <c r="S8" s="2">
        <v>1.15</v>
      </c>
      <c r="T8" s="2">
        <v>1.15</v>
      </c>
      <c r="U8" s="2">
        <v>1.5</v>
      </c>
      <c r="V8" s="16" t="s">
        <v>184</v>
      </c>
    </row>
    <row r="9" s="2" customFormat="1" customHeight="1" spans="1:22">
      <c r="C9" s="5">
        <v>244</v>
      </c>
      <c r="D9" s="5">
        <v>49</v>
      </c>
      <c r="E9" s="5">
        <v>4</v>
      </c>
      <c r="F9" s="5" t="s">
        <v>317</v>
      </c>
      <c r="G9" s="10">
        <f t="shared" ref="G9:I9" si="3">G6*S9</f>
        <v>4080000000</v>
      </c>
      <c r="H9" s="10">
        <f t="shared" si="3"/>
        <v>2880000000</v>
      </c>
      <c r="I9" s="10">
        <f t="shared" si="3"/>
        <v>900000000000000</v>
      </c>
      <c r="J9" s="10">
        <f t="shared" si="1"/>
        <v>390</v>
      </c>
      <c r="K9" s="2">
        <v>100</v>
      </c>
      <c r="L9" s="2">
        <v>1800</v>
      </c>
      <c r="M9" s="2">
        <v>1800</v>
      </c>
      <c r="N9" s="2">
        <v>1800</v>
      </c>
      <c r="O9" s="2">
        <v>99</v>
      </c>
      <c r="P9" s="2">
        <v>0</v>
      </c>
      <c r="Q9" s="16" t="s">
        <v>188</v>
      </c>
      <c r="R9" s="16" t="s">
        <v>189</v>
      </c>
      <c r="S9" s="2">
        <v>1.2</v>
      </c>
      <c r="T9" s="2">
        <v>1.2</v>
      </c>
      <c r="U9" s="2">
        <v>1.8</v>
      </c>
      <c r="V9" s="16" t="s">
        <v>117</v>
      </c>
    </row>
    <row r="10" s="3" customFormat="1" customHeight="1" spans="1:22">
      <c r="C10" s="5">
        <v>245</v>
      </c>
      <c r="D10" s="5">
        <v>49</v>
      </c>
      <c r="E10" s="11">
        <v>5</v>
      </c>
      <c r="F10" s="5" t="s">
        <v>318</v>
      </c>
      <c r="G10" s="12">
        <f t="shared" ref="G10:I10" si="4">G6*S10</f>
        <v>4250000000</v>
      </c>
      <c r="H10" s="12">
        <f t="shared" si="4"/>
        <v>3000000000</v>
      </c>
      <c r="I10" s="12">
        <f t="shared" si="4"/>
        <v>1250000000000000</v>
      </c>
      <c r="J10" s="12">
        <f t="shared" si="1"/>
        <v>400</v>
      </c>
      <c r="K10" s="3">
        <v>100</v>
      </c>
      <c r="L10" s="3">
        <v>1800</v>
      </c>
      <c r="M10" s="3">
        <v>1800</v>
      </c>
      <c r="N10" s="3">
        <v>1800</v>
      </c>
      <c r="O10" s="3">
        <v>99</v>
      </c>
      <c r="P10" s="3">
        <v>0</v>
      </c>
      <c r="Q10" s="18" t="s">
        <v>191</v>
      </c>
      <c r="R10" s="18" t="s">
        <v>189</v>
      </c>
      <c r="S10" s="3">
        <v>1.25</v>
      </c>
      <c r="T10" s="3">
        <v>1.25</v>
      </c>
      <c r="U10" s="3">
        <v>2.5</v>
      </c>
      <c r="V10" s="18" t="s">
        <v>191</v>
      </c>
    </row>
    <row r="11" spans="1:22">
      <c r="F11" s="5"/>
    </row>
    <row r="12" s="2" customFormat="1" customHeight="1" spans="1:22">
      <c r="C12" s="5">
        <v>246</v>
      </c>
      <c r="D12" s="5">
        <v>50</v>
      </c>
      <c r="E12" s="5">
        <v>1</v>
      </c>
      <c r="F12" s="5" t="s">
        <v>319</v>
      </c>
      <c r="G12" s="15" t="s">
        <v>320</v>
      </c>
      <c r="H12" s="15" t="s">
        <v>321</v>
      </c>
      <c r="I12" s="15" t="s">
        <v>322</v>
      </c>
      <c r="J12" s="10">
        <v>360</v>
      </c>
      <c r="K12" s="2">
        <v>100</v>
      </c>
      <c r="L12" s="2">
        <v>1800</v>
      </c>
      <c r="M12" s="2">
        <v>1800</v>
      </c>
      <c r="N12" s="2">
        <v>1800</v>
      </c>
      <c r="O12" s="2">
        <v>99</v>
      </c>
      <c r="P12" s="2">
        <v>0</v>
      </c>
      <c r="Q12" s="16" t="s">
        <v>182</v>
      </c>
      <c r="R12" s="16" t="s">
        <v>183</v>
      </c>
      <c r="S12" s="2">
        <v>1</v>
      </c>
      <c r="T12" s="2">
        <v>1</v>
      </c>
      <c r="U12" s="2">
        <v>1</v>
      </c>
      <c r="V12" s="16" t="s">
        <v>184</v>
      </c>
    </row>
    <row r="13" s="2" customFormat="1" customHeight="1" spans="1:22">
      <c r="C13" s="5">
        <v>247</v>
      </c>
      <c r="D13" s="5">
        <v>50</v>
      </c>
      <c r="E13" s="5">
        <v>2</v>
      </c>
      <c r="F13" s="5" t="s">
        <v>319</v>
      </c>
      <c r="G13" s="10">
        <f t="shared" ref="G13:I13" si="5">G12*S13</f>
        <v>4620000000</v>
      </c>
      <c r="H13" s="10">
        <f t="shared" si="5"/>
        <v>3960000000</v>
      </c>
      <c r="I13" s="10">
        <f t="shared" si="5"/>
        <v>960000000000000</v>
      </c>
      <c r="J13" s="10">
        <f t="shared" ref="J13:J16" si="6">J12+10</f>
        <v>370</v>
      </c>
      <c r="K13" s="2">
        <v>100</v>
      </c>
      <c r="L13" s="2">
        <v>1800</v>
      </c>
      <c r="M13" s="2">
        <v>1800</v>
      </c>
      <c r="N13" s="2">
        <v>1800</v>
      </c>
      <c r="O13" s="2">
        <v>99</v>
      </c>
      <c r="P13" s="2">
        <v>0</v>
      </c>
      <c r="Q13" s="16" t="s">
        <v>185</v>
      </c>
      <c r="R13" s="16" t="s">
        <v>183</v>
      </c>
      <c r="S13" s="2">
        <v>1.1</v>
      </c>
      <c r="T13" s="2">
        <v>1.1</v>
      </c>
      <c r="U13" s="2">
        <v>1.2</v>
      </c>
      <c r="V13" s="16" t="s">
        <v>186</v>
      </c>
    </row>
    <row r="14" s="2" customFormat="1" customHeight="1" spans="1:22">
      <c r="C14" s="5">
        <v>248</v>
      </c>
      <c r="D14" s="5">
        <v>50</v>
      </c>
      <c r="E14" s="5">
        <v>3</v>
      </c>
      <c r="F14" s="5" t="s">
        <v>319</v>
      </c>
      <c r="G14" s="10">
        <f t="shared" ref="G14:I14" si="7">G12*S14</f>
        <v>4830000000</v>
      </c>
      <c r="H14" s="10">
        <f t="shared" si="7"/>
        <v>4140000000</v>
      </c>
      <c r="I14" s="10">
        <f t="shared" si="7"/>
        <v>1200000000000000</v>
      </c>
      <c r="J14" s="10">
        <f t="shared" si="6"/>
        <v>380</v>
      </c>
      <c r="K14" s="2">
        <v>100</v>
      </c>
      <c r="L14" s="2">
        <v>1800</v>
      </c>
      <c r="M14" s="2">
        <v>1800</v>
      </c>
      <c r="N14" s="2">
        <v>1800</v>
      </c>
      <c r="O14" s="2">
        <v>99</v>
      </c>
      <c r="P14" s="2">
        <v>0</v>
      </c>
      <c r="Q14" s="16" t="s">
        <v>182</v>
      </c>
      <c r="R14" s="16" t="s">
        <v>183</v>
      </c>
      <c r="S14" s="2">
        <v>1.15</v>
      </c>
      <c r="T14" s="2">
        <v>1.15</v>
      </c>
      <c r="U14" s="2">
        <v>1.5</v>
      </c>
      <c r="V14" s="16" t="s">
        <v>184</v>
      </c>
    </row>
    <row r="15" s="2" customFormat="1" customHeight="1" spans="1:22">
      <c r="C15" s="5">
        <v>249</v>
      </c>
      <c r="D15" s="5">
        <v>50</v>
      </c>
      <c r="E15" s="5">
        <v>4</v>
      </c>
      <c r="F15" s="5" t="s">
        <v>323</v>
      </c>
      <c r="G15" s="10">
        <f t="shared" ref="G15:I15" si="8">G12*S15</f>
        <v>5040000000</v>
      </c>
      <c r="H15" s="10">
        <f t="shared" si="8"/>
        <v>4320000000</v>
      </c>
      <c r="I15" s="10">
        <f t="shared" si="8"/>
        <v>1440000000000000</v>
      </c>
      <c r="J15" s="10">
        <f t="shared" si="6"/>
        <v>390</v>
      </c>
      <c r="K15" s="2">
        <v>100</v>
      </c>
      <c r="L15" s="2">
        <v>1800</v>
      </c>
      <c r="M15" s="2">
        <v>1800</v>
      </c>
      <c r="N15" s="2">
        <v>1800</v>
      </c>
      <c r="O15" s="2">
        <v>99</v>
      </c>
      <c r="P15" s="2">
        <v>0</v>
      </c>
      <c r="Q15" s="16" t="s">
        <v>188</v>
      </c>
      <c r="R15" s="16" t="s">
        <v>189</v>
      </c>
      <c r="S15" s="2">
        <v>1.2</v>
      </c>
      <c r="T15" s="2">
        <v>1.2</v>
      </c>
      <c r="U15" s="2">
        <v>1.8</v>
      </c>
      <c r="V15" s="16" t="s">
        <v>117</v>
      </c>
    </row>
    <row r="16" s="3" customFormat="1" customHeight="1" spans="1:22">
      <c r="C16" s="5">
        <v>250</v>
      </c>
      <c r="D16" s="5">
        <v>50</v>
      </c>
      <c r="E16" s="11">
        <v>5</v>
      </c>
      <c r="F16" s="5" t="s">
        <v>324</v>
      </c>
      <c r="G16" s="12">
        <f t="shared" ref="G16:I16" si="9">G12*S16</f>
        <v>5250000000</v>
      </c>
      <c r="H16" s="12">
        <f t="shared" si="9"/>
        <v>4500000000</v>
      </c>
      <c r="I16" s="12">
        <f t="shared" si="9"/>
        <v>2000000000000000</v>
      </c>
      <c r="J16" s="12">
        <f t="shared" si="6"/>
        <v>400</v>
      </c>
      <c r="K16" s="3">
        <v>100</v>
      </c>
      <c r="L16" s="3">
        <v>1800</v>
      </c>
      <c r="M16" s="3">
        <v>1800</v>
      </c>
      <c r="N16" s="3">
        <v>1800</v>
      </c>
      <c r="O16" s="3">
        <v>99</v>
      </c>
      <c r="P16" s="3">
        <v>0</v>
      </c>
      <c r="Q16" s="18" t="s">
        <v>191</v>
      </c>
      <c r="R16" s="18" t="s">
        <v>189</v>
      </c>
      <c r="S16" s="3">
        <v>1.25</v>
      </c>
      <c r="T16" s="3">
        <v>1.25</v>
      </c>
      <c r="U16" s="3">
        <v>2.5</v>
      </c>
      <c r="V16" s="18" t="s">
        <v>191</v>
      </c>
    </row>
    <row r="17" spans="3:22">
      <c r="F17" s="5"/>
    </row>
    <row r="18" s="2" customFormat="1" customHeight="1" spans="3:22">
      <c r="C18" s="5">
        <v>251</v>
      </c>
      <c r="D18" s="5">
        <v>51</v>
      </c>
      <c r="E18" s="5">
        <v>1</v>
      </c>
      <c r="F18" s="5" t="s">
        <v>325</v>
      </c>
      <c r="G18" s="15" t="s">
        <v>326</v>
      </c>
      <c r="H18" s="15" t="s">
        <v>155</v>
      </c>
      <c r="I18" s="15" t="s">
        <v>327</v>
      </c>
      <c r="J18" s="10">
        <v>360</v>
      </c>
      <c r="K18" s="2">
        <v>100</v>
      </c>
      <c r="L18" s="2">
        <v>1800</v>
      </c>
      <c r="M18" s="2">
        <v>1800</v>
      </c>
      <c r="N18" s="2">
        <v>1800</v>
      </c>
      <c r="O18" s="2">
        <v>99</v>
      </c>
      <c r="P18" s="2">
        <v>0</v>
      </c>
      <c r="Q18" s="16" t="s">
        <v>182</v>
      </c>
      <c r="R18" s="16" t="s">
        <v>183</v>
      </c>
      <c r="S18" s="2">
        <v>1</v>
      </c>
      <c r="T18" s="2">
        <v>1</v>
      </c>
      <c r="U18" s="2">
        <v>1</v>
      </c>
      <c r="V18" s="16" t="s">
        <v>184</v>
      </c>
    </row>
    <row r="19" s="2" customFormat="1" customHeight="1" spans="3:22">
      <c r="C19" s="5">
        <v>252</v>
      </c>
      <c r="D19" s="5">
        <v>51</v>
      </c>
      <c r="E19" s="5">
        <v>2</v>
      </c>
      <c r="F19" s="5" t="s">
        <v>325</v>
      </c>
      <c r="G19" s="10">
        <f t="shared" ref="G19:I19" si="10">G18*S19</f>
        <v>5610000000</v>
      </c>
      <c r="H19" s="10">
        <f t="shared" si="10"/>
        <v>6600000000</v>
      </c>
      <c r="I19" s="10">
        <f t="shared" si="10"/>
        <v>1440000000000000</v>
      </c>
      <c r="J19" s="10">
        <f t="shared" ref="J19:J22" si="11">J18+10</f>
        <v>370</v>
      </c>
      <c r="K19" s="2">
        <v>100</v>
      </c>
      <c r="L19" s="2">
        <v>1800</v>
      </c>
      <c r="M19" s="2">
        <v>1800</v>
      </c>
      <c r="N19" s="2">
        <v>1800</v>
      </c>
      <c r="O19" s="2">
        <v>99</v>
      </c>
      <c r="P19" s="2">
        <v>0</v>
      </c>
      <c r="Q19" s="16" t="s">
        <v>185</v>
      </c>
      <c r="R19" s="16" t="s">
        <v>183</v>
      </c>
      <c r="S19" s="2">
        <v>1.1</v>
      </c>
      <c r="T19" s="2">
        <v>1.1</v>
      </c>
      <c r="U19" s="2">
        <v>1.2</v>
      </c>
      <c r="V19" s="16" t="s">
        <v>186</v>
      </c>
    </row>
    <row r="20" s="2" customFormat="1" customHeight="1" spans="3:22">
      <c r="C20" s="5">
        <v>253</v>
      </c>
      <c r="D20" s="5">
        <v>51</v>
      </c>
      <c r="E20" s="5">
        <v>3</v>
      </c>
      <c r="F20" s="5" t="s">
        <v>325</v>
      </c>
      <c r="G20" s="10">
        <f t="shared" ref="G20:I20" si="12">G18*S20</f>
        <v>5865000000</v>
      </c>
      <c r="H20" s="10">
        <f t="shared" si="12"/>
        <v>6900000000</v>
      </c>
      <c r="I20" s="10">
        <f t="shared" si="12"/>
        <v>1800000000000000</v>
      </c>
      <c r="J20" s="10">
        <f t="shared" si="11"/>
        <v>380</v>
      </c>
      <c r="K20" s="2">
        <v>100</v>
      </c>
      <c r="L20" s="2">
        <v>1800</v>
      </c>
      <c r="M20" s="2">
        <v>1800</v>
      </c>
      <c r="N20" s="2">
        <v>1800</v>
      </c>
      <c r="O20" s="2">
        <v>99</v>
      </c>
      <c r="P20" s="2">
        <v>0</v>
      </c>
      <c r="Q20" s="16" t="s">
        <v>182</v>
      </c>
      <c r="R20" s="16" t="s">
        <v>183</v>
      </c>
      <c r="S20" s="2">
        <v>1.15</v>
      </c>
      <c r="T20" s="2">
        <v>1.15</v>
      </c>
      <c r="U20" s="2">
        <v>1.5</v>
      </c>
      <c r="V20" s="16" t="s">
        <v>184</v>
      </c>
    </row>
    <row r="21" s="2" customFormat="1" customHeight="1" spans="3:22">
      <c r="C21" s="5">
        <v>254</v>
      </c>
      <c r="D21" s="5">
        <v>51</v>
      </c>
      <c r="E21" s="5">
        <v>4</v>
      </c>
      <c r="F21" s="5" t="s">
        <v>328</v>
      </c>
      <c r="G21" s="10">
        <f t="shared" ref="G21:I21" si="13">G18*S21</f>
        <v>6120000000</v>
      </c>
      <c r="H21" s="10">
        <f t="shared" si="13"/>
        <v>7200000000</v>
      </c>
      <c r="I21" s="10">
        <f t="shared" si="13"/>
        <v>2160000000000000</v>
      </c>
      <c r="J21" s="10">
        <f t="shared" si="11"/>
        <v>390</v>
      </c>
      <c r="K21" s="2">
        <v>100</v>
      </c>
      <c r="L21" s="2">
        <v>1800</v>
      </c>
      <c r="M21" s="2">
        <v>1800</v>
      </c>
      <c r="N21" s="2">
        <v>1800</v>
      </c>
      <c r="O21" s="2">
        <v>99</v>
      </c>
      <c r="P21" s="2">
        <v>0</v>
      </c>
      <c r="Q21" s="16" t="s">
        <v>188</v>
      </c>
      <c r="R21" s="16" t="s">
        <v>189</v>
      </c>
      <c r="S21" s="2">
        <v>1.2</v>
      </c>
      <c r="T21" s="2">
        <v>1.2</v>
      </c>
      <c r="U21" s="2">
        <v>1.8</v>
      </c>
      <c r="V21" s="16" t="s">
        <v>117</v>
      </c>
    </row>
    <row r="22" s="3" customFormat="1" customHeight="1" spans="3:22">
      <c r="C22" s="5">
        <v>255</v>
      </c>
      <c r="D22" s="5">
        <v>51</v>
      </c>
      <c r="E22" s="11">
        <v>5</v>
      </c>
      <c r="F22" s="5" t="s">
        <v>329</v>
      </c>
      <c r="G22" s="12">
        <f t="shared" ref="G22:I22" si="14">G18*S22</f>
        <v>6375000000</v>
      </c>
      <c r="H22" s="12">
        <f t="shared" si="14"/>
        <v>7500000000</v>
      </c>
      <c r="I22" s="12">
        <f t="shared" si="14"/>
        <v>3000000000000000</v>
      </c>
      <c r="J22" s="12">
        <f t="shared" si="11"/>
        <v>400</v>
      </c>
      <c r="K22" s="3">
        <v>100</v>
      </c>
      <c r="L22" s="3">
        <v>1800</v>
      </c>
      <c r="M22" s="3">
        <v>1800</v>
      </c>
      <c r="N22" s="3">
        <v>1800</v>
      </c>
      <c r="O22" s="3">
        <v>99</v>
      </c>
      <c r="P22" s="3">
        <v>0</v>
      </c>
      <c r="Q22" s="18" t="s">
        <v>191</v>
      </c>
      <c r="R22" s="18" t="s">
        <v>189</v>
      </c>
      <c r="S22" s="3">
        <v>1.25</v>
      </c>
      <c r="T22" s="3">
        <v>1.25</v>
      </c>
      <c r="U22" s="3">
        <v>2.5</v>
      </c>
      <c r="V22" s="18" t="s">
        <v>191</v>
      </c>
    </row>
    <row r="23" spans="3:22">
      <c r="F23" s="13"/>
    </row>
  </sheetData>
  <dataValidations count="1">
    <dataValidation type="custom" allowBlank="1" showErrorMessage="1" errorTitle="拒绝重复输入" error="当前输入的内容，与本区域的其他单元格内容重复。" sqref="C3:R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2026-10-20T05:26:09Z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
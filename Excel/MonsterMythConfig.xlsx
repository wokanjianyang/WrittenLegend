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<sst xmlns="http://schemas.openxmlformats.org/spreadsheetml/2006/main" count="159" uniqueCount="48">
  <si>
    <t>#</t>
  </si>
  <si>
    <t>ID</t>
  </si>
  <si>
    <t>MapId</t>
  </si>
  <si>
    <t>Quality</t>
  </si>
  <si>
    <t>MonsterName</t>
  </si>
  <si>
    <t>Attr</t>
  </si>
  <si>
    <t>Def</t>
  </si>
  <si>
    <t>HP</t>
  </si>
  <si>
    <t>DamageIncrea</t>
  </si>
  <si>
    <t>DamageResist</t>
  </si>
  <si>
    <t>CritRateResist</t>
  </si>
  <si>
    <t>CritDamageResist</t>
  </si>
  <si>
    <t>Protect</t>
  </si>
  <si>
    <t>ResotrePercent</t>
  </si>
  <si>
    <t>SkillIdList</t>
  </si>
  <si>
    <t>SkillLevelList</t>
  </si>
  <si>
    <t>Id</t>
  </si>
  <si>
    <t>int</t>
  </si>
  <si>
    <t>string</t>
  </si>
  <si>
    <t>int[]</t>
  </si>
  <si>
    <t>神话小鸡</t>
  </si>
  <si>
    <t>100000</t>
  </si>
  <si>
    <t>1000000000</t>
  </si>
  <si>
    <t>1001</t>
  </si>
  <si>
    <t>10</t>
  </si>
  <si>
    <t>2001</t>
  </si>
  <si>
    <t>神话大鸡</t>
  </si>
  <si>
    <t>3001</t>
  </si>
  <si>
    <t>2001,2002</t>
  </si>
  <si>
    <t>10000,10</t>
  </si>
  <si>
    <t>神话鸡王</t>
  </si>
  <si>
    <t>3001,3002</t>
  </si>
  <si>
    <t>10,10</t>
  </si>
  <si>
    <t>神话骷髅</t>
  </si>
  <si>
    <t>150000</t>
  </si>
  <si>
    <t>1500000000</t>
  </si>
  <si>
    <t>神话僵尸</t>
  </si>
  <si>
    <t>200000</t>
  </si>
  <si>
    <t>2000000000</t>
  </si>
  <si>
    <t>神话虎蛇</t>
  </si>
  <si>
    <t>250000</t>
  </si>
  <si>
    <t>2500000000</t>
  </si>
  <si>
    <t>神话蜈蚣</t>
  </si>
  <si>
    <t>300000</t>
  </si>
  <si>
    <t>3000000000</t>
  </si>
  <si>
    <t>神话野猪</t>
  </si>
  <si>
    <t>400000</t>
  </si>
  <si>
    <t>4000000000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</si>
</sst>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0" fontId="1" fillId="0" borderId="0" xfId="0" applyNumberFormat="1" applyFont="1"/>
    <xf numFmtId="176" fontId="1" fillId="0" borderId="0" xfId="0" applyNumberFormat="1" applyFont="1" applyAlignment="1">
      <alignment horizontal="left"/>
    </xf>
    <xf numFmtId="176" fontId="1" fillId="0" borderId="0" xfId="0" applyNumberFormat="1" applyFont="1"/>
    <xf numFmtId="0" fontId="2" fillId="2" borderId="0" xfId="0" applyFont="1" applyFill="1" applyAlignment="1">
      <alignment horizontal="center"/>
    </xf>
    <xf numFmtId="176" fontId="2" fillId="2" borderId="0" xfId="0" applyNumberFormat="1" applyFont="1" applyFill="1" applyAlignment="1">
      <alignment horizontal="center"/>
    </xf>
    <xf numFmtId="176" fontId="1" fillId="0" borderId="0" xfId="0" applyNumberFormat="1" applyFont="1" applyFill="1" applyAlignment="1">
      <alignment horizontal="left"/>
    </xf>
    <xf numFmtId="0" fontId="1" fillId="0" borderId="0" xfId="0" applyNumberFormat="1" applyFont="1" applyFill="1"/>
    <xf numFmtId="176" fontId="1" fillId="0" borderId="0" xfId="0" applyNumberFormat="1" applyFont="1" applyFill="1" applyAlignment="1" quotePrefix="1">
      <alignment horizontal="left"/>
    </xf>
    <xf numFmtId="0" fontId="1" fillId="0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43"/>
  <sheetViews>
    <sheetView tabSelected="1" topLeftCell="B1" workbookViewId="0">
      <pane ySplit="5" topLeftCell="A6" activePane="bottomLeft" state="frozen"/>
      <selection/>
      <selection pane="bottomLeft" activeCell="H24" sqref="H24"/>
    </sheetView>
  </sheetViews>
  <sheetFormatPr defaultColWidth="9" defaultRowHeight="14" customHeight="1"/>
  <cols>
    <col min="1" max="1" width="6.875" style="2" customWidth="1"/>
    <col min="2" max="2" width="8" style="2" customWidth="1"/>
    <col min="3" max="5" width="9.875" style="1" customWidth="1"/>
    <col min="6" max="6" width="16.25" style="1" customWidth="1"/>
    <col min="7" max="7" width="11.625" style="3" customWidth="1"/>
    <col min="8" max="8" width="17" style="3" customWidth="1"/>
    <col min="9" max="9" width="19.25" style="3" customWidth="1"/>
    <col min="10" max="10" width="11.5" style="2" customWidth="1"/>
    <col min="11" max="11" width="9.875" style="2" customWidth="1"/>
    <col min="12" max="12" width="10.375" style="2" customWidth="1"/>
    <col min="13" max="13" width="12" style="2" customWidth="1"/>
    <col min="14" max="14" width="9.375" style="2" customWidth="1"/>
    <col min="15" max="15" width="12.5" style="2" customWidth="1"/>
    <col min="16" max="17" width="15.875" style="2" customWidth="1"/>
    <col min="18" max="16384" width="9" style="2"/>
  </cols>
  <sheetData>
    <row r="1" s="1" customFormat="1" customHeight="1" spans="1:20">
      <c r="A1" s="2"/>
      <c r="B1" s="2"/>
      <c r="G1" s="4"/>
      <c r="H1" s="4"/>
      <c r="I1" s="4"/>
      <c r="J1" s="2"/>
      <c r="K1" s="2"/>
      <c r="L1" s="2"/>
      <c r="M1" s="2"/>
      <c r="N1" s="2"/>
      <c r="O1" s="2"/>
      <c r="P1" s="2"/>
      <c r="Q1" s="2"/>
      <c r="R1" s="1" t="s">
        <v>0</v>
      </c>
      <c r="S1" s="1" t="s">
        <v>0</v>
      </c>
      <c r="T1" s="1" t="s">
        <v>0</v>
      </c>
    </row>
    <row r="2" s="1" customFormat="1" customHeight="1" spans="1:20">
      <c r="A2" s="2"/>
      <c r="B2" s="2"/>
      <c r="G2" s="4"/>
      <c r="H2" s="4"/>
      <c r="I2" s="4"/>
      <c r="J2" s="2"/>
      <c r="K2" s="2"/>
      <c r="L2" s="2"/>
      <c r="M2" s="2"/>
      <c r="N2" s="2"/>
      <c r="O2" s="2"/>
      <c r="P2" s="2"/>
      <c r="Q2" s="2"/>
      <c r="R2" s="1" t="s">
        <v>0</v>
      </c>
      <c r="S2" s="1" t="s">
        <v>0</v>
      </c>
      <c r="T2" s="1" t="s">
        <v>0</v>
      </c>
    </row>
    <row r="3" s="1" customFormat="1" customHeight="1" spans="1:17">
      <c r="A3" s="2"/>
      <c r="B3" s="2"/>
      <c r="C3" s="5" t="s">
        <v>1</v>
      </c>
      <c r="D3" s="5" t="s">
        <v>2</v>
      </c>
      <c r="E3" s="5" t="s">
        <v>3</v>
      </c>
      <c r="F3" s="5" t="s">
        <v>4</v>
      </c>
      <c r="G3" s="6" t="s">
        <v>5</v>
      </c>
      <c r="H3" s="6" t="s">
        <v>6</v>
      </c>
      <c r="I3" s="6" t="s">
        <v>7</v>
      </c>
      <c r="J3" s="5" t="s">
        <v>8</v>
      </c>
      <c r="K3" s="5" t="s">
        <v>9</v>
      </c>
      <c r="L3" s="5" t="s">
        <v>10</v>
      </c>
      <c r="M3" s="5" t="s">
        <v>11</v>
      </c>
      <c r="N3" s="5" t="s">
        <v>12</v>
      </c>
      <c r="O3" s="5" t="s">
        <v>13</v>
      </c>
      <c r="P3" s="5" t="s">
        <v>14</v>
      </c>
      <c r="Q3" s="5" t="s">
        <v>15</v>
      </c>
    </row>
    <row r="4" s="1" customFormat="1" customHeight="1" spans="1:17">
      <c r="A4" s="2"/>
      <c r="B4" s="2"/>
      <c r="C4" s="5" t="s">
        <v>16</v>
      </c>
      <c r="D4" s="5" t="s">
        <v>2</v>
      </c>
      <c r="E4" s="5" t="s">
        <v>3</v>
      </c>
      <c r="F4" s="5" t="s">
        <v>4</v>
      </c>
      <c r="G4" s="6" t="s">
        <v>5</v>
      </c>
      <c r="H4" s="6" t="s">
        <v>6</v>
      </c>
      <c r="I4" s="6" t="s">
        <v>7</v>
      </c>
      <c r="J4" s="5" t="s">
        <v>8</v>
      </c>
      <c r="K4" s="5" t="s">
        <v>9</v>
      </c>
      <c r="L4" s="5" t="s">
        <v>10</v>
      </c>
      <c r="M4" s="5" t="s">
        <v>11</v>
      </c>
      <c r="N4" s="5" t="s">
        <v>12</v>
      </c>
      <c r="O4" s="5" t="s">
        <v>13</v>
      </c>
      <c r="P4" s="5" t="s">
        <v>14</v>
      </c>
      <c r="Q4" s="5" t="s">
        <v>15</v>
      </c>
    </row>
    <row r="5" s="1" customFormat="1" customHeight="1" spans="1:17">
      <c r="A5" s="2"/>
      <c r="B5" s="2"/>
      <c r="C5" s="5" t="s">
        <v>17</v>
      </c>
      <c r="D5" s="5" t="s">
        <v>17</v>
      </c>
      <c r="E5" s="5" t="s">
        <v>17</v>
      </c>
      <c r="F5" s="5" t="s">
        <v>18</v>
      </c>
      <c r="G5" s="6" t="s">
        <v>18</v>
      </c>
      <c r="H5" s="6" t="s">
        <v>18</v>
      </c>
      <c r="I5" s="6" t="s">
        <v>18</v>
      </c>
      <c r="J5" s="5" t="s">
        <v>17</v>
      </c>
      <c r="K5" s="5" t="s">
        <v>17</v>
      </c>
      <c r="L5" s="5" t="s">
        <v>17</v>
      </c>
      <c r="M5" s="5" t="s">
        <v>17</v>
      </c>
      <c r="N5" s="5" t="s">
        <v>17</v>
      </c>
      <c r="O5" s="5" t="s">
        <v>17</v>
      </c>
      <c r="P5" s="5" t="s">
        <v>19</v>
      </c>
      <c r="Q5" s="5" t="s">
        <v>19</v>
      </c>
    </row>
    <row r="6" customHeight="1" spans="3:20">
      <c r="C6" s="1">
        <v>1</v>
      </c>
      <c r="D6" s="1">
        <v>1</v>
      </c>
      <c r="E6" s="1">
        <v>1</v>
      </c>
      <c r="F6" s="1" t="s">
        <v>20</v>
      </c>
      <c r="G6" s="9" t="s">
        <v>21</v>
      </c>
      <c r="H6" s="9" t="s">
        <v>21</v>
      </c>
      <c r="I6" s="9" t="s">
        <v>22</v>
      </c>
      <c r="J6" s="8">
        <v>0</v>
      </c>
      <c r="K6" s="8">
        <v>1800</v>
      </c>
      <c r="L6" s="8">
        <v>1800</v>
      </c>
      <c r="M6" s="8">
        <v>1800</v>
      </c>
      <c r="N6" s="8">
        <v>99</v>
      </c>
      <c r="O6" s="8">
        <v>0</v>
      </c>
      <c r="P6" s="10" t="s">
        <v>23</v>
      </c>
      <c r="Q6" s="10" t="s">
        <v>24</v>
      </c>
      <c r="R6" s="2">
        <v>1</v>
      </c>
      <c r="S6" s="2">
        <v>1</v>
      </c>
      <c r="T6" s="2">
        <v>1</v>
      </c>
    </row>
    <row r="7" customHeight="1" spans="3:20">
      <c r="C7" s="1">
        <v>2</v>
      </c>
      <c r="D7" s="1">
        <v>1</v>
      </c>
      <c r="E7" s="1">
        <v>2</v>
      </c>
      <c r="F7" s="1" t="s">
        <v>20</v>
      </c>
      <c r="G7" s="7">
        <f t="shared" ref="G7:I7" si="0">G6*R7</f>
        <v>110000</v>
      </c>
      <c r="H7" s="7">
        <f t="shared" si="0"/>
        <v>110000</v>
      </c>
      <c r="I7" s="7">
        <f t="shared" si="0"/>
        <v>1100000000</v>
      </c>
      <c r="J7" s="8">
        <v>0</v>
      </c>
      <c r="K7" s="8">
        <v>1800</v>
      </c>
      <c r="L7" s="8">
        <v>1800</v>
      </c>
      <c r="M7" s="8">
        <v>1800</v>
      </c>
      <c r="N7" s="8">
        <v>99</v>
      </c>
      <c r="O7" s="8">
        <v>0</v>
      </c>
      <c r="P7" s="10" t="s">
        <v>25</v>
      </c>
      <c r="Q7" s="10" t="s">
        <v>24</v>
      </c>
      <c r="R7" s="2">
        <v>1.1</v>
      </c>
      <c r="S7" s="2">
        <v>1.1</v>
      </c>
      <c r="T7" s="2">
        <v>1.1</v>
      </c>
    </row>
    <row r="8" customHeight="1" spans="3:20">
      <c r="C8" s="1">
        <v>3</v>
      </c>
      <c r="D8" s="1">
        <v>1</v>
      </c>
      <c r="E8" s="1">
        <v>3</v>
      </c>
      <c r="F8" s="1" t="s">
        <v>26</v>
      </c>
      <c r="G8" s="7">
        <f t="shared" ref="G8:I8" si="1">G6*R8</f>
        <v>120000</v>
      </c>
      <c r="H8" s="7">
        <f t="shared" si="1"/>
        <v>120000</v>
      </c>
      <c r="I8" s="7">
        <f t="shared" si="1"/>
        <v>1200000000</v>
      </c>
      <c r="J8" s="8">
        <v>0</v>
      </c>
      <c r="K8" s="8">
        <v>1800</v>
      </c>
      <c r="L8" s="8">
        <v>1800</v>
      </c>
      <c r="M8" s="8">
        <v>1800</v>
      </c>
      <c r="N8" s="8">
        <v>99</v>
      </c>
      <c r="O8" s="8">
        <v>0</v>
      </c>
      <c r="P8" s="10" t="s">
        <v>27</v>
      </c>
      <c r="Q8" s="10" t="s">
        <v>24</v>
      </c>
      <c r="R8" s="2">
        <v>1.2</v>
      </c>
      <c r="S8" s="2">
        <v>1.2</v>
      </c>
      <c r="T8" s="2">
        <v>1.2</v>
      </c>
    </row>
    <row r="9" customHeight="1" spans="3:20">
      <c r="C9" s="1">
        <v>4</v>
      </c>
      <c r="D9" s="1">
        <v>1</v>
      </c>
      <c r="E9" s="1">
        <v>4</v>
      </c>
      <c r="F9" s="1" t="s">
        <v>26</v>
      </c>
      <c r="G9" s="7">
        <f t="shared" ref="G9:I9" si="2">G6*R9</f>
        <v>130000</v>
      </c>
      <c r="H9" s="7">
        <f t="shared" si="2"/>
        <v>130000</v>
      </c>
      <c r="I9" s="7">
        <f t="shared" si="2"/>
        <v>1300000000</v>
      </c>
      <c r="J9" s="8">
        <v>0</v>
      </c>
      <c r="K9" s="8">
        <v>1800</v>
      </c>
      <c r="L9" s="8">
        <v>1800</v>
      </c>
      <c r="M9" s="8">
        <v>1800</v>
      </c>
      <c r="N9" s="8">
        <v>99</v>
      </c>
      <c r="O9" s="8">
        <v>0</v>
      </c>
      <c r="P9" s="10" t="s">
        <v>28</v>
      </c>
      <c r="Q9" s="10" t="s">
        <v>29</v>
      </c>
      <c r="R9" s="2">
        <v>1.3</v>
      </c>
      <c r="S9" s="2">
        <v>1.3</v>
      </c>
      <c r="T9" s="2">
        <v>1.3</v>
      </c>
    </row>
    <row r="10" customHeight="1" spans="3:20">
      <c r="C10" s="1">
        <v>5</v>
      </c>
      <c r="D10" s="1">
        <v>1</v>
      </c>
      <c r="E10" s="1">
        <v>5</v>
      </c>
      <c r="F10" s="1" t="s">
        <v>30</v>
      </c>
      <c r="G10" s="7">
        <f t="shared" ref="G10:I10" si="3">G6*R10</f>
        <v>150000</v>
      </c>
      <c r="H10" s="7">
        <f t="shared" si="3"/>
        <v>150000</v>
      </c>
      <c r="I10" s="7">
        <f t="shared" si="3"/>
        <v>1500000000</v>
      </c>
      <c r="J10" s="8">
        <v>0</v>
      </c>
      <c r="K10" s="8">
        <v>1800</v>
      </c>
      <c r="L10" s="8">
        <v>1800</v>
      </c>
      <c r="M10" s="8">
        <v>1800</v>
      </c>
      <c r="N10" s="8">
        <v>99</v>
      </c>
      <c r="O10" s="8">
        <v>0</v>
      </c>
      <c r="P10" s="10" t="s">
        <v>31</v>
      </c>
      <c r="Q10" s="10" t="s">
        <v>32</v>
      </c>
      <c r="R10" s="2">
        <v>1.5</v>
      </c>
      <c r="S10" s="2">
        <v>1.5</v>
      </c>
      <c r="T10" s="2">
        <v>1.5</v>
      </c>
    </row>
    <row r="11" customHeight="1" spans="7:17">
      <c r="G11" s="7"/>
      <c r="H11" s="7"/>
      <c r="I11" s="7"/>
      <c r="J11" s="8"/>
      <c r="K11" s="8"/>
      <c r="L11" s="8"/>
      <c r="M11" s="8"/>
      <c r="N11" s="8"/>
      <c r="O11" s="8"/>
      <c r="P11" s="8"/>
      <c r="Q11" s="8"/>
    </row>
    <row r="12" customHeight="1" spans="3:20">
      <c r="C12" s="1">
        <v>6</v>
      </c>
      <c r="D12" s="1">
        <v>2</v>
      </c>
      <c r="E12" s="1">
        <v>1</v>
      </c>
      <c r="F12" s="1" t="s">
        <v>33</v>
      </c>
      <c r="G12" s="9" t="s">
        <v>34</v>
      </c>
      <c r="H12" s="9" t="s">
        <v>34</v>
      </c>
      <c r="I12" s="9" t="s">
        <v>35</v>
      </c>
      <c r="J12" s="8">
        <v>0</v>
      </c>
      <c r="K12" s="8">
        <v>1800</v>
      </c>
      <c r="L12" s="8">
        <v>1800</v>
      </c>
      <c r="M12" s="8">
        <v>1800</v>
      </c>
      <c r="N12" s="8">
        <v>99</v>
      </c>
      <c r="O12" s="8">
        <v>0</v>
      </c>
      <c r="P12" s="10" t="s">
        <v>23</v>
      </c>
      <c r="Q12" s="10" t="s">
        <v>24</v>
      </c>
      <c r="R12" s="2">
        <v>1</v>
      </c>
      <c r="S12" s="2">
        <v>1</v>
      </c>
      <c r="T12" s="2">
        <v>1</v>
      </c>
    </row>
    <row r="13" customHeight="1" spans="3:20">
      <c r="C13" s="1">
        <v>7</v>
      </c>
      <c r="D13" s="1">
        <v>2</v>
      </c>
      <c r="E13" s="1">
        <v>2</v>
      </c>
      <c r="F13" s="1" t="s">
        <v>33</v>
      </c>
      <c r="G13" s="7">
        <f t="shared" ref="G13:I13" si="4">G12*R13</f>
        <v>165000</v>
      </c>
      <c r="H13" s="7">
        <f t="shared" si="4"/>
        <v>165000</v>
      </c>
      <c r="I13" s="7">
        <f t="shared" si="4"/>
        <v>1650000000</v>
      </c>
      <c r="J13" s="8">
        <v>0</v>
      </c>
      <c r="K13" s="8">
        <v>1800</v>
      </c>
      <c r="L13" s="8">
        <v>1800</v>
      </c>
      <c r="M13" s="8">
        <v>1800</v>
      </c>
      <c r="N13" s="8">
        <v>99</v>
      </c>
      <c r="O13" s="8">
        <v>0</v>
      </c>
      <c r="P13" s="10" t="s">
        <v>25</v>
      </c>
      <c r="Q13" s="10" t="s">
        <v>24</v>
      </c>
      <c r="R13" s="2">
        <v>1.1</v>
      </c>
      <c r="S13" s="2">
        <v>1.1</v>
      </c>
      <c r="T13" s="2">
        <v>1.1</v>
      </c>
    </row>
    <row r="14" customHeight="1" spans="3:20">
      <c r="C14" s="1">
        <v>8</v>
      </c>
      <c r="D14" s="1">
        <v>2</v>
      </c>
      <c r="E14" s="1">
        <v>3</v>
      </c>
      <c r="F14" s="1" t="s">
        <v>33</v>
      </c>
      <c r="G14" s="7">
        <f t="shared" ref="G14:I14" si="5">G12*R14</f>
        <v>180000</v>
      </c>
      <c r="H14" s="7">
        <f t="shared" si="5"/>
        <v>180000</v>
      </c>
      <c r="I14" s="7">
        <f t="shared" si="5"/>
        <v>1800000000</v>
      </c>
      <c r="J14" s="8">
        <v>0</v>
      </c>
      <c r="K14" s="8">
        <v>1800</v>
      </c>
      <c r="L14" s="8">
        <v>1800</v>
      </c>
      <c r="M14" s="8">
        <v>1800</v>
      </c>
      <c r="N14" s="8">
        <v>99</v>
      </c>
      <c r="O14" s="8">
        <v>0</v>
      </c>
      <c r="P14" s="10" t="s">
        <v>27</v>
      </c>
      <c r="Q14" s="10" t="s">
        <v>24</v>
      </c>
      <c r="R14" s="2">
        <v>1.2</v>
      </c>
      <c r="S14" s="2">
        <v>1.2</v>
      </c>
      <c r="T14" s="2">
        <v>1.2</v>
      </c>
    </row>
    <row r="15" customHeight="1" spans="3:20">
      <c r="C15" s="1">
        <v>9</v>
      </c>
      <c r="D15" s="1">
        <v>2</v>
      </c>
      <c r="E15" s="1">
        <v>4</v>
      </c>
      <c r="F15" s="1" t="s">
        <v>33</v>
      </c>
      <c r="G15" s="7">
        <f t="shared" ref="G15:I15" si="6">G12*R15</f>
        <v>195000</v>
      </c>
      <c r="H15" s="7">
        <f t="shared" si="6"/>
        <v>195000</v>
      </c>
      <c r="I15" s="7">
        <f t="shared" si="6"/>
        <v>1950000000</v>
      </c>
      <c r="J15" s="8">
        <v>0</v>
      </c>
      <c r="K15" s="8">
        <v>1800</v>
      </c>
      <c r="L15" s="8">
        <v>1800</v>
      </c>
      <c r="M15" s="8">
        <v>1800</v>
      </c>
      <c r="N15" s="8">
        <v>99</v>
      </c>
      <c r="O15" s="8">
        <v>0</v>
      </c>
      <c r="P15" s="10" t="s">
        <v>28</v>
      </c>
      <c r="Q15" s="10" t="s">
        <v>29</v>
      </c>
      <c r="R15" s="2">
        <v>1.3</v>
      </c>
      <c r="S15" s="2">
        <v>1.3</v>
      </c>
      <c r="T15" s="2">
        <v>1.3</v>
      </c>
    </row>
    <row r="16" customHeight="1" spans="3:20">
      <c r="C16" s="1">
        <v>10</v>
      </c>
      <c r="D16" s="1">
        <v>2</v>
      </c>
      <c r="E16" s="1">
        <v>5</v>
      </c>
      <c r="F16" s="1" t="s">
        <v>33</v>
      </c>
      <c r="G16" s="7">
        <f t="shared" ref="G16:I16" si="7">G12*R16</f>
        <v>225000</v>
      </c>
      <c r="H16" s="7">
        <f t="shared" si="7"/>
        <v>225000</v>
      </c>
      <c r="I16" s="7">
        <f t="shared" si="7"/>
        <v>2250000000</v>
      </c>
      <c r="J16" s="8">
        <v>0</v>
      </c>
      <c r="K16" s="8">
        <v>1800</v>
      </c>
      <c r="L16" s="8">
        <v>1800</v>
      </c>
      <c r="M16" s="8">
        <v>1800</v>
      </c>
      <c r="N16" s="8">
        <v>99</v>
      </c>
      <c r="O16" s="8">
        <v>0</v>
      </c>
      <c r="P16" s="10" t="s">
        <v>31</v>
      </c>
      <c r="Q16" s="10" t="s">
        <v>32</v>
      </c>
      <c r="R16" s="2">
        <v>1.5</v>
      </c>
      <c r="S16" s="2">
        <v>1.5</v>
      </c>
      <c r="T16" s="2">
        <v>1.5</v>
      </c>
    </row>
    <row r="17" customHeight="1" spans="7:17">
      <c r="G17" s="7"/>
      <c r="H17" s="7"/>
      <c r="I17" s="7"/>
      <c r="J17" s="8"/>
      <c r="K17" s="8"/>
      <c r="L17" s="8"/>
      <c r="M17" s="8"/>
      <c r="N17" s="8"/>
      <c r="O17" s="8"/>
      <c r="P17" s="8"/>
      <c r="Q17" s="8"/>
    </row>
    <row r="18" customHeight="1" spans="3:20">
      <c r="C18" s="1">
        <v>11</v>
      </c>
      <c r="D18" s="1">
        <v>3</v>
      </c>
      <c r="E18" s="1">
        <v>1</v>
      </c>
      <c r="F18" s="1" t="s">
        <v>36</v>
      </c>
      <c r="G18" s="9" t="s">
        <v>37</v>
      </c>
      <c r="H18" s="9" t="s">
        <v>37</v>
      </c>
      <c r="I18" s="9" t="s">
        <v>38</v>
      </c>
      <c r="J18" s="8">
        <v>0</v>
      </c>
      <c r="K18" s="8">
        <v>1800</v>
      </c>
      <c r="L18" s="8">
        <v>1800</v>
      </c>
      <c r="M18" s="8">
        <v>1800</v>
      </c>
      <c r="N18" s="8">
        <v>99</v>
      </c>
      <c r="O18" s="8">
        <v>0</v>
      </c>
      <c r="P18" s="10" t="s">
        <v>23</v>
      </c>
      <c r="Q18" s="10" t="s">
        <v>24</v>
      </c>
      <c r="R18" s="2">
        <v>1</v>
      </c>
      <c r="S18" s="2">
        <v>1</v>
      </c>
      <c r="T18" s="2">
        <v>1</v>
      </c>
    </row>
    <row r="19" customHeight="1" spans="3:20">
      <c r="C19" s="1">
        <v>12</v>
      </c>
      <c r="D19" s="1">
        <v>3</v>
      </c>
      <c r="E19" s="1">
        <v>2</v>
      </c>
      <c r="F19" s="1" t="s">
        <v>36</v>
      </c>
      <c r="G19" s="7">
        <f t="shared" ref="G19:I19" si="8">G18*R19</f>
        <v>220000</v>
      </c>
      <c r="H19" s="7">
        <f t="shared" si="8"/>
        <v>220000</v>
      </c>
      <c r="I19" s="7">
        <f t="shared" si="8"/>
        <v>2200000000</v>
      </c>
      <c r="J19" s="8">
        <v>0</v>
      </c>
      <c r="K19" s="8">
        <v>1800</v>
      </c>
      <c r="L19" s="8">
        <v>1800</v>
      </c>
      <c r="M19" s="8">
        <v>1800</v>
      </c>
      <c r="N19" s="8">
        <v>99</v>
      </c>
      <c r="O19" s="8">
        <v>0</v>
      </c>
      <c r="P19" s="10" t="s">
        <v>25</v>
      </c>
      <c r="Q19" s="10" t="s">
        <v>24</v>
      </c>
      <c r="R19" s="2">
        <v>1.1</v>
      </c>
      <c r="S19" s="2">
        <v>1.1</v>
      </c>
      <c r="T19" s="2">
        <v>1.1</v>
      </c>
    </row>
    <row r="20" customHeight="1" spans="3:20">
      <c r="C20" s="1">
        <v>13</v>
      </c>
      <c r="D20" s="1">
        <v>3</v>
      </c>
      <c r="E20" s="1">
        <v>3</v>
      </c>
      <c r="F20" s="1" t="s">
        <v>36</v>
      </c>
      <c r="G20" s="7">
        <f t="shared" ref="G20:I20" si="9">G18*R20</f>
        <v>240000</v>
      </c>
      <c r="H20" s="7">
        <f t="shared" si="9"/>
        <v>240000</v>
      </c>
      <c r="I20" s="7">
        <f t="shared" si="9"/>
        <v>2400000000</v>
      </c>
      <c r="J20" s="8">
        <v>0</v>
      </c>
      <c r="K20" s="8">
        <v>1800</v>
      </c>
      <c r="L20" s="8">
        <v>1800</v>
      </c>
      <c r="M20" s="8">
        <v>1800</v>
      </c>
      <c r="N20" s="8">
        <v>99</v>
      </c>
      <c r="O20" s="8">
        <v>0</v>
      </c>
      <c r="P20" s="10" t="s">
        <v>27</v>
      </c>
      <c r="Q20" s="10" t="s">
        <v>24</v>
      </c>
      <c r="R20" s="2">
        <v>1.2</v>
      </c>
      <c r="S20" s="2">
        <v>1.2</v>
      </c>
      <c r="T20" s="2">
        <v>1.2</v>
      </c>
    </row>
    <row r="21" customHeight="1" spans="3:20">
      <c r="C21" s="1">
        <v>14</v>
      </c>
      <c r="D21" s="1">
        <v>3</v>
      </c>
      <c r="E21" s="1">
        <v>4</v>
      </c>
      <c r="F21" s="1" t="s">
        <v>36</v>
      </c>
      <c r="G21" s="7">
        <f t="shared" ref="G21:I21" si="10">G18*R21</f>
        <v>260000</v>
      </c>
      <c r="H21" s="7">
        <f t="shared" si="10"/>
        <v>260000</v>
      </c>
      <c r="I21" s="7">
        <f t="shared" si="10"/>
        <v>2600000000</v>
      </c>
      <c r="J21" s="8">
        <v>0</v>
      </c>
      <c r="K21" s="8">
        <v>1800</v>
      </c>
      <c r="L21" s="8">
        <v>1800</v>
      </c>
      <c r="M21" s="8">
        <v>1800</v>
      </c>
      <c r="N21" s="8">
        <v>99</v>
      </c>
      <c r="O21" s="8">
        <v>0</v>
      </c>
      <c r="P21" s="10" t="s">
        <v>28</v>
      </c>
      <c r="Q21" s="10" t="s">
        <v>29</v>
      </c>
      <c r="R21" s="2">
        <v>1.3</v>
      </c>
      <c r="S21" s="2">
        <v>1.3</v>
      </c>
      <c r="T21" s="2">
        <v>1.3</v>
      </c>
    </row>
    <row r="22" customHeight="1" spans="3:20">
      <c r="C22" s="1">
        <v>15</v>
      </c>
      <c r="D22" s="1">
        <v>3</v>
      </c>
      <c r="E22" s="1">
        <v>5</v>
      </c>
      <c r="F22" s="1" t="s">
        <v>36</v>
      </c>
      <c r="G22" s="7">
        <f t="shared" ref="G22:I22" si="11">G18*R22</f>
        <v>300000</v>
      </c>
      <c r="H22" s="7">
        <f t="shared" si="11"/>
        <v>300000</v>
      </c>
      <c r="I22" s="7">
        <f t="shared" si="11"/>
        <v>3000000000</v>
      </c>
      <c r="J22" s="8">
        <v>0</v>
      </c>
      <c r="K22" s="8">
        <v>1800</v>
      </c>
      <c r="L22" s="8">
        <v>1800</v>
      </c>
      <c r="M22" s="8">
        <v>1800</v>
      </c>
      <c r="N22" s="8">
        <v>99</v>
      </c>
      <c r="O22" s="8">
        <v>0</v>
      </c>
      <c r="P22" s="10" t="s">
        <v>31</v>
      </c>
      <c r="Q22" s="10" t="s">
        <v>32</v>
      </c>
      <c r="R22" s="2">
        <v>1.5</v>
      </c>
      <c r="S22" s="2">
        <v>1.5</v>
      </c>
      <c r="T22" s="2">
        <v>1.5</v>
      </c>
    </row>
    <row r="23" customHeight="1" spans="7:17">
      <c r="G23" s="7"/>
      <c r="H23" s="7"/>
      <c r="I23" s="7"/>
      <c r="J23" s="8"/>
      <c r="K23" s="8"/>
      <c r="L23" s="8"/>
      <c r="M23" s="8"/>
      <c r="N23" s="8"/>
      <c r="O23" s="8"/>
      <c r="P23" s="8"/>
      <c r="Q23" s="8"/>
    </row>
    <row r="24" customHeight="1" spans="3:20">
      <c r="C24" s="1">
        <v>16</v>
      </c>
      <c r="D24" s="1">
        <v>4</v>
      </c>
      <c r="E24" s="1">
        <v>1</v>
      </c>
      <c r="F24" s="1" t="s">
        <v>39</v>
      </c>
      <c r="G24" s="9" t="s">
        <v>40</v>
      </c>
      <c r="H24" s="9" t="s">
        <v>40</v>
      </c>
      <c r="I24" s="9" t="s">
        <v>41</v>
      </c>
      <c r="J24" s="8">
        <v>0</v>
      </c>
      <c r="K24" s="8">
        <v>1800</v>
      </c>
      <c r="L24" s="8">
        <v>1800</v>
      </c>
      <c r="M24" s="8">
        <v>1800</v>
      </c>
      <c r="N24" s="8">
        <v>99</v>
      </c>
      <c r="O24" s="8">
        <v>0</v>
      </c>
      <c r="P24" s="10" t="s">
        <v>23</v>
      </c>
      <c r="Q24" s="10" t="s">
        <v>24</v>
      </c>
      <c r="R24" s="2">
        <v>1</v>
      </c>
      <c r="S24" s="2">
        <v>1</v>
      </c>
      <c r="T24" s="2">
        <v>1</v>
      </c>
    </row>
    <row r="25" customHeight="1" spans="3:20">
      <c r="C25" s="1">
        <v>17</v>
      </c>
      <c r="D25" s="1">
        <v>4</v>
      </c>
      <c r="E25" s="1">
        <v>2</v>
      </c>
      <c r="F25" s="1" t="s">
        <v>39</v>
      </c>
      <c r="G25" s="7">
        <f t="shared" ref="G25:I25" si="12">G24*R25</f>
        <v>275000</v>
      </c>
      <c r="H25" s="7">
        <f t="shared" si="12"/>
        <v>275000</v>
      </c>
      <c r="I25" s="7">
        <f t="shared" si="12"/>
        <v>2750000000</v>
      </c>
      <c r="J25" s="8">
        <v>0</v>
      </c>
      <c r="K25" s="8">
        <v>1800</v>
      </c>
      <c r="L25" s="8">
        <v>1800</v>
      </c>
      <c r="M25" s="8">
        <v>1800</v>
      </c>
      <c r="N25" s="8">
        <v>99</v>
      </c>
      <c r="O25" s="8">
        <v>0</v>
      </c>
      <c r="P25" s="10" t="s">
        <v>25</v>
      </c>
      <c r="Q25" s="10" t="s">
        <v>24</v>
      </c>
      <c r="R25" s="2">
        <v>1.1</v>
      </c>
      <c r="S25" s="2">
        <v>1.1</v>
      </c>
      <c r="T25" s="2">
        <v>1.1</v>
      </c>
    </row>
    <row r="26" customHeight="1" spans="3:20">
      <c r="C26" s="1">
        <v>18</v>
      </c>
      <c r="D26" s="1">
        <v>4</v>
      </c>
      <c r="E26" s="1">
        <v>3</v>
      </c>
      <c r="F26" s="1" t="s">
        <v>39</v>
      </c>
      <c r="G26" s="7">
        <f t="shared" ref="G26:I26" si="13">G24*R26</f>
        <v>300000</v>
      </c>
      <c r="H26" s="7">
        <f t="shared" si="13"/>
        <v>300000</v>
      </c>
      <c r="I26" s="7">
        <f t="shared" si="13"/>
        <v>3000000000</v>
      </c>
      <c r="J26" s="8">
        <v>0</v>
      </c>
      <c r="K26" s="8">
        <v>1800</v>
      </c>
      <c r="L26" s="8">
        <v>1800</v>
      </c>
      <c r="M26" s="8">
        <v>1800</v>
      </c>
      <c r="N26" s="8">
        <v>99</v>
      </c>
      <c r="O26" s="8">
        <v>0</v>
      </c>
      <c r="P26" s="10" t="s">
        <v>27</v>
      </c>
      <c r="Q26" s="10" t="s">
        <v>24</v>
      </c>
      <c r="R26" s="2">
        <v>1.2</v>
      </c>
      <c r="S26" s="2">
        <v>1.2</v>
      </c>
      <c r="T26" s="2">
        <v>1.2</v>
      </c>
    </row>
    <row r="27" customHeight="1" spans="3:20">
      <c r="C27" s="1">
        <v>19</v>
      </c>
      <c r="D27" s="1">
        <v>4</v>
      </c>
      <c r="E27" s="1">
        <v>4</v>
      </c>
      <c r="F27" s="1" t="s">
        <v>39</v>
      </c>
      <c r="G27" s="7">
        <f t="shared" ref="G27:I27" si="14">G24*R27</f>
        <v>325000</v>
      </c>
      <c r="H27" s="7">
        <f t="shared" si="14"/>
        <v>325000</v>
      </c>
      <c r="I27" s="7">
        <f t="shared" si="14"/>
        <v>3250000000</v>
      </c>
      <c r="J27" s="8">
        <v>0</v>
      </c>
      <c r="K27" s="8">
        <v>1800</v>
      </c>
      <c r="L27" s="8">
        <v>1800</v>
      </c>
      <c r="M27" s="8">
        <v>1800</v>
      </c>
      <c r="N27" s="8">
        <v>99</v>
      </c>
      <c r="O27" s="8">
        <v>0</v>
      </c>
      <c r="P27" s="10" t="s">
        <v>28</v>
      </c>
      <c r="Q27" s="10" t="s">
        <v>29</v>
      </c>
      <c r="R27" s="2">
        <v>1.3</v>
      </c>
      <c r="S27" s="2">
        <v>1.3</v>
      </c>
      <c r="T27" s="2">
        <v>1.3</v>
      </c>
    </row>
    <row r="28" customHeight="1" spans="3:20">
      <c r="C28" s="1">
        <v>20</v>
      </c>
      <c r="D28" s="1">
        <v>4</v>
      </c>
      <c r="E28" s="1">
        <v>5</v>
      </c>
      <c r="F28" s="1" t="s">
        <v>39</v>
      </c>
      <c r="G28" s="7">
        <f t="shared" ref="G28:I28" si="15">G24*R28</f>
        <v>375000</v>
      </c>
      <c r="H28" s="7">
        <f t="shared" si="15"/>
        <v>375000</v>
      </c>
      <c r="I28" s="7">
        <f t="shared" si="15"/>
        <v>3750000000</v>
      </c>
      <c r="J28" s="8">
        <v>0</v>
      </c>
      <c r="K28" s="8">
        <v>1800</v>
      </c>
      <c r="L28" s="8">
        <v>1800</v>
      </c>
      <c r="M28" s="8">
        <v>1800</v>
      </c>
      <c r="N28" s="8">
        <v>99</v>
      </c>
      <c r="O28" s="8">
        <v>0</v>
      </c>
      <c r="P28" s="10" t="s">
        <v>31</v>
      </c>
      <c r="Q28" s="10" t="s">
        <v>32</v>
      </c>
      <c r="R28" s="2">
        <v>1.5</v>
      </c>
      <c r="S28" s="2">
        <v>1.5</v>
      </c>
      <c r="T28" s="2">
        <v>1.5</v>
      </c>
    </row>
    <row r="29" customHeight="1" spans="7:17">
      <c r="G29" s="7"/>
      <c r="H29" s="7"/>
      <c r="I29" s="7"/>
      <c r="J29" s="8"/>
      <c r="K29" s="8"/>
      <c r="L29" s="8"/>
      <c r="M29" s="8"/>
      <c r="N29" s="8"/>
      <c r="O29" s="8"/>
      <c r="P29" s="8"/>
      <c r="Q29" s="8"/>
    </row>
    <row r="30" customHeight="1" spans="3:20">
      <c r="C30" s="1">
        <v>21</v>
      </c>
      <c r="D30" s="1">
        <v>5</v>
      </c>
      <c r="E30" s="1">
        <v>1</v>
      </c>
      <c r="F30" s="1" t="s">
        <v>42</v>
      </c>
      <c r="G30" s="9" t="s">
        <v>43</v>
      </c>
      <c r="H30" s="9" t="s">
        <v>43</v>
      </c>
      <c r="I30" s="9" t="s">
        <v>44</v>
      </c>
      <c r="J30" s="8">
        <v>0</v>
      </c>
      <c r="K30" s="8">
        <v>1800</v>
      </c>
      <c r="L30" s="8">
        <v>1800</v>
      </c>
      <c r="M30" s="8">
        <v>1800</v>
      </c>
      <c r="N30" s="8">
        <v>99</v>
      </c>
      <c r="O30" s="8">
        <v>0</v>
      </c>
      <c r="P30" s="10" t="s">
        <v>23</v>
      </c>
      <c r="Q30" s="10" t="s">
        <v>24</v>
      </c>
      <c r="R30" s="2">
        <v>1</v>
      </c>
      <c r="S30" s="2">
        <v>1</v>
      </c>
      <c r="T30" s="2">
        <v>1</v>
      </c>
    </row>
    <row r="31" customHeight="1" spans="3:20">
      <c r="C31" s="1">
        <v>22</v>
      </c>
      <c r="D31" s="1">
        <v>5</v>
      </c>
      <c r="E31" s="1">
        <v>2</v>
      </c>
      <c r="F31" s="1" t="s">
        <v>42</v>
      </c>
      <c r="G31" s="7">
        <f t="shared" ref="G31:I31" si="16">G30*R31</f>
        <v>330000</v>
      </c>
      <c r="H31" s="7">
        <f t="shared" si="16"/>
        <v>330000</v>
      </c>
      <c r="I31" s="7">
        <f t="shared" si="16"/>
        <v>3300000000</v>
      </c>
      <c r="J31" s="8">
        <v>0</v>
      </c>
      <c r="K31" s="8">
        <v>1800</v>
      </c>
      <c r="L31" s="8">
        <v>1800</v>
      </c>
      <c r="M31" s="8">
        <v>1800</v>
      </c>
      <c r="N31" s="8">
        <v>99</v>
      </c>
      <c r="O31" s="8">
        <v>0</v>
      </c>
      <c r="P31" s="10" t="s">
        <v>25</v>
      </c>
      <c r="Q31" s="10" t="s">
        <v>24</v>
      </c>
      <c r="R31" s="2">
        <v>1.1</v>
      </c>
      <c r="S31" s="2">
        <v>1.1</v>
      </c>
      <c r="T31" s="2">
        <v>1.1</v>
      </c>
    </row>
    <row r="32" customHeight="1" spans="3:20">
      <c r="C32" s="1">
        <v>23</v>
      </c>
      <c r="D32" s="1">
        <v>5</v>
      </c>
      <c r="E32" s="1">
        <v>3</v>
      </c>
      <c r="F32" s="1" t="s">
        <v>42</v>
      </c>
      <c r="G32" s="7">
        <f t="shared" ref="G32:I32" si="17">G30*R32</f>
        <v>360000</v>
      </c>
      <c r="H32" s="7">
        <f t="shared" si="17"/>
        <v>360000</v>
      </c>
      <c r="I32" s="7">
        <f t="shared" si="17"/>
        <v>3600000000</v>
      </c>
      <c r="J32" s="8">
        <v>0</v>
      </c>
      <c r="K32" s="8">
        <v>1800</v>
      </c>
      <c r="L32" s="8">
        <v>1800</v>
      </c>
      <c r="M32" s="8">
        <v>1800</v>
      </c>
      <c r="N32" s="8">
        <v>99</v>
      </c>
      <c r="O32" s="8">
        <v>0</v>
      </c>
      <c r="P32" s="10" t="s">
        <v>27</v>
      </c>
      <c r="Q32" s="10" t="s">
        <v>24</v>
      </c>
      <c r="R32" s="2">
        <v>1.2</v>
      </c>
      <c r="S32" s="2">
        <v>1.2</v>
      </c>
      <c r="T32" s="2">
        <v>1.2</v>
      </c>
    </row>
    <row r="33" customHeight="1" spans="3:20">
      <c r="C33" s="1">
        <v>24</v>
      </c>
      <c r="D33" s="1">
        <v>5</v>
      </c>
      <c r="E33" s="1">
        <v>4</v>
      </c>
      <c r="F33" s="1" t="s">
        <v>42</v>
      </c>
      <c r="G33" s="7">
        <f t="shared" ref="G33:I33" si="18">G30*R33</f>
        <v>390000</v>
      </c>
      <c r="H33" s="7">
        <f t="shared" si="18"/>
        <v>390000</v>
      </c>
      <c r="I33" s="7">
        <f t="shared" si="18"/>
        <v>3900000000</v>
      </c>
      <c r="J33" s="8">
        <v>0</v>
      </c>
      <c r="K33" s="8">
        <v>1800</v>
      </c>
      <c r="L33" s="8">
        <v>1800</v>
      </c>
      <c r="M33" s="8">
        <v>1800</v>
      </c>
      <c r="N33" s="8">
        <v>99</v>
      </c>
      <c r="O33" s="8">
        <v>0</v>
      </c>
      <c r="P33" s="10" t="s">
        <v>28</v>
      </c>
      <c r="Q33" s="10" t="s">
        <v>29</v>
      </c>
      <c r="R33" s="2">
        <v>1.3</v>
      </c>
      <c r="S33" s="2">
        <v>1.3</v>
      </c>
      <c r="T33" s="2">
        <v>1.3</v>
      </c>
    </row>
    <row r="34" customHeight="1" spans="3:20">
      <c r="C34" s="1">
        <v>25</v>
      </c>
      <c r="D34" s="1">
        <v>5</v>
      </c>
      <c r="E34" s="1">
        <v>5</v>
      </c>
      <c r="F34" s="1" t="s">
        <v>42</v>
      </c>
      <c r="G34" s="7">
        <f t="shared" ref="G34:I34" si="19">G30*R34</f>
        <v>450000</v>
      </c>
      <c r="H34" s="7">
        <f t="shared" si="19"/>
        <v>450000</v>
      </c>
      <c r="I34" s="7">
        <f t="shared" si="19"/>
        <v>4500000000</v>
      </c>
      <c r="J34" s="8">
        <v>0</v>
      </c>
      <c r="K34" s="8">
        <v>1800</v>
      </c>
      <c r="L34" s="8">
        <v>1800</v>
      </c>
      <c r="M34" s="8">
        <v>1800</v>
      </c>
      <c r="N34" s="8">
        <v>99</v>
      </c>
      <c r="O34" s="8">
        <v>0</v>
      </c>
      <c r="P34" s="10" t="s">
        <v>31</v>
      </c>
      <c r="Q34" s="10" t="s">
        <v>32</v>
      </c>
      <c r="R34" s="2">
        <v>1.5</v>
      </c>
      <c r="S34" s="2">
        <v>1.5</v>
      </c>
      <c r="T34" s="2">
        <v>1.5</v>
      </c>
    </row>
    <row r="35" customHeight="1" spans="7:17">
      <c r="G35" s="7"/>
      <c r="H35" s="7"/>
      <c r="I35" s="7"/>
      <c r="J35" s="8"/>
      <c r="K35" s="8"/>
      <c r="L35" s="8"/>
      <c r="M35" s="8"/>
      <c r="N35" s="8"/>
      <c r="O35" s="8"/>
      <c r="P35" s="8"/>
      <c r="Q35" s="8"/>
    </row>
    <row r="36" customHeight="1" spans="3:20">
      <c r="C36" s="1">
        <v>26</v>
      </c>
      <c r="D36" s="1">
        <v>6</v>
      </c>
      <c r="E36" s="1">
        <v>1</v>
      </c>
      <c r="F36" s="1" t="s">
        <v>45</v>
      </c>
      <c r="G36" s="9" t="s">
        <v>46</v>
      </c>
      <c r="H36" s="9" t="s">
        <v>46</v>
      </c>
      <c r="I36" s="9" t="s">
        <v>47</v>
      </c>
      <c r="J36" s="8">
        <v>0</v>
      </c>
      <c r="K36" s="8">
        <v>1800</v>
      </c>
      <c r="L36" s="8">
        <v>1800</v>
      </c>
      <c r="M36" s="8">
        <v>1800</v>
      </c>
      <c r="N36" s="8">
        <v>99</v>
      </c>
      <c r="O36" s="8">
        <v>0</v>
      </c>
      <c r="P36" s="10" t="s">
        <v>23</v>
      </c>
      <c r="Q36" s="10" t="s">
        <v>24</v>
      </c>
      <c r="R36" s="2">
        <v>1</v>
      </c>
      <c r="S36" s="2">
        <v>1</v>
      </c>
      <c r="T36" s="2">
        <v>1</v>
      </c>
    </row>
    <row r="37" customHeight="1" spans="3:20">
      <c r="C37" s="1">
        <v>27</v>
      </c>
      <c r="D37" s="1">
        <v>6</v>
      </c>
      <c r="E37" s="1">
        <v>2</v>
      </c>
      <c r="F37" s="1" t="s">
        <v>45</v>
      </c>
      <c r="G37" s="7">
        <f t="shared" ref="G37:I37" si="20">G36*R37</f>
        <v>440000</v>
      </c>
      <c r="H37" s="7">
        <f t="shared" si="20"/>
        <v>440000</v>
      </c>
      <c r="I37" s="7">
        <f t="shared" si="20"/>
        <v>4400000000</v>
      </c>
      <c r="J37" s="8">
        <v>0</v>
      </c>
      <c r="K37" s="8">
        <v>1800</v>
      </c>
      <c r="L37" s="8">
        <v>1800</v>
      </c>
      <c r="M37" s="8">
        <v>1800</v>
      </c>
      <c r="N37" s="8">
        <v>99</v>
      </c>
      <c r="O37" s="8">
        <v>0</v>
      </c>
      <c r="P37" s="10" t="s">
        <v>25</v>
      </c>
      <c r="Q37" s="10" t="s">
        <v>24</v>
      </c>
      <c r="R37" s="2">
        <v>1.1</v>
      </c>
      <c r="S37" s="2">
        <v>1.1</v>
      </c>
      <c r="T37" s="2">
        <v>1.1</v>
      </c>
    </row>
    <row r="38" customHeight="1" spans="3:20">
      <c r="C38" s="1">
        <v>28</v>
      </c>
      <c r="D38" s="1">
        <v>6</v>
      </c>
      <c r="E38" s="1">
        <v>3</v>
      </c>
      <c r="F38" s="1" t="s">
        <v>45</v>
      </c>
      <c r="G38" s="7">
        <f t="shared" ref="G38:I38" si="21">G36*R38</f>
        <v>480000</v>
      </c>
      <c r="H38" s="7">
        <f t="shared" si="21"/>
        <v>480000</v>
      </c>
      <c r="I38" s="7">
        <f t="shared" si="21"/>
        <v>4800000000</v>
      </c>
      <c r="J38" s="8">
        <v>0</v>
      </c>
      <c r="K38" s="8">
        <v>1800</v>
      </c>
      <c r="L38" s="8">
        <v>1800</v>
      </c>
      <c r="M38" s="8">
        <v>1800</v>
      </c>
      <c r="N38" s="8">
        <v>99</v>
      </c>
      <c r="O38" s="8">
        <v>0</v>
      </c>
      <c r="P38" s="10" t="s">
        <v>27</v>
      </c>
      <c r="Q38" s="10" t="s">
        <v>24</v>
      </c>
      <c r="R38" s="2">
        <v>1.2</v>
      </c>
      <c r="S38" s="2">
        <v>1.2</v>
      </c>
      <c r="T38" s="2">
        <v>1.2</v>
      </c>
    </row>
    <row r="39" customHeight="1" spans="3:20">
      <c r="C39" s="1">
        <v>29</v>
      </c>
      <c r="D39" s="1">
        <v>6</v>
      </c>
      <c r="E39" s="1">
        <v>4</v>
      </c>
      <c r="F39" s="1" t="s">
        <v>45</v>
      </c>
      <c r="G39" s="7">
        <f t="shared" ref="G39:I39" si="22">G36*R39</f>
        <v>520000</v>
      </c>
      <c r="H39" s="7">
        <f t="shared" si="22"/>
        <v>520000</v>
      </c>
      <c r="I39" s="7">
        <f t="shared" si="22"/>
        <v>5200000000</v>
      </c>
      <c r="J39" s="8">
        <v>0</v>
      </c>
      <c r="K39" s="8">
        <v>1800</v>
      </c>
      <c r="L39" s="8">
        <v>1800</v>
      </c>
      <c r="M39" s="8">
        <v>1800</v>
      </c>
      <c r="N39" s="8">
        <v>99</v>
      </c>
      <c r="O39" s="8">
        <v>0</v>
      </c>
      <c r="P39" s="10" t="s">
        <v>28</v>
      </c>
      <c r="Q39" s="10" t="s">
        <v>29</v>
      </c>
      <c r="R39" s="2">
        <v>1.3</v>
      </c>
      <c r="S39" s="2">
        <v>1.3</v>
      </c>
      <c r="T39" s="2">
        <v>1.3</v>
      </c>
    </row>
    <row r="40" customHeight="1" spans="3:20">
      <c r="C40" s="1">
        <v>30</v>
      </c>
      <c r="D40" s="1">
        <v>6</v>
      </c>
      <c r="E40" s="1">
        <v>5</v>
      </c>
      <c r="F40" s="1" t="s">
        <v>45</v>
      </c>
      <c r="G40" s="7">
        <f t="shared" ref="G40:I40" si="23">G36*R40</f>
        <v>600000</v>
      </c>
      <c r="H40" s="7">
        <f t="shared" si="23"/>
        <v>600000</v>
      </c>
      <c r="I40" s="7">
        <f t="shared" si="23"/>
        <v>6000000000</v>
      </c>
      <c r="J40" s="8">
        <v>0</v>
      </c>
      <c r="K40" s="8">
        <v>1800</v>
      </c>
      <c r="L40" s="8">
        <v>1800</v>
      </c>
      <c r="M40" s="8">
        <v>1800</v>
      </c>
      <c r="N40" s="8">
        <v>99</v>
      </c>
      <c r="O40" s="8">
        <v>0</v>
      </c>
      <c r="P40" s="10" t="s">
        <v>31</v>
      </c>
      <c r="Q40" s="10" t="s">
        <v>32</v>
      </c>
      <c r="R40" s="2">
        <v>1.5</v>
      </c>
      <c r="S40" s="2">
        <v>1.5</v>
      </c>
      <c r="T40" s="2">
        <v>1.5</v>
      </c>
    </row>
    <row r="41" customHeight="1" spans="8:8">
      <c r="H41" s="7"/>
    </row>
    <row r="42" customHeight="1" spans="8:8">
      <c r="H42" s="7"/>
    </row>
    <row r="43" customHeight="1" spans="8:8">
      <c r="H43" s="7"/>
    </row>
  </sheetData>
  <dataValidations count="1">
    <dataValidation type="custom" allowBlank="1" showErrorMessage="1" errorTitle="拒绝重复输入" error="当前输入的内容，与本区域的其他单元格内容重复。" sqref="N3 N4 N5 M3:M5 C3:L5 O3:Q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2024-12-01T07:45:38Z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2052-12.1.0.19199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</Properties>
</file>
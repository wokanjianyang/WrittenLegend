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<sst xmlns="http://schemas.openxmlformats.org/spreadsheetml/2006/main" count="833" uniqueCount="268">
  <si>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</si>
  <si>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</si>
  <si>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</si>
  <si>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</si>
  <si>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</si>
  <si>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</si>
  <si>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</si>
  <si>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</si>
  <si>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</si>
  <si>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</si>
  <si>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</si>
  <si>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</si>
  <si>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</si>
  <si>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</si>
  <si>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</si>
  <si>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</si>
  <si>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</si>
  <si>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</si>
  <si>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</si>
  <si>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</si>
  <si>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</si>
  <si>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</si>
  <si>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</si>
  <si>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</si>
  <si>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</si>
  <si>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</si>
  <si>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</si>
  <si>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</si>
  <si>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</si>
  <si>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</si>
  <si>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</si>
  <si>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</si>
  <si>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</si>
  <si>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</si>
  <si>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</si>
  <si>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</si>
  <si>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</si>
  <si>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</si>
  <si>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</si>
  <si>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</si>
  <si>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</si>
  <si>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</si>
  <si>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</si>
  <si>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</si>
  <si>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</si>
  <si>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</si>
  <si>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</si>
  <si>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</si>
  <si>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</si>
  <si>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</si>
  <si>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</si>
  <si>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</si>
  <si>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</si>
  <si>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</si>
  <si>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</si>
  <si>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</si>
  <si>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</si>
  <si>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</si>
  <si>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</si>
  <si>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</si>
  <si>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</si>
  <si>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</si>
  <si>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</si>
  <si>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</si>
  <si>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</si>
  <si>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</si>
  <si>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</si>
  <si>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</si>
  <si>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</si>
  <si>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</si>
  <si>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</si>
  <si>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</si>
  <si>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</si>
  <si>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</si>
  <si>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</si>
  <si>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</si>
  <si>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</si>
  <si>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</si>
  <si>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</si>
  <si>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</si>
  <si>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</si>
  <si>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</si>
  <si>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</si>
  <si>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</si>
  <si>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</si>
  <si>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</si>
  <si>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</si>
  <si>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</si>
  <si>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</si>
  <si>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</si>
  <si>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</si>
  <si>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</si>
  <si>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</si>
  <si>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</si>
  <si>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</si>
  <si>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</si>
  <si>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</si>
  <si>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</si>
  <si>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</si>
  <si>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</si>
  <si>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</si>
  <si>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</si>
  <si>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</si>
  <si>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</si>
  <si>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</si>
  <si>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</si>
  <si>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</si>
  <si>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</si>
  <si>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</si>
  <si>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</si>
  <si>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</si>
  <si>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</si>
  <si>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</si>
  <si>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</si>
  <si>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</si>
  <si>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</si>
  <si>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</si>
  <si>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</si>
  <si>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</si>
  <si>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</si>
  <si>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</si>
  <si>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</si>
  <si>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</si>
  <si>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</si>
  <si>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</si>
  <si>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</si>
  <si>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</si>
  <si>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</si>
  <si>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</si>
  <si>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</si>
  <si>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</si>
  <si>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</si>
  <si>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</si>
  <si>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</si>
  <si>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</si>
  <si>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</si>
  <si>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</si>
  <si>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</si>
  <si>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</si>
  <si>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</si>
  <si>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</si>
  <si>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</si>
  <si>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</si>
  <si>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</si>
  <si>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</si>
  <si>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</si>
  <si>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</si>
  <si>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</si>
  <si>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</si>
  <si>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</si>
  <si>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</si>
  <si>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</si>
  <si>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</si>
  <si>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</si>
  <si>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</si>
  <si>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</si>
  <si>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</si>
  <si>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</si>
  <si>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</si>
  <si>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</si>
  <si>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</si>
  <si>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</si>
  <si>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</si>
  <si>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</si>
  <si>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</si>
  <si>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</si>
  <si>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</si>
  <si>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</si>
  <si>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</si>
  <si>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</si>
  <si>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</si>
  <si>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</si>
  <si>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</si>
  <si>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</si>
  <si>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</si>
  <si>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</si>
  <si>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</si>
  <si>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</si>
  <si>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</si>
  <si>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</si>
  <si>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</si>
  <si>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</si>
  <si>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</si>
  <si>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</si>
  <si>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</si>
  <si>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</si>
  <si>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</si>
  <si>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</si>
  <si>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</si>
  <si>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</si>
  <si>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</si>
  <si>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</si>
  <si>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</si>
  <si>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</si>
  <si>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</si>
  <si>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</si>
  <si>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</si>
  <si>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</si>
  <si>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</si>
  <si>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</si>
  <si>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</si>
  <si>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</si>
  <si>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</si>
  <si>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</si>
  <si>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</si>
  <si>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</si>
  <si>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</si>
  <si>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</si>
  <si>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</si>
  <si>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</si>
  <si>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</si>
  <si>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</si>
  <si>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</si>
  <si>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</si>
  <si>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</si>
  <si>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</si>
  <si>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</si>
  <si>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</si>
  <si>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</si>
  <si>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</si>
  <si>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</si>
  <si>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</si>
  <si>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</si>
  <si>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</si>
  <si>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</si>
  <si>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</si>
  <si>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</si>
  <si>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</si>
  <si>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</si>
  <si>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</si>
  <si>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</si>
  <si>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</si>
  <si>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</si>
  <si>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</si>
  <si>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</si>
  <si>
    <t>仙域邪魔</t>
  </si>
  <si>
    <t>110000000</t>
  </si>
  <si>
    <t>16000000</t>
  </si>
  <si>
    <t>12000000000000</t>
  </si>
  <si>
    <t>仙域邪王</t>
  </si>
  <si>
    <t>仙域邪皇</t>
  </si>
  <si>
    <t>仙域魔蛛</t>
  </si>
  <si>
    <t>18000000</t>
  </si>
  <si>
    <t>16000000000000</t>
  </si>
  <si>
    <t>仙域蛛王</t>
  </si>
  <si>
    <t>仙域蛛皇</t>
  </si>
  <si>
    <t>仙域魔龙</t>
  </si>
  <si>
    <t>180000000</t>
  </si>
  <si>
    <t>20000000000000</t>
  </si>
  <si>
    <t>仙域魔龙王</t>
  </si>
  <si>
    <t>仙域魔龙皇</t>
  </si>
  <si>
    <t>仙域雷龙</t>
  </si>
  <si>
    <t>220000000</t>
  </si>
  <si>
    <t>22000000</t>
  </si>
  <si>
    <t>25000000000000</t>
  </si>
  <si>
    <t>仙域雷龙王</t>
  </si>
  <si>
    <t>仙域雷龙皇</t>
  </si>
  <si>
    <t>仙域冰龙</t>
  </si>
  <si>
    <t>260000000</t>
  </si>
  <si>
    <t>25000000</t>
  </si>
  <si>
    <t>31000000000000</t>
  </si>
  <si>
    <t>仙域冰龙王</t>
  </si>
  <si>
    <t>仙域冰龙皇</t>
  </si>
  <si>
    <t>仙域狐仙</t>
  </si>
  <si>
    <t>30000000</t>
  </si>
  <si>
    <t>38000000000000</t>
  </si>
  <si>
    <t>仙域狐仙王</t>
  </si>
  <si>
    <t>仙域狐仙皇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</si>
</sst>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3"/>
  <sheetViews>
    <sheetView tabSelected="1" workbookViewId="0">
      <pane ySplit="5" topLeftCell="A183" activePane="bottomLeft" state="frozen"/>
      <selection/>
      <selection pane="bottomLeft" activeCell="I233" sqref="I233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22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22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2">
        <v>1</v>
      </c>
      <c r="F135" s="12" t="s">
        <v>178</v>
      </c>
      <c r="G135" s="16" t="s">
        <v>179</v>
      </c>
      <c r="H135" s="16" t="s">
        <v>180</v>
      </c>
      <c r="I135" s="16" t="s">
        <v>181</v>
      </c>
      <c r="J135" s="11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5" t="s">
        <v>182</v>
      </c>
      <c r="R135" s="15" t="s">
        <v>183</v>
      </c>
      <c r="S135" s="3">
        <v>1</v>
      </c>
      <c r="T135" s="3">
        <v>1</v>
      </c>
      <c r="U135" s="3">
        <v>1</v>
      </c>
      <c r="V135" s="15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1">
        <f>G135*S136</f>
        <v>9900000</v>
      </c>
      <c r="H136" s="11">
        <f>H135*T136</f>
        <v>7700000</v>
      </c>
      <c r="I136" s="11">
        <f t="shared" ref="G136:I136" si="96">I135*U136</f>
        <v>180000000000</v>
      </c>
      <c r="J136" s="11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5" t="s">
        <v>185</v>
      </c>
      <c r="R136" s="15" t="s">
        <v>183</v>
      </c>
      <c r="S136" s="2">
        <v>1.1</v>
      </c>
      <c r="T136" s="2">
        <v>1.1</v>
      </c>
      <c r="U136" s="2">
        <v>1.2</v>
      </c>
      <c r="V136" s="15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1">
        <f>G135*S137</f>
        <v>10350000</v>
      </c>
      <c r="H137" s="11">
        <f>H135*T137</f>
        <v>8050000</v>
      </c>
      <c r="I137" s="11">
        <f t="shared" ref="G137:I137" si="97">I135*U137</f>
        <v>225000000000</v>
      </c>
      <c r="J137" s="11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5" t="s">
        <v>182</v>
      </c>
      <c r="R137" s="15" t="s">
        <v>183</v>
      </c>
      <c r="S137" s="2">
        <v>1.15</v>
      </c>
      <c r="T137" s="2">
        <v>1.15</v>
      </c>
      <c r="U137" s="2">
        <v>1.5</v>
      </c>
      <c r="V137" s="15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1">
        <f>G135*S138</f>
        <v>10800000</v>
      </c>
      <c r="H138" s="11">
        <f>H135*T138</f>
        <v>8400000</v>
      </c>
      <c r="I138" s="11">
        <f t="shared" ref="G138:I138" si="98">I135*U138</f>
        <v>270000000000</v>
      </c>
      <c r="J138" s="11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5" t="s">
        <v>188</v>
      </c>
      <c r="R138" s="15" t="s">
        <v>189</v>
      </c>
      <c r="S138" s="2">
        <v>1.2</v>
      </c>
      <c r="T138" s="2">
        <v>1.2</v>
      </c>
      <c r="U138" s="2">
        <v>1.8</v>
      </c>
      <c r="V138" s="15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1">
        <f>G135*S139</f>
        <v>11250000</v>
      </c>
      <c r="H139" s="11">
        <f>H135*T139</f>
        <v>8750000</v>
      </c>
      <c r="I139" s="11">
        <f t="shared" ref="G139:I139" si="99">I135*U139</f>
        <v>375000000000</v>
      </c>
      <c r="J139" s="11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5" t="s">
        <v>191</v>
      </c>
      <c r="R139" s="15" t="s">
        <v>189</v>
      </c>
      <c r="S139" s="2">
        <v>1.25</v>
      </c>
      <c r="T139" s="2">
        <v>1.25</v>
      </c>
      <c r="U139" s="2">
        <v>2.5</v>
      </c>
      <c r="V139" s="15" t="s">
        <v>191</v>
      </c>
    </row>
    <row r="141" customHeight="1" spans="3:22">
      <c r="C141" s="5">
        <v>126</v>
      </c>
      <c r="D141" s="5">
        <v>26</v>
      </c>
      <c r="E141" s="12">
        <v>1</v>
      </c>
      <c r="F141" s="12" t="s">
        <v>192</v>
      </c>
      <c r="G141" s="16" t="s">
        <v>193</v>
      </c>
      <c r="H141" s="16" t="s">
        <v>194</v>
      </c>
      <c r="I141" s="16" t="s">
        <v>195</v>
      </c>
      <c r="J141" s="11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5" t="s">
        <v>182</v>
      </c>
      <c r="R141" s="15" t="s">
        <v>183</v>
      </c>
      <c r="S141" s="3">
        <v>1</v>
      </c>
      <c r="T141" s="3">
        <v>1</v>
      </c>
      <c r="U141" s="3">
        <v>1</v>
      </c>
      <c r="V141" s="15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1">
        <f>G141*S142</f>
        <v>13200000</v>
      </c>
      <c r="H142" s="11">
        <f>H141*T142</f>
        <v>8800000</v>
      </c>
      <c r="I142" s="11">
        <f t="shared" ref="G142:I142" si="100">I141*U142</f>
        <v>360000000000</v>
      </c>
      <c r="J142" s="11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5" t="s">
        <v>185</v>
      </c>
      <c r="R142" s="15" t="s">
        <v>183</v>
      </c>
      <c r="S142" s="2">
        <v>1.1</v>
      </c>
      <c r="T142" s="2">
        <v>1.1</v>
      </c>
      <c r="U142" s="2">
        <v>1.2</v>
      </c>
      <c r="V142" s="15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1">
        <f>G141*S143</f>
        <v>13800000</v>
      </c>
      <c r="H143" s="11">
        <f>H141*T143</f>
        <v>9200000</v>
      </c>
      <c r="I143" s="11">
        <f t="shared" ref="G143:I143" si="102">I141*U143</f>
        <v>450000000000</v>
      </c>
      <c r="J143" s="11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5" t="s">
        <v>182</v>
      </c>
      <c r="R143" s="15" t="s">
        <v>183</v>
      </c>
      <c r="S143" s="2">
        <v>1.15</v>
      </c>
      <c r="T143" s="2">
        <v>1.15</v>
      </c>
      <c r="U143" s="2">
        <v>1.5</v>
      </c>
      <c r="V143" s="15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1">
        <f>G141*S144</f>
        <v>14400000</v>
      </c>
      <c r="H144" s="11">
        <f>H141*T144</f>
        <v>9600000</v>
      </c>
      <c r="I144" s="11">
        <f t="shared" ref="G144:I144" si="103">I141*U144</f>
        <v>540000000000</v>
      </c>
      <c r="J144" s="11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5" t="s">
        <v>188</v>
      </c>
      <c r="R144" s="15" t="s">
        <v>189</v>
      </c>
      <c r="S144" s="2">
        <v>1.2</v>
      </c>
      <c r="T144" s="2">
        <v>1.2</v>
      </c>
      <c r="U144" s="2">
        <v>1.8</v>
      </c>
      <c r="V144" s="15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1">
        <f>G141*S145</f>
        <v>15000000</v>
      </c>
      <c r="H145" s="11">
        <f>H141*T145</f>
        <v>10000000</v>
      </c>
      <c r="I145" s="11">
        <f t="shared" ref="G145:I145" si="104">I141*U145</f>
        <v>750000000000</v>
      </c>
      <c r="J145" s="11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5" t="s">
        <v>191</v>
      </c>
      <c r="R145" s="15" t="s">
        <v>189</v>
      </c>
      <c r="S145" s="2">
        <v>1.25</v>
      </c>
      <c r="T145" s="2">
        <v>1.25</v>
      </c>
      <c r="U145" s="2">
        <v>2.5</v>
      </c>
      <c r="V145" s="15" t="s">
        <v>191</v>
      </c>
    </row>
    <row r="147" customHeight="1" spans="3:22">
      <c r="C147" s="5">
        <v>131</v>
      </c>
      <c r="D147" s="5">
        <v>27</v>
      </c>
      <c r="E147" s="12">
        <v>1</v>
      </c>
      <c r="F147" s="12" t="s">
        <v>198</v>
      </c>
      <c r="G147" s="16" t="s">
        <v>199</v>
      </c>
      <c r="H147" s="16" t="s">
        <v>179</v>
      </c>
      <c r="I147" s="16" t="s">
        <v>200</v>
      </c>
      <c r="J147" s="11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5" t="s">
        <v>182</v>
      </c>
      <c r="R147" s="15" t="s">
        <v>183</v>
      </c>
      <c r="S147" s="3">
        <v>1</v>
      </c>
      <c r="T147" s="3">
        <v>1</v>
      </c>
      <c r="U147" s="3">
        <v>1</v>
      </c>
      <c r="V147" s="15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1">
        <f>G147*S148</f>
        <v>16500000</v>
      </c>
      <c r="H148" s="11">
        <f>H147*T148</f>
        <v>9900000</v>
      </c>
      <c r="I148" s="11">
        <f t="shared" ref="G148:I148" si="105">I147*U148</f>
        <v>600000000000</v>
      </c>
      <c r="J148" s="11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5" t="s">
        <v>185</v>
      </c>
      <c r="R148" s="15" t="s">
        <v>183</v>
      </c>
      <c r="S148" s="2">
        <v>1.1</v>
      </c>
      <c r="T148" s="2">
        <v>1.1</v>
      </c>
      <c r="U148" s="2">
        <v>1.2</v>
      </c>
      <c r="V148" s="15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1">
        <f>G147*S149</f>
        <v>17250000</v>
      </c>
      <c r="H149" s="11">
        <f>H147*T149</f>
        <v>10350000</v>
      </c>
      <c r="I149" s="11">
        <f t="shared" ref="G149:I149" si="107">I147*U149</f>
        <v>750000000000</v>
      </c>
      <c r="J149" s="11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5" t="s">
        <v>182</v>
      </c>
      <c r="R149" s="15" t="s">
        <v>183</v>
      </c>
      <c r="S149" s="2">
        <v>1.15</v>
      </c>
      <c r="T149" s="2">
        <v>1.15</v>
      </c>
      <c r="U149" s="2">
        <v>1.5</v>
      </c>
      <c r="V149" s="15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1">
        <f>G147*S150</f>
        <v>18000000</v>
      </c>
      <c r="H150" s="11">
        <f>H147*T150</f>
        <v>10800000</v>
      </c>
      <c r="I150" s="11">
        <f t="shared" ref="G150:I150" si="108">I147*U150</f>
        <v>900000000000</v>
      </c>
      <c r="J150" s="11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5" t="s">
        <v>188</v>
      </c>
      <c r="R150" s="15" t="s">
        <v>189</v>
      </c>
      <c r="S150" s="2">
        <v>1.2</v>
      </c>
      <c r="T150" s="2">
        <v>1.2</v>
      </c>
      <c r="U150" s="2">
        <v>1.8</v>
      </c>
      <c r="V150" s="15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1">
        <f>G147*S151</f>
        <v>18750000</v>
      </c>
      <c r="H151" s="11">
        <f>H147*T151</f>
        <v>11250000</v>
      </c>
      <c r="I151" s="11">
        <f t="shared" ref="G151:I151" si="109">I147*U151</f>
        <v>1250000000000</v>
      </c>
      <c r="J151" s="11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5" t="s">
        <v>191</v>
      </c>
      <c r="R151" s="15" t="s">
        <v>189</v>
      </c>
      <c r="S151" s="2">
        <v>1.25</v>
      </c>
      <c r="T151" s="2">
        <v>1.25</v>
      </c>
      <c r="U151" s="2">
        <v>2.5</v>
      </c>
      <c r="V151" s="15" t="s">
        <v>191</v>
      </c>
    </row>
    <row r="153" customHeight="1" spans="3:22">
      <c r="C153" s="5">
        <v>136</v>
      </c>
      <c r="D153" s="5">
        <v>28</v>
      </c>
      <c r="E153" s="12">
        <v>1</v>
      </c>
      <c r="F153" s="12" t="s">
        <v>203</v>
      </c>
      <c r="G153" s="16" t="s">
        <v>34</v>
      </c>
      <c r="H153" s="16" t="s">
        <v>23</v>
      </c>
      <c r="I153" s="16" t="s">
        <v>204</v>
      </c>
      <c r="J153" s="11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5" t="s">
        <v>182</v>
      </c>
      <c r="R153" s="15" t="s">
        <v>183</v>
      </c>
      <c r="S153" s="3">
        <v>1</v>
      </c>
      <c r="T153" s="3">
        <v>1</v>
      </c>
      <c r="U153" s="3">
        <v>1</v>
      </c>
      <c r="V153" s="15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1">
        <f>G153*S154</f>
        <v>22000000</v>
      </c>
      <c r="H154" s="11">
        <f>H153*T154</f>
        <v>11000000</v>
      </c>
      <c r="I154" s="11">
        <f t="shared" ref="G154:I154" si="110">I153*U154</f>
        <v>960000000000</v>
      </c>
      <c r="J154" s="11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5" t="s">
        <v>185</v>
      </c>
      <c r="R154" s="15" t="s">
        <v>183</v>
      </c>
      <c r="S154" s="2">
        <v>1.1</v>
      </c>
      <c r="T154" s="2">
        <v>1.1</v>
      </c>
      <c r="U154" s="2">
        <v>1.2</v>
      </c>
      <c r="V154" s="15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1">
        <f>G153*S155</f>
        <v>23000000</v>
      </c>
      <c r="H155" s="11">
        <f>H153*T155</f>
        <v>11500000</v>
      </c>
      <c r="I155" s="11">
        <f t="shared" ref="G155:I155" si="112">I153*U155</f>
        <v>1200000000000</v>
      </c>
      <c r="J155" s="11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5" t="s">
        <v>182</v>
      </c>
      <c r="R155" s="15" t="s">
        <v>183</v>
      </c>
      <c r="S155" s="2">
        <v>1.15</v>
      </c>
      <c r="T155" s="2">
        <v>1.15</v>
      </c>
      <c r="U155" s="2">
        <v>1.5</v>
      </c>
      <c r="V155" s="15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205</v>
      </c>
      <c r="G156" s="11">
        <f>G153*S156</f>
        <v>24000000</v>
      </c>
      <c r="H156" s="11">
        <f>H153*T156</f>
        <v>12000000</v>
      </c>
      <c r="I156" s="11">
        <f t="shared" ref="G156:I156" si="113">I153*U156</f>
        <v>1440000000000</v>
      </c>
      <c r="J156" s="11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5" t="s">
        <v>188</v>
      </c>
      <c r="R156" s="15" t="s">
        <v>189</v>
      </c>
      <c r="S156" s="2">
        <v>1.2</v>
      </c>
      <c r="T156" s="2">
        <v>1.2</v>
      </c>
      <c r="U156" s="2">
        <v>1.8</v>
      </c>
      <c r="V156" s="15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206</v>
      </c>
      <c r="G157" s="11">
        <f>G153*S157</f>
        <v>25000000</v>
      </c>
      <c r="H157" s="11">
        <f>H153*T157</f>
        <v>12500000</v>
      </c>
      <c r="I157" s="11">
        <f t="shared" ref="G157:I157" si="114">I153*U157</f>
        <v>2000000000000</v>
      </c>
      <c r="J157" s="11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5" t="s">
        <v>191</v>
      </c>
      <c r="R157" s="15" t="s">
        <v>189</v>
      </c>
      <c r="S157" s="2">
        <v>1.25</v>
      </c>
      <c r="T157" s="2">
        <v>1.25</v>
      </c>
      <c r="U157" s="2">
        <v>2.5</v>
      </c>
      <c r="V157" s="15" t="s">
        <v>191</v>
      </c>
    </row>
    <row r="159" customHeight="1" spans="3:22">
      <c r="C159" s="5">
        <v>141</v>
      </c>
      <c r="D159" s="5">
        <v>29</v>
      </c>
      <c r="E159" s="12">
        <v>1</v>
      </c>
      <c r="F159" s="12" t="s">
        <v>207</v>
      </c>
      <c r="G159" s="16" t="s">
        <v>208</v>
      </c>
      <c r="H159" s="16" t="s">
        <v>209</v>
      </c>
      <c r="I159" s="16" t="s">
        <v>210</v>
      </c>
      <c r="J159" s="11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5" t="s">
        <v>182</v>
      </c>
      <c r="R159" s="15" t="s">
        <v>183</v>
      </c>
      <c r="S159" s="3">
        <v>1</v>
      </c>
      <c r="T159" s="3">
        <v>1</v>
      </c>
      <c r="U159" s="3">
        <v>1</v>
      </c>
      <c r="V159" s="15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207</v>
      </c>
      <c r="G160" s="11">
        <f>G159*S160</f>
        <v>29700000</v>
      </c>
      <c r="H160" s="11">
        <f>H159*T160</f>
        <v>12100000</v>
      </c>
      <c r="I160" s="11">
        <f t="shared" ref="G160:I160" si="115">I159*U160</f>
        <v>1680000000000</v>
      </c>
      <c r="J160" s="11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5" t="s">
        <v>185</v>
      </c>
      <c r="R160" s="15" t="s">
        <v>183</v>
      </c>
      <c r="S160" s="2">
        <v>1.1</v>
      </c>
      <c r="T160" s="2">
        <v>1.1</v>
      </c>
      <c r="U160" s="2">
        <v>1.2</v>
      </c>
      <c r="V160" s="15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207</v>
      </c>
      <c r="G161" s="11">
        <f>G159*S161</f>
        <v>31050000</v>
      </c>
      <c r="H161" s="11">
        <f>H159*T161</f>
        <v>12650000</v>
      </c>
      <c r="I161" s="11">
        <f t="shared" ref="G161:I161" si="117">I159*U161</f>
        <v>2100000000000</v>
      </c>
      <c r="J161" s="11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5" t="s">
        <v>182</v>
      </c>
      <c r="R161" s="15" t="s">
        <v>183</v>
      </c>
      <c r="S161" s="2">
        <v>1.15</v>
      </c>
      <c r="T161" s="2">
        <v>1.15</v>
      </c>
      <c r="U161" s="2">
        <v>1.5</v>
      </c>
      <c r="V161" s="15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211</v>
      </c>
      <c r="G162" s="11">
        <f>G159*S162</f>
        <v>32400000</v>
      </c>
      <c r="H162" s="11">
        <f>H159*T162</f>
        <v>13200000</v>
      </c>
      <c r="I162" s="11">
        <f t="shared" ref="G162:I162" si="118">I159*U162</f>
        <v>2520000000000</v>
      </c>
      <c r="J162" s="11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5" t="s">
        <v>188</v>
      </c>
      <c r="R162" s="15" t="s">
        <v>189</v>
      </c>
      <c r="S162" s="2">
        <v>1.2</v>
      </c>
      <c r="T162" s="2">
        <v>1.2</v>
      </c>
      <c r="U162" s="2">
        <v>1.8</v>
      </c>
      <c r="V162" s="15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212</v>
      </c>
      <c r="G163" s="11">
        <f>G159*S163</f>
        <v>33750000</v>
      </c>
      <c r="H163" s="11">
        <f>H159*T163</f>
        <v>13750000</v>
      </c>
      <c r="I163" s="11">
        <f t="shared" ref="G163:I163" si="119">I159*U163</f>
        <v>3500000000000</v>
      </c>
      <c r="J163" s="11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5" t="s">
        <v>191</v>
      </c>
      <c r="R163" s="15" t="s">
        <v>189</v>
      </c>
      <c r="S163" s="2">
        <v>1.25</v>
      </c>
      <c r="T163" s="2">
        <v>1.25</v>
      </c>
      <c r="U163" s="2">
        <v>2.5</v>
      </c>
      <c r="V163" s="15" t="s">
        <v>191</v>
      </c>
    </row>
    <row r="165" customHeight="1" spans="3:22">
      <c r="C165" s="5">
        <v>146</v>
      </c>
      <c r="D165" s="5">
        <v>30</v>
      </c>
      <c r="E165" s="12">
        <v>1</v>
      </c>
      <c r="F165" s="12" t="s">
        <v>213</v>
      </c>
      <c r="G165" s="16" t="s">
        <v>214</v>
      </c>
      <c r="H165" s="16" t="s">
        <v>193</v>
      </c>
      <c r="I165" s="16" t="s">
        <v>215</v>
      </c>
      <c r="J165" s="11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5" t="s">
        <v>182</v>
      </c>
      <c r="R165" s="15" t="s">
        <v>183</v>
      </c>
      <c r="S165" s="3">
        <v>1</v>
      </c>
      <c r="T165" s="3">
        <v>1</v>
      </c>
      <c r="U165" s="3">
        <v>1</v>
      </c>
      <c r="V165" s="15" t="s">
        <v>184</v>
      </c>
    </row>
    <row r="166" customHeight="1" spans="3:22">
      <c r="C166" s="5">
        <v>147</v>
      </c>
      <c r="D166" s="5">
        <v>30</v>
      </c>
      <c r="E166" s="5">
        <v>2</v>
      </c>
      <c r="F166" s="5" t="s">
        <v>213</v>
      </c>
      <c r="G166" s="11">
        <f t="shared" ref="G166:I166" si="120">G165*S166</f>
        <v>39600000</v>
      </c>
      <c r="H166" s="11">
        <f t="shared" si="120"/>
        <v>13200000</v>
      </c>
      <c r="I166" s="11">
        <f t="shared" si="120"/>
        <v>2400000000000</v>
      </c>
      <c r="J166" s="11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5" t="s">
        <v>185</v>
      </c>
      <c r="R166" s="15" t="s">
        <v>183</v>
      </c>
      <c r="S166" s="2">
        <v>1.1</v>
      </c>
      <c r="T166" s="2">
        <v>1.1</v>
      </c>
      <c r="U166" s="2">
        <v>1.2</v>
      </c>
      <c r="V166" s="15" t="s">
        <v>186</v>
      </c>
    </row>
    <row r="167" customHeight="1" spans="3:22">
      <c r="C167" s="5">
        <v>148</v>
      </c>
      <c r="D167" s="5">
        <v>30</v>
      </c>
      <c r="E167" s="5">
        <v>3</v>
      </c>
      <c r="F167" s="5" t="s">
        <v>213</v>
      </c>
      <c r="G167" s="11">
        <f t="shared" ref="G167:I167" si="122">G165*S167</f>
        <v>41400000</v>
      </c>
      <c r="H167" s="11">
        <f t="shared" si="122"/>
        <v>13800000</v>
      </c>
      <c r="I167" s="11">
        <f t="shared" si="122"/>
        <v>3000000000000</v>
      </c>
      <c r="J167" s="11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5" t="s">
        <v>182</v>
      </c>
      <c r="R167" s="15" t="s">
        <v>183</v>
      </c>
      <c r="S167" s="2">
        <v>1.15</v>
      </c>
      <c r="T167" s="2">
        <v>1.15</v>
      </c>
      <c r="U167" s="2">
        <v>1.5</v>
      </c>
      <c r="V167" s="15" t="s">
        <v>184</v>
      </c>
    </row>
    <row r="168" customHeight="1" spans="3:22">
      <c r="C168" s="5">
        <v>149</v>
      </c>
      <c r="D168" s="5">
        <v>30</v>
      </c>
      <c r="E168" s="5">
        <v>4</v>
      </c>
      <c r="F168" s="5" t="s">
        <v>216</v>
      </c>
      <c r="G168" s="11">
        <f t="shared" ref="G168:I168" si="123">G165*S168</f>
        <v>43200000</v>
      </c>
      <c r="H168" s="11">
        <f t="shared" si="123"/>
        <v>14400000</v>
      </c>
      <c r="I168" s="11">
        <f t="shared" si="123"/>
        <v>3600000000000</v>
      </c>
      <c r="J168" s="11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5" t="s">
        <v>188</v>
      </c>
      <c r="R168" s="15" t="s">
        <v>189</v>
      </c>
      <c r="S168" s="2">
        <v>1.2</v>
      </c>
      <c r="T168" s="2">
        <v>1.2</v>
      </c>
      <c r="U168" s="2">
        <v>1.8</v>
      </c>
      <c r="V168" s="15" t="s">
        <v>117</v>
      </c>
    </row>
    <row r="169" customHeight="1" spans="3:22">
      <c r="C169" s="5">
        <v>150</v>
      </c>
      <c r="D169" s="5">
        <v>30</v>
      </c>
      <c r="E169" s="5">
        <v>5</v>
      </c>
      <c r="F169" s="5" t="s">
        <v>217</v>
      </c>
      <c r="G169" s="11">
        <f t="shared" ref="G169:I169" si="124">G165*S169</f>
        <v>45000000</v>
      </c>
      <c r="H169" s="11">
        <f t="shared" si="124"/>
        <v>15000000</v>
      </c>
      <c r="I169" s="11">
        <f t="shared" si="124"/>
        <v>5000000000000</v>
      </c>
      <c r="J169" s="11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5" t="s">
        <v>191</v>
      </c>
      <c r="R169" s="15" t="s">
        <v>189</v>
      </c>
      <c r="S169" s="2">
        <v>1.25</v>
      </c>
      <c r="T169" s="2">
        <v>1.25</v>
      </c>
      <c r="U169" s="2">
        <v>2.5</v>
      </c>
      <c r="V169" s="15" t="s">
        <v>191</v>
      </c>
    </row>
    <row r="171" customHeight="1" spans="3:22">
      <c r="C171" s="5">
        <v>151</v>
      </c>
      <c r="D171" s="5">
        <v>31</v>
      </c>
      <c r="E171" s="12">
        <v>1</v>
      </c>
      <c r="F171" s="12" t="s">
        <v>218</v>
      </c>
      <c r="G171" s="16" t="s">
        <v>219</v>
      </c>
      <c r="H171" s="16" t="s">
        <v>220</v>
      </c>
      <c r="I171" s="16" t="s">
        <v>221</v>
      </c>
      <c r="J171" s="11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15" t="s">
        <v>182</v>
      </c>
      <c r="R171" s="15" t="s">
        <v>183</v>
      </c>
      <c r="S171" s="3">
        <v>1</v>
      </c>
      <c r="T171" s="3">
        <v>1</v>
      </c>
      <c r="U171" s="3">
        <v>1</v>
      </c>
      <c r="V171" s="15" t="s">
        <v>184</v>
      </c>
    </row>
    <row r="172" customHeight="1" spans="3:22">
      <c r="C172" s="5">
        <v>152</v>
      </c>
      <c r="D172" s="5">
        <v>31</v>
      </c>
      <c r="E172" s="5">
        <v>2</v>
      </c>
      <c r="F172" s="5" t="s">
        <v>218</v>
      </c>
      <c r="G172" s="11">
        <f t="shared" ref="G172:I172" si="125">G171*S172</f>
        <v>49500000</v>
      </c>
      <c r="H172" s="11">
        <f t="shared" si="125"/>
        <v>14300000</v>
      </c>
      <c r="I172" s="11">
        <f t="shared" si="125"/>
        <v>3600000000000</v>
      </c>
      <c r="J172" s="11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15" t="s">
        <v>185</v>
      </c>
      <c r="R172" s="15" t="s">
        <v>183</v>
      </c>
      <c r="S172" s="2">
        <v>1.1</v>
      </c>
      <c r="T172" s="2">
        <v>1.1</v>
      </c>
      <c r="U172" s="2">
        <v>1.2</v>
      </c>
      <c r="V172" s="15" t="s">
        <v>186</v>
      </c>
    </row>
    <row r="173" customHeight="1" spans="3:22">
      <c r="C173" s="5">
        <v>153</v>
      </c>
      <c r="D173" s="5">
        <v>31</v>
      </c>
      <c r="E173" s="5">
        <v>3</v>
      </c>
      <c r="F173" s="5" t="s">
        <v>218</v>
      </c>
      <c r="G173" s="11">
        <f t="shared" ref="G173:I173" si="127">G171*S173</f>
        <v>51750000</v>
      </c>
      <c r="H173" s="11">
        <f t="shared" si="127"/>
        <v>14950000</v>
      </c>
      <c r="I173" s="11">
        <f t="shared" si="127"/>
        <v>4500000000000</v>
      </c>
      <c r="J173" s="11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15" t="s">
        <v>182</v>
      </c>
      <c r="R173" s="15" t="s">
        <v>183</v>
      </c>
      <c r="S173" s="2">
        <v>1.15</v>
      </c>
      <c r="T173" s="2">
        <v>1.15</v>
      </c>
      <c r="U173" s="2">
        <v>1.5</v>
      </c>
      <c r="V173" s="15" t="s">
        <v>184</v>
      </c>
    </row>
    <row r="174" customHeight="1" spans="3:22">
      <c r="C174" s="5">
        <v>154</v>
      </c>
      <c r="D174" s="5">
        <v>31</v>
      </c>
      <c r="E174" s="5">
        <v>4</v>
      </c>
      <c r="F174" s="5" t="s">
        <v>222</v>
      </c>
      <c r="G174" s="11">
        <f t="shared" ref="G174:I174" si="128">G171*S174</f>
        <v>54000000</v>
      </c>
      <c r="H174" s="11">
        <f t="shared" si="128"/>
        <v>15600000</v>
      </c>
      <c r="I174" s="11">
        <f t="shared" si="128"/>
        <v>5400000000000</v>
      </c>
      <c r="J174" s="11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15" t="s">
        <v>188</v>
      </c>
      <c r="R174" s="15" t="s">
        <v>189</v>
      </c>
      <c r="S174" s="2">
        <v>1.2</v>
      </c>
      <c r="T174" s="2">
        <v>1.2</v>
      </c>
      <c r="U174" s="2">
        <v>1.8</v>
      </c>
      <c r="V174" s="15" t="s">
        <v>117</v>
      </c>
    </row>
    <row r="175" customHeight="1" spans="3:22">
      <c r="C175" s="5">
        <v>155</v>
      </c>
      <c r="D175" s="5">
        <v>31</v>
      </c>
      <c r="E175" s="5">
        <v>5</v>
      </c>
      <c r="F175" s="5" t="s">
        <v>223</v>
      </c>
      <c r="G175" s="11">
        <f t="shared" ref="G175:I175" si="129">G171*S175</f>
        <v>56250000</v>
      </c>
      <c r="H175" s="11">
        <f t="shared" si="129"/>
        <v>16250000</v>
      </c>
      <c r="I175" s="11">
        <f t="shared" si="129"/>
        <v>7500000000000</v>
      </c>
      <c r="J175" s="11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15" t="s">
        <v>191</v>
      </c>
      <c r="R175" s="15" t="s">
        <v>189</v>
      </c>
      <c r="S175" s="2">
        <v>1.25</v>
      </c>
      <c r="T175" s="2">
        <v>1.25</v>
      </c>
      <c r="U175" s="2">
        <v>2.5</v>
      </c>
      <c r="V175" s="15" t="s">
        <v>191</v>
      </c>
    </row>
    <row r="177" customHeight="1" spans="3:22">
      <c r="C177" s="5">
        <v>156</v>
      </c>
      <c r="D177" s="5">
        <v>32</v>
      </c>
      <c r="E177" s="12">
        <v>1</v>
      </c>
      <c r="F177" s="12" t="s">
        <v>224</v>
      </c>
      <c r="G177" s="16" t="s">
        <v>225</v>
      </c>
      <c r="H177" s="16" t="s">
        <v>226</v>
      </c>
      <c r="I177" s="16" t="s">
        <v>227</v>
      </c>
      <c r="J177" s="11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15" t="s">
        <v>182</v>
      </c>
      <c r="R177" s="15" t="s">
        <v>183</v>
      </c>
      <c r="S177" s="3">
        <v>1</v>
      </c>
      <c r="T177" s="3">
        <v>1</v>
      </c>
      <c r="U177" s="3">
        <v>1</v>
      </c>
      <c r="V177" s="15" t="s">
        <v>184</v>
      </c>
    </row>
    <row r="178" customHeight="1" spans="3:22">
      <c r="C178" s="5">
        <v>157</v>
      </c>
      <c r="D178" s="5">
        <v>32</v>
      </c>
      <c r="E178" s="5">
        <v>2</v>
      </c>
      <c r="F178" s="5" t="s">
        <v>224</v>
      </c>
      <c r="G178" s="11">
        <f t="shared" ref="G178:I178" si="130">G177*S178</f>
        <v>66000000</v>
      </c>
      <c r="H178" s="11">
        <f t="shared" si="130"/>
        <v>15400000</v>
      </c>
      <c r="I178" s="11">
        <f t="shared" si="130"/>
        <v>6000000000000</v>
      </c>
      <c r="J178" s="11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15" t="s">
        <v>185</v>
      </c>
      <c r="R178" s="15" t="s">
        <v>183</v>
      </c>
      <c r="S178" s="2">
        <v>1.1</v>
      </c>
      <c r="T178" s="2">
        <v>1.1</v>
      </c>
      <c r="U178" s="2">
        <v>1.2</v>
      </c>
      <c r="V178" s="15" t="s">
        <v>186</v>
      </c>
    </row>
    <row r="179" customHeight="1" spans="3:22">
      <c r="C179" s="5">
        <v>158</v>
      </c>
      <c r="D179" s="5">
        <v>32</v>
      </c>
      <c r="E179" s="5">
        <v>3</v>
      </c>
      <c r="F179" s="5" t="s">
        <v>224</v>
      </c>
      <c r="G179" s="11">
        <f t="shared" ref="G179:I179" si="132">G177*S179</f>
        <v>69000000</v>
      </c>
      <c r="H179" s="11">
        <f t="shared" si="132"/>
        <v>16100000</v>
      </c>
      <c r="I179" s="11">
        <f t="shared" si="132"/>
        <v>7500000000000</v>
      </c>
      <c r="J179" s="11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15" t="s">
        <v>182</v>
      </c>
      <c r="R179" s="15" t="s">
        <v>183</v>
      </c>
      <c r="S179" s="2">
        <v>1.15</v>
      </c>
      <c r="T179" s="2">
        <v>1.15</v>
      </c>
      <c r="U179" s="2">
        <v>1.5</v>
      </c>
      <c r="V179" s="15" t="s">
        <v>184</v>
      </c>
    </row>
    <row r="180" customHeight="1" spans="3:22">
      <c r="C180" s="5">
        <v>159</v>
      </c>
      <c r="D180" s="5">
        <v>32</v>
      </c>
      <c r="E180" s="5">
        <v>4</v>
      </c>
      <c r="F180" s="5" t="s">
        <v>228</v>
      </c>
      <c r="G180" s="11">
        <f t="shared" ref="G180:I180" si="133">G177*S180</f>
        <v>72000000</v>
      </c>
      <c r="H180" s="11">
        <f t="shared" si="133"/>
        <v>16800000</v>
      </c>
      <c r="I180" s="11">
        <f t="shared" si="133"/>
        <v>9000000000000</v>
      </c>
      <c r="J180" s="11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15" t="s">
        <v>188</v>
      </c>
      <c r="R180" s="15" t="s">
        <v>189</v>
      </c>
      <c r="S180" s="2">
        <v>1.2</v>
      </c>
      <c r="T180" s="2">
        <v>1.2</v>
      </c>
      <c r="U180" s="2">
        <v>1.8</v>
      </c>
      <c r="V180" s="15" t="s">
        <v>117</v>
      </c>
    </row>
    <row r="181" customHeight="1" spans="3:22">
      <c r="C181" s="5">
        <v>160</v>
      </c>
      <c r="D181" s="5">
        <v>32</v>
      </c>
      <c r="E181" s="5">
        <v>5</v>
      </c>
      <c r="F181" s="5" t="s">
        <v>229</v>
      </c>
      <c r="G181" s="11">
        <f t="shared" ref="G181:I181" si="134">G177*S181</f>
        <v>75000000</v>
      </c>
      <c r="H181" s="11">
        <f t="shared" si="134"/>
        <v>17500000</v>
      </c>
      <c r="I181" s="11">
        <f t="shared" si="134"/>
        <v>12500000000000</v>
      </c>
      <c r="J181" s="11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15" t="s">
        <v>191</v>
      </c>
      <c r="R181" s="15" t="s">
        <v>189</v>
      </c>
      <c r="S181" s="2">
        <v>1.25</v>
      </c>
      <c r="T181" s="2">
        <v>1.25</v>
      </c>
      <c r="U181" s="2">
        <v>2.5</v>
      </c>
      <c r="V181" s="15" t="s">
        <v>191</v>
      </c>
    </row>
    <row r="183" customHeight="1" spans="3:22">
      <c r="C183" s="5">
        <v>161</v>
      </c>
      <c r="D183" s="5">
        <v>33</v>
      </c>
      <c r="E183" s="12">
        <v>1</v>
      </c>
      <c r="F183" s="12" t="s">
        <v>230</v>
      </c>
      <c r="G183" s="16" t="s">
        <v>231</v>
      </c>
      <c r="H183" s="16" t="s">
        <v>199</v>
      </c>
      <c r="I183" s="16" t="s">
        <v>232</v>
      </c>
      <c r="J183" s="11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15" t="s">
        <v>182</v>
      </c>
      <c r="R183" s="15" t="s">
        <v>183</v>
      </c>
      <c r="S183" s="3">
        <v>1</v>
      </c>
      <c r="T183" s="3">
        <v>1</v>
      </c>
      <c r="U183" s="3">
        <v>1</v>
      </c>
      <c r="V183" s="15" t="s">
        <v>184</v>
      </c>
    </row>
    <row r="184" customHeight="1" spans="3:22">
      <c r="C184" s="5">
        <v>162</v>
      </c>
      <c r="D184" s="5">
        <v>33</v>
      </c>
      <c r="E184" s="5">
        <v>2</v>
      </c>
      <c r="F184" s="5" t="s">
        <v>230</v>
      </c>
      <c r="G184" s="11">
        <f t="shared" ref="G184:I184" si="135">G183*S184</f>
        <v>88000000</v>
      </c>
      <c r="H184" s="11">
        <f t="shared" si="135"/>
        <v>16500000</v>
      </c>
      <c r="I184" s="11">
        <f t="shared" si="135"/>
        <v>9600000000000</v>
      </c>
      <c r="J184" s="11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15" t="s">
        <v>185</v>
      </c>
      <c r="R184" s="15" t="s">
        <v>183</v>
      </c>
      <c r="S184" s="2">
        <v>1.1</v>
      </c>
      <c r="T184" s="2">
        <v>1.1</v>
      </c>
      <c r="U184" s="2">
        <v>1.2</v>
      </c>
      <c r="V184" s="15" t="s">
        <v>186</v>
      </c>
    </row>
    <row r="185" customHeight="1" spans="3:22">
      <c r="C185" s="5">
        <v>163</v>
      </c>
      <c r="D185" s="5">
        <v>33</v>
      </c>
      <c r="E185" s="5">
        <v>3</v>
      </c>
      <c r="F185" s="5" t="s">
        <v>230</v>
      </c>
      <c r="G185" s="11">
        <f t="shared" ref="G185:I185" si="137">G183*S185</f>
        <v>92000000</v>
      </c>
      <c r="H185" s="11">
        <f t="shared" si="137"/>
        <v>17250000</v>
      </c>
      <c r="I185" s="11">
        <f t="shared" si="137"/>
        <v>12000000000000</v>
      </c>
      <c r="J185" s="11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15" t="s">
        <v>182</v>
      </c>
      <c r="R185" s="15" t="s">
        <v>183</v>
      </c>
      <c r="S185" s="2">
        <v>1.15</v>
      </c>
      <c r="T185" s="2">
        <v>1.15</v>
      </c>
      <c r="U185" s="2">
        <v>1.5</v>
      </c>
      <c r="V185" s="15" t="s">
        <v>184</v>
      </c>
    </row>
    <row r="186" customHeight="1" spans="3:22">
      <c r="C186" s="5">
        <v>164</v>
      </c>
      <c r="D186" s="5">
        <v>33</v>
      </c>
      <c r="E186" s="5">
        <v>4</v>
      </c>
      <c r="F186" s="5" t="s">
        <v>233</v>
      </c>
      <c r="G186" s="11">
        <f t="shared" ref="G186:I186" si="138">G183*S186</f>
        <v>96000000</v>
      </c>
      <c r="H186" s="11">
        <f t="shared" si="138"/>
        <v>18000000</v>
      </c>
      <c r="I186" s="11">
        <f t="shared" si="138"/>
        <v>14400000000000</v>
      </c>
      <c r="J186" s="11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15" t="s">
        <v>188</v>
      </c>
      <c r="R186" s="15" t="s">
        <v>189</v>
      </c>
      <c r="S186" s="2">
        <v>1.2</v>
      </c>
      <c r="T186" s="2">
        <v>1.2</v>
      </c>
      <c r="U186" s="2">
        <v>1.8</v>
      </c>
      <c r="V186" s="15" t="s">
        <v>117</v>
      </c>
    </row>
    <row r="187" customHeight="1" spans="3:22">
      <c r="C187" s="5">
        <v>165</v>
      </c>
      <c r="D187" s="5">
        <v>33</v>
      </c>
      <c r="E187" s="5">
        <v>5</v>
      </c>
      <c r="F187" s="5" t="s">
        <v>234</v>
      </c>
      <c r="G187" s="11">
        <f t="shared" ref="G187:I187" si="139">G183*S187</f>
        <v>100000000</v>
      </c>
      <c r="H187" s="11">
        <f t="shared" si="139"/>
        <v>18750000</v>
      </c>
      <c r="I187" s="11">
        <f t="shared" si="139"/>
        <v>20000000000000</v>
      </c>
      <c r="J187" s="11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15" t="s">
        <v>191</v>
      </c>
      <c r="R187" s="15" t="s">
        <v>189</v>
      </c>
      <c r="S187" s="2">
        <v>1.25</v>
      </c>
      <c r="T187" s="2">
        <v>1.25</v>
      </c>
      <c r="U187" s="2">
        <v>2.5</v>
      </c>
      <c r="V187" s="15" t="s">
        <v>191</v>
      </c>
    </row>
    <row r="189" customHeight="1" spans="3:22">
      <c r="C189" s="5">
        <v>166</v>
      </c>
      <c r="D189" s="5">
        <v>34</v>
      </c>
      <c r="E189" s="12">
        <v>1</v>
      </c>
      <c r="F189" s="12" t="s">
        <v>235</v>
      </c>
      <c r="G189" s="16" t="s">
        <v>236</v>
      </c>
      <c r="H189" s="16" t="s">
        <v>237</v>
      </c>
      <c r="I189" s="16" t="s">
        <v>238</v>
      </c>
      <c r="J189" s="11">
        <v>280</v>
      </c>
      <c r="K189" s="3">
        <v>100</v>
      </c>
      <c r="L189" s="3">
        <v>1800</v>
      </c>
      <c r="M189" s="3">
        <v>1800</v>
      </c>
      <c r="N189" s="3">
        <v>1800</v>
      </c>
      <c r="O189" s="3">
        <v>99</v>
      </c>
      <c r="P189" s="3">
        <v>0</v>
      </c>
      <c r="Q189" s="15" t="s">
        <v>182</v>
      </c>
      <c r="R189" s="15" t="s">
        <v>183</v>
      </c>
      <c r="S189" s="3">
        <v>1</v>
      </c>
      <c r="T189" s="3">
        <v>1</v>
      </c>
      <c r="U189" s="3">
        <v>1</v>
      </c>
      <c r="V189" s="15" t="s">
        <v>184</v>
      </c>
    </row>
    <row r="190" customHeight="1" spans="3:22">
      <c r="C190" s="5">
        <v>167</v>
      </c>
      <c r="D190" s="5">
        <v>34</v>
      </c>
      <c r="E190" s="5">
        <v>2</v>
      </c>
      <c r="F190" s="5" t="s">
        <v>235</v>
      </c>
      <c r="G190" s="11">
        <f t="shared" ref="G190:I190" si="140">G189*S190</f>
        <v>121000000</v>
      </c>
      <c r="H190" s="11">
        <f t="shared" si="140"/>
        <v>17600000</v>
      </c>
      <c r="I190" s="11">
        <f t="shared" si="140"/>
        <v>14400000000000</v>
      </c>
      <c r="J190" s="11">
        <f t="shared" ref="J190:J193" si="141">J189+10</f>
        <v>290</v>
      </c>
      <c r="K190" s="3">
        <v>100</v>
      </c>
      <c r="L190" s="2">
        <v>1800</v>
      </c>
      <c r="M190" s="2">
        <v>1800</v>
      </c>
      <c r="N190" s="2">
        <v>1800</v>
      </c>
      <c r="O190" s="2">
        <v>99</v>
      </c>
      <c r="P190" s="2">
        <v>0</v>
      </c>
      <c r="Q190" s="15" t="s">
        <v>185</v>
      </c>
      <c r="R190" s="15" t="s">
        <v>183</v>
      </c>
      <c r="S190" s="2">
        <v>1.1</v>
      </c>
      <c r="T190" s="2">
        <v>1.1</v>
      </c>
      <c r="U190" s="2">
        <v>1.2</v>
      </c>
      <c r="V190" s="15" t="s">
        <v>186</v>
      </c>
    </row>
    <row r="191" customHeight="1" spans="3:22">
      <c r="C191" s="5">
        <v>168</v>
      </c>
      <c r="D191" s="5">
        <v>34</v>
      </c>
      <c r="E191" s="5">
        <v>3</v>
      </c>
      <c r="F191" s="5" t="s">
        <v>235</v>
      </c>
      <c r="G191" s="11">
        <f t="shared" ref="G191:I191" si="142">G189*S191</f>
        <v>126500000</v>
      </c>
      <c r="H191" s="11">
        <f t="shared" si="142"/>
        <v>18400000</v>
      </c>
      <c r="I191" s="11">
        <f t="shared" si="142"/>
        <v>18000000000000</v>
      </c>
      <c r="J191" s="11">
        <f t="shared" si="141"/>
        <v>300</v>
      </c>
      <c r="K191" s="3">
        <v>100</v>
      </c>
      <c r="L191" s="2">
        <v>1800</v>
      </c>
      <c r="M191" s="2">
        <v>1800</v>
      </c>
      <c r="N191" s="2">
        <v>1800</v>
      </c>
      <c r="O191" s="2">
        <v>99</v>
      </c>
      <c r="P191" s="2">
        <v>0</v>
      </c>
      <c r="Q191" s="15" t="s">
        <v>182</v>
      </c>
      <c r="R191" s="15" t="s">
        <v>183</v>
      </c>
      <c r="S191" s="2">
        <v>1.15</v>
      </c>
      <c r="T191" s="2">
        <v>1.15</v>
      </c>
      <c r="U191" s="2">
        <v>1.5</v>
      </c>
      <c r="V191" s="15" t="s">
        <v>184</v>
      </c>
    </row>
    <row r="192" customHeight="1" spans="3:22">
      <c r="C192" s="5">
        <v>169</v>
      </c>
      <c r="D192" s="5">
        <v>34</v>
      </c>
      <c r="E192" s="5">
        <v>4</v>
      </c>
      <c r="F192" s="5" t="s">
        <v>239</v>
      </c>
      <c r="G192" s="11">
        <f t="shared" ref="G192:I192" si="143">G189*S192</f>
        <v>132000000</v>
      </c>
      <c r="H192" s="11">
        <f t="shared" si="143"/>
        <v>19200000</v>
      </c>
      <c r="I192" s="11">
        <f t="shared" si="143"/>
        <v>21600000000000</v>
      </c>
      <c r="J192" s="11">
        <f t="shared" si="141"/>
        <v>310</v>
      </c>
      <c r="K192" s="3">
        <v>100</v>
      </c>
      <c r="L192" s="2">
        <v>1800</v>
      </c>
      <c r="M192" s="2">
        <v>1800</v>
      </c>
      <c r="N192" s="2">
        <v>1800</v>
      </c>
      <c r="O192" s="2">
        <v>99</v>
      </c>
      <c r="P192" s="2">
        <v>0</v>
      </c>
      <c r="Q192" s="15" t="s">
        <v>188</v>
      </c>
      <c r="R192" s="15" t="s">
        <v>189</v>
      </c>
      <c r="S192" s="2">
        <v>1.2</v>
      </c>
      <c r="T192" s="2">
        <v>1.2</v>
      </c>
      <c r="U192" s="2">
        <v>1.8</v>
      </c>
      <c r="V192" s="15" t="s">
        <v>117</v>
      </c>
    </row>
    <row r="193" customHeight="1" spans="3:22">
      <c r="C193" s="5">
        <v>170</v>
      </c>
      <c r="D193" s="5">
        <v>34</v>
      </c>
      <c r="E193" s="5">
        <v>5</v>
      </c>
      <c r="F193" s="5" t="s">
        <v>240</v>
      </c>
      <c r="G193" s="11">
        <f t="shared" ref="G193:I193" si="144">G189*S193</f>
        <v>137500000</v>
      </c>
      <c r="H193" s="11">
        <f t="shared" si="144"/>
        <v>20000000</v>
      </c>
      <c r="I193" s="11">
        <f t="shared" si="144"/>
        <v>30000000000000</v>
      </c>
      <c r="J193" s="11">
        <f t="shared" si="141"/>
        <v>320</v>
      </c>
      <c r="K193" s="3">
        <v>100</v>
      </c>
      <c r="L193" s="2">
        <v>1800</v>
      </c>
      <c r="M193" s="2">
        <v>1800</v>
      </c>
      <c r="N193" s="2">
        <v>1800</v>
      </c>
      <c r="O193" s="2">
        <v>99</v>
      </c>
      <c r="P193" s="2">
        <v>0</v>
      </c>
      <c r="Q193" s="15" t="s">
        <v>191</v>
      </c>
      <c r="R193" s="15" t="s">
        <v>189</v>
      </c>
      <c r="S193" s="2">
        <v>1.25</v>
      </c>
      <c r="T193" s="2">
        <v>1.25</v>
      </c>
      <c r="U193" s="2">
        <v>2.5</v>
      </c>
      <c r="V193" s="15" t="s">
        <v>191</v>
      </c>
    </row>
    <row r="195" customHeight="1" spans="3:22">
      <c r="C195" s="5">
        <v>171</v>
      </c>
      <c r="D195" s="5">
        <v>35</v>
      </c>
      <c r="E195" s="12">
        <v>1</v>
      </c>
      <c r="F195" s="12" t="s">
        <v>241</v>
      </c>
      <c r="G195" s="16" t="s">
        <v>55</v>
      </c>
      <c r="H195" s="16" t="s">
        <v>242</v>
      </c>
      <c r="I195" s="16" t="s">
        <v>243</v>
      </c>
      <c r="J195" s="11">
        <v>290</v>
      </c>
      <c r="K195" s="3">
        <v>100</v>
      </c>
      <c r="L195" s="3">
        <v>1800</v>
      </c>
      <c r="M195" s="3">
        <v>1800</v>
      </c>
      <c r="N195" s="3">
        <v>1800</v>
      </c>
      <c r="O195" s="3">
        <v>99</v>
      </c>
      <c r="P195" s="3">
        <v>0</v>
      </c>
      <c r="Q195" s="15" t="s">
        <v>182</v>
      </c>
      <c r="R195" s="15" t="s">
        <v>183</v>
      </c>
      <c r="S195" s="3">
        <v>1</v>
      </c>
      <c r="T195" s="3">
        <v>1</v>
      </c>
      <c r="U195" s="3">
        <v>1</v>
      </c>
      <c r="V195" s="15" t="s">
        <v>184</v>
      </c>
    </row>
    <row r="196" customHeight="1" spans="3:22">
      <c r="C196" s="5">
        <v>172</v>
      </c>
      <c r="D196" s="5">
        <v>35</v>
      </c>
      <c r="E196" s="5">
        <v>2</v>
      </c>
      <c r="F196" s="5" t="s">
        <v>241</v>
      </c>
      <c r="G196" s="11">
        <f t="shared" ref="G196:I196" si="145">G195*S196</f>
        <v>154000000</v>
      </c>
      <c r="H196" s="11">
        <f t="shared" si="145"/>
        <v>19800000</v>
      </c>
      <c r="I196" s="11">
        <f t="shared" si="145"/>
        <v>19200000000000</v>
      </c>
      <c r="J196" s="11">
        <f t="shared" ref="J196:J199" si="146">J195+10</f>
        <v>300</v>
      </c>
      <c r="K196" s="3">
        <v>100</v>
      </c>
      <c r="L196" s="2">
        <v>1800</v>
      </c>
      <c r="M196" s="2">
        <v>1800</v>
      </c>
      <c r="N196" s="2">
        <v>1800</v>
      </c>
      <c r="O196" s="2">
        <v>99</v>
      </c>
      <c r="P196" s="2">
        <v>0</v>
      </c>
      <c r="Q196" s="15" t="s">
        <v>185</v>
      </c>
      <c r="R196" s="15" t="s">
        <v>183</v>
      </c>
      <c r="S196" s="2">
        <v>1.1</v>
      </c>
      <c r="T196" s="2">
        <v>1.1</v>
      </c>
      <c r="U196" s="2">
        <v>1.2</v>
      </c>
      <c r="V196" s="15" t="s">
        <v>186</v>
      </c>
    </row>
    <row r="197" customHeight="1" spans="3:22">
      <c r="C197" s="5">
        <v>173</v>
      </c>
      <c r="D197" s="5">
        <v>35</v>
      </c>
      <c r="E197" s="5">
        <v>3</v>
      </c>
      <c r="F197" s="5" t="s">
        <v>241</v>
      </c>
      <c r="G197" s="11">
        <f t="shared" ref="G197:I197" si="147">G195*S197</f>
        <v>161000000</v>
      </c>
      <c r="H197" s="11">
        <f t="shared" si="147"/>
        <v>20700000</v>
      </c>
      <c r="I197" s="11">
        <f t="shared" si="147"/>
        <v>24000000000000</v>
      </c>
      <c r="J197" s="11">
        <f t="shared" si="146"/>
        <v>310</v>
      </c>
      <c r="K197" s="3">
        <v>100</v>
      </c>
      <c r="L197" s="2">
        <v>1800</v>
      </c>
      <c r="M197" s="2">
        <v>1800</v>
      </c>
      <c r="N197" s="2">
        <v>1800</v>
      </c>
      <c r="O197" s="2">
        <v>99</v>
      </c>
      <c r="P197" s="2">
        <v>0</v>
      </c>
      <c r="Q197" s="15" t="s">
        <v>182</v>
      </c>
      <c r="R197" s="15" t="s">
        <v>183</v>
      </c>
      <c r="S197" s="2">
        <v>1.15</v>
      </c>
      <c r="T197" s="2">
        <v>1.15</v>
      </c>
      <c r="U197" s="2">
        <v>1.5</v>
      </c>
      <c r="V197" s="15" t="s">
        <v>184</v>
      </c>
    </row>
    <row r="198" customHeight="1" spans="3:22">
      <c r="C198" s="5">
        <v>174</v>
      </c>
      <c r="D198" s="5">
        <v>35</v>
      </c>
      <c r="E198" s="5">
        <v>4</v>
      </c>
      <c r="F198" s="5" t="s">
        <v>244</v>
      </c>
      <c r="G198" s="11">
        <f t="shared" ref="G198:I198" si="148">G195*S198</f>
        <v>168000000</v>
      </c>
      <c r="H198" s="11">
        <f t="shared" si="148"/>
        <v>21600000</v>
      </c>
      <c r="I198" s="11">
        <f t="shared" si="148"/>
        <v>28800000000000</v>
      </c>
      <c r="J198" s="11">
        <f t="shared" si="146"/>
        <v>320</v>
      </c>
      <c r="K198" s="3">
        <v>100</v>
      </c>
      <c r="L198" s="2">
        <v>1800</v>
      </c>
      <c r="M198" s="2">
        <v>1800</v>
      </c>
      <c r="N198" s="2">
        <v>1800</v>
      </c>
      <c r="O198" s="2">
        <v>99</v>
      </c>
      <c r="P198" s="2">
        <v>0</v>
      </c>
      <c r="Q198" s="15" t="s">
        <v>188</v>
      </c>
      <c r="R198" s="15" t="s">
        <v>189</v>
      </c>
      <c r="S198" s="2">
        <v>1.2</v>
      </c>
      <c r="T198" s="2">
        <v>1.2</v>
      </c>
      <c r="U198" s="2">
        <v>1.8</v>
      </c>
      <c r="V198" s="15" t="s">
        <v>117</v>
      </c>
    </row>
    <row r="199" customHeight="1" spans="3:22">
      <c r="C199" s="5">
        <v>175</v>
      </c>
      <c r="D199" s="5">
        <v>35</v>
      </c>
      <c r="E199" s="5">
        <v>5</v>
      </c>
      <c r="F199" s="5" t="s">
        <v>245</v>
      </c>
      <c r="G199" s="11">
        <f t="shared" ref="G199:I199" si="149">G195*S199</f>
        <v>175000000</v>
      </c>
      <c r="H199" s="11">
        <f t="shared" si="149"/>
        <v>22500000</v>
      </c>
      <c r="I199" s="11">
        <f t="shared" si="149"/>
        <v>40000000000000</v>
      </c>
      <c r="J199" s="11">
        <f t="shared" si="146"/>
        <v>330</v>
      </c>
      <c r="K199" s="3">
        <v>100</v>
      </c>
      <c r="L199" s="2">
        <v>1800</v>
      </c>
      <c r="M199" s="2">
        <v>1800</v>
      </c>
      <c r="N199" s="2">
        <v>1800</v>
      </c>
      <c r="O199" s="2">
        <v>99</v>
      </c>
      <c r="P199" s="2">
        <v>0</v>
      </c>
      <c r="Q199" s="15" t="s">
        <v>191</v>
      </c>
      <c r="R199" s="15" t="s">
        <v>189</v>
      </c>
      <c r="S199" s="2">
        <v>1.25</v>
      </c>
      <c r="T199" s="2">
        <v>1.25</v>
      </c>
      <c r="U199" s="2">
        <v>2.5</v>
      </c>
      <c r="V199" s="15" t="s">
        <v>191</v>
      </c>
    </row>
    <row r="200" customHeight="1" spans="3:22">
      <c r="G200" s="1"/>
    </row>
    <row r="201" customHeight="1" spans="3:22">
      <c r="C201" s="5">
        <v>176</v>
      </c>
      <c r="D201" s="5">
        <v>36</v>
      </c>
      <c r="E201" s="12">
        <v>1</v>
      </c>
      <c r="F201" s="12" t="s">
        <v>246</v>
      </c>
      <c r="G201" s="16" t="s">
        <v>247</v>
      </c>
      <c r="H201" s="16" t="s">
        <v>34</v>
      </c>
      <c r="I201" s="16" t="s">
        <v>248</v>
      </c>
      <c r="J201" s="11">
        <v>300</v>
      </c>
      <c r="K201" s="3">
        <v>100</v>
      </c>
      <c r="L201" s="3">
        <v>1800</v>
      </c>
      <c r="M201" s="3">
        <v>1800</v>
      </c>
      <c r="N201" s="3">
        <v>1800</v>
      </c>
      <c r="O201" s="3">
        <v>99</v>
      </c>
      <c r="P201" s="3">
        <v>0</v>
      </c>
      <c r="Q201" s="15" t="s">
        <v>182</v>
      </c>
      <c r="R201" s="15" t="s">
        <v>183</v>
      </c>
      <c r="S201" s="3">
        <v>1</v>
      </c>
      <c r="T201" s="3">
        <v>1</v>
      </c>
      <c r="U201" s="3">
        <v>1</v>
      </c>
      <c r="V201" s="15" t="s">
        <v>184</v>
      </c>
    </row>
    <row r="202" customHeight="1" spans="3:22">
      <c r="C202" s="5">
        <v>177</v>
      </c>
      <c r="D202" s="5">
        <v>36</v>
      </c>
      <c r="E202" s="5">
        <v>2</v>
      </c>
      <c r="F202" s="5" t="s">
        <v>246</v>
      </c>
      <c r="G202" s="11">
        <f t="shared" ref="G202:I202" si="150">G201*S202</f>
        <v>198000000</v>
      </c>
      <c r="H202" s="11">
        <f t="shared" si="150"/>
        <v>22000000</v>
      </c>
      <c r="I202" s="11">
        <f t="shared" si="150"/>
        <v>24000000000000</v>
      </c>
      <c r="J202" s="11">
        <f t="shared" ref="J202:J205" si="151">J201+10</f>
        <v>310</v>
      </c>
      <c r="K202" s="3">
        <v>100</v>
      </c>
      <c r="L202" s="2">
        <v>1800</v>
      </c>
      <c r="M202" s="2">
        <v>1800</v>
      </c>
      <c r="N202" s="2">
        <v>1800</v>
      </c>
      <c r="O202" s="2">
        <v>99</v>
      </c>
      <c r="P202" s="2">
        <v>0</v>
      </c>
      <c r="Q202" s="15" t="s">
        <v>185</v>
      </c>
      <c r="R202" s="15" t="s">
        <v>183</v>
      </c>
      <c r="S202" s="2">
        <v>1.1</v>
      </c>
      <c r="T202" s="2">
        <v>1.1</v>
      </c>
      <c r="U202" s="2">
        <v>1.2</v>
      </c>
      <c r="V202" s="15" t="s">
        <v>186</v>
      </c>
    </row>
    <row r="203" customHeight="1" spans="3:22">
      <c r="C203" s="5">
        <v>178</v>
      </c>
      <c r="D203" s="5">
        <v>36</v>
      </c>
      <c r="E203" s="5">
        <v>3</v>
      </c>
      <c r="F203" s="5" t="s">
        <v>246</v>
      </c>
      <c r="G203" s="11">
        <f t="shared" ref="G203:I203" si="152">G201*S203</f>
        <v>207000000</v>
      </c>
      <c r="H203" s="11">
        <f t="shared" si="152"/>
        <v>23000000</v>
      </c>
      <c r="I203" s="11">
        <f t="shared" si="152"/>
        <v>30000000000000</v>
      </c>
      <c r="J203" s="11">
        <f t="shared" si="151"/>
        <v>320</v>
      </c>
      <c r="K203" s="3">
        <v>100</v>
      </c>
      <c r="L203" s="2">
        <v>1800</v>
      </c>
      <c r="M203" s="2">
        <v>1800</v>
      </c>
      <c r="N203" s="2">
        <v>1800</v>
      </c>
      <c r="O203" s="2">
        <v>99</v>
      </c>
      <c r="P203" s="2">
        <v>0</v>
      </c>
      <c r="Q203" s="15" t="s">
        <v>182</v>
      </c>
      <c r="R203" s="15" t="s">
        <v>183</v>
      </c>
      <c r="S203" s="2">
        <v>1.15</v>
      </c>
      <c r="T203" s="2">
        <v>1.15</v>
      </c>
      <c r="U203" s="2">
        <v>1.5</v>
      </c>
      <c r="V203" s="15" t="s">
        <v>184</v>
      </c>
    </row>
    <row r="204" customHeight="1" spans="3:22">
      <c r="C204" s="5">
        <v>179</v>
      </c>
      <c r="D204" s="5">
        <v>36</v>
      </c>
      <c r="E204" s="5">
        <v>4</v>
      </c>
      <c r="F204" s="5" t="s">
        <v>249</v>
      </c>
      <c r="G204" s="11">
        <f t="shared" ref="G204:I204" si="153">G201*S204</f>
        <v>216000000</v>
      </c>
      <c r="H204" s="11">
        <f t="shared" si="153"/>
        <v>24000000</v>
      </c>
      <c r="I204" s="11">
        <f t="shared" si="153"/>
        <v>36000000000000</v>
      </c>
      <c r="J204" s="11">
        <f t="shared" si="151"/>
        <v>330</v>
      </c>
      <c r="K204" s="3">
        <v>100</v>
      </c>
      <c r="L204" s="2">
        <v>1800</v>
      </c>
      <c r="M204" s="2">
        <v>1800</v>
      </c>
      <c r="N204" s="2">
        <v>1800</v>
      </c>
      <c r="O204" s="2">
        <v>99</v>
      </c>
      <c r="P204" s="2">
        <v>0</v>
      </c>
      <c r="Q204" s="15" t="s">
        <v>188</v>
      </c>
      <c r="R204" s="15" t="s">
        <v>189</v>
      </c>
      <c r="S204" s="2">
        <v>1.2</v>
      </c>
      <c r="T204" s="2">
        <v>1.2</v>
      </c>
      <c r="U204" s="2">
        <v>1.8</v>
      </c>
      <c r="V204" s="15" t="s">
        <v>117</v>
      </c>
    </row>
    <row r="205" customHeight="1" spans="3:22">
      <c r="C205" s="5">
        <v>180</v>
      </c>
      <c r="D205" s="5">
        <v>36</v>
      </c>
      <c r="E205" s="5">
        <v>5</v>
      </c>
      <c r="F205" s="5" t="s">
        <v>250</v>
      </c>
      <c r="G205" s="11">
        <f t="shared" ref="G205:I205" si="154">G201*S205</f>
        <v>225000000</v>
      </c>
      <c r="H205" s="11">
        <f t="shared" si="154"/>
        <v>25000000</v>
      </c>
      <c r="I205" s="11">
        <f t="shared" si="154"/>
        <v>50000000000000</v>
      </c>
      <c r="J205" s="11">
        <f t="shared" si="151"/>
        <v>340</v>
      </c>
      <c r="K205" s="3">
        <v>100</v>
      </c>
      <c r="L205" s="2">
        <v>1800</v>
      </c>
      <c r="M205" s="2">
        <v>1800</v>
      </c>
      <c r="N205" s="2">
        <v>1800</v>
      </c>
      <c r="O205" s="2">
        <v>99</v>
      </c>
      <c r="P205" s="2">
        <v>0</v>
      </c>
      <c r="Q205" s="15" t="s">
        <v>191</v>
      </c>
      <c r="R205" s="15" t="s">
        <v>189</v>
      </c>
      <c r="S205" s="2">
        <v>1.25</v>
      </c>
      <c r="T205" s="2">
        <v>1.25</v>
      </c>
      <c r="U205" s="2">
        <v>2.5</v>
      </c>
      <c r="V205" s="15" t="s">
        <v>191</v>
      </c>
    </row>
    <row r="206" customHeight="1" spans="3:22">
      <c r="G206" s="1"/>
    </row>
    <row r="207" customHeight="1" spans="3:22">
      <c r="C207" s="5">
        <v>181</v>
      </c>
      <c r="D207" s="5">
        <v>37</v>
      </c>
      <c r="E207" s="12">
        <v>1</v>
      </c>
      <c r="F207" s="12" t="s">
        <v>251</v>
      </c>
      <c r="G207" s="16" t="s">
        <v>252</v>
      </c>
      <c r="H207" s="16" t="s">
        <v>253</v>
      </c>
      <c r="I207" s="16" t="s">
        <v>254</v>
      </c>
      <c r="J207" s="11">
        <v>310</v>
      </c>
      <c r="K207" s="3">
        <v>100</v>
      </c>
      <c r="L207" s="3">
        <v>1800</v>
      </c>
      <c r="M207" s="3">
        <v>1800</v>
      </c>
      <c r="N207" s="3">
        <v>1800</v>
      </c>
      <c r="O207" s="3">
        <v>99</v>
      </c>
      <c r="P207" s="3">
        <v>0</v>
      </c>
      <c r="Q207" s="15" t="s">
        <v>182</v>
      </c>
      <c r="R207" s="15" t="s">
        <v>183</v>
      </c>
      <c r="S207" s="3">
        <v>1</v>
      </c>
      <c r="T207" s="3">
        <v>1</v>
      </c>
      <c r="U207" s="3">
        <v>1</v>
      </c>
      <c r="V207" s="15" t="s">
        <v>184</v>
      </c>
    </row>
    <row r="208" customHeight="1" spans="3:22">
      <c r="C208" s="5">
        <v>182</v>
      </c>
      <c r="D208" s="5">
        <v>37</v>
      </c>
      <c r="E208" s="5">
        <v>2</v>
      </c>
      <c r="F208" s="5" t="s">
        <v>251</v>
      </c>
      <c r="G208" s="11">
        <f t="shared" ref="G208:I208" si="155">G207*S208</f>
        <v>242000000</v>
      </c>
      <c r="H208" s="11">
        <f t="shared" si="155"/>
        <v>24200000</v>
      </c>
      <c r="I208" s="11">
        <f t="shared" si="155"/>
        <v>30000000000000</v>
      </c>
      <c r="J208" s="11">
        <f t="shared" ref="J208:J211" si="156">J207+10</f>
        <v>320</v>
      </c>
      <c r="K208" s="3">
        <v>100</v>
      </c>
      <c r="L208" s="2">
        <v>1800</v>
      </c>
      <c r="M208" s="2">
        <v>1800</v>
      </c>
      <c r="N208" s="2">
        <v>1800</v>
      </c>
      <c r="O208" s="2">
        <v>99</v>
      </c>
      <c r="P208" s="2">
        <v>0</v>
      </c>
      <c r="Q208" s="15" t="s">
        <v>185</v>
      </c>
      <c r="R208" s="15" t="s">
        <v>183</v>
      </c>
      <c r="S208" s="2">
        <v>1.1</v>
      </c>
      <c r="T208" s="2">
        <v>1.1</v>
      </c>
      <c r="U208" s="2">
        <v>1.2</v>
      </c>
      <c r="V208" s="15" t="s">
        <v>186</v>
      </c>
    </row>
    <row r="209" customHeight="1" spans="3:22">
      <c r="C209" s="5">
        <v>183</v>
      </c>
      <c r="D209" s="5">
        <v>37</v>
      </c>
      <c r="E209" s="5">
        <v>3</v>
      </c>
      <c r="F209" s="5" t="s">
        <v>251</v>
      </c>
      <c r="G209" s="11">
        <f t="shared" ref="G209:I209" si="157">G207*S209</f>
        <v>253000000</v>
      </c>
      <c r="H209" s="11">
        <f t="shared" si="157"/>
        <v>25300000</v>
      </c>
      <c r="I209" s="11">
        <f t="shared" si="157"/>
        <v>37500000000000</v>
      </c>
      <c r="J209" s="11">
        <f t="shared" si="156"/>
        <v>330</v>
      </c>
      <c r="K209" s="3">
        <v>100</v>
      </c>
      <c r="L209" s="2">
        <v>1800</v>
      </c>
      <c r="M209" s="2">
        <v>1800</v>
      </c>
      <c r="N209" s="2">
        <v>1800</v>
      </c>
      <c r="O209" s="2">
        <v>99</v>
      </c>
      <c r="P209" s="2">
        <v>0</v>
      </c>
      <c r="Q209" s="15" t="s">
        <v>182</v>
      </c>
      <c r="R209" s="15" t="s">
        <v>183</v>
      </c>
      <c r="S209" s="2">
        <v>1.15</v>
      </c>
      <c r="T209" s="2">
        <v>1.15</v>
      </c>
      <c r="U209" s="2">
        <v>1.5</v>
      </c>
      <c r="V209" s="15" t="s">
        <v>184</v>
      </c>
    </row>
    <row r="210" customHeight="1" spans="3:22">
      <c r="C210" s="5">
        <v>184</v>
      </c>
      <c r="D210" s="5">
        <v>37</v>
      </c>
      <c r="E210" s="5">
        <v>4</v>
      </c>
      <c r="F210" s="5" t="s">
        <v>255</v>
      </c>
      <c r="G210" s="11">
        <f t="shared" ref="G210:I210" si="158">G207*S210</f>
        <v>264000000</v>
      </c>
      <c r="H210" s="11">
        <f t="shared" si="158"/>
        <v>26400000</v>
      </c>
      <c r="I210" s="11">
        <f t="shared" si="158"/>
        <v>45000000000000</v>
      </c>
      <c r="J210" s="11">
        <f t="shared" si="156"/>
        <v>340</v>
      </c>
      <c r="K210" s="3">
        <v>100</v>
      </c>
      <c r="L210" s="2">
        <v>1800</v>
      </c>
      <c r="M210" s="2">
        <v>1800</v>
      </c>
      <c r="N210" s="2">
        <v>1800</v>
      </c>
      <c r="O210" s="2">
        <v>99</v>
      </c>
      <c r="P210" s="2">
        <v>0</v>
      </c>
      <c r="Q210" s="15" t="s">
        <v>188</v>
      </c>
      <c r="R210" s="15" t="s">
        <v>189</v>
      </c>
      <c r="S210" s="2">
        <v>1.2</v>
      </c>
      <c r="T210" s="2">
        <v>1.2</v>
      </c>
      <c r="U210" s="2">
        <v>1.8</v>
      </c>
      <c r="V210" s="15" t="s">
        <v>117</v>
      </c>
    </row>
    <row r="211" customHeight="1" spans="3:22">
      <c r="C211" s="5">
        <v>185</v>
      </c>
      <c r="D211" s="5">
        <v>37</v>
      </c>
      <c r="E211" s="5">
        <v>5</v>
      </c>
      <c r="F211" s="5" t="s">
        <v>256</v>
      </c>
      <c r="G211" s="11">
        <f t="shared" ref="G211:I211" si="159">G207*S211</f>
        <v>275000000</v>
      </c>
      <c r="H211" s="11">
        <f t="shared" si="159"/>
        <v>27500000</v>
      </c>
      <c r="I211" s="11">
        <f t="shared" si="159"/>
        <v>62500000000000</v>
      </c>
      <c r="J211" s="11">
        <f t="shared" si="156"/>
        <v>350</v>
      </c>
      <c r="K211" s="3">
        <v>100</v>
      </c>
      <c r="L211" s="2">
        <v>1800</v>
      </c>
      <c r="M211" s="2">
        <v>1800</v>
      </c>
      <c r="N211" s="2">
        <v>1800</v>
      </c>
      <c r="O211" s="2">
        <v>99</v>
      </c>
      <c r="P211" s="2">
        <v>0</v>
      </c>
      <c r="Q211" s="15" t="s">
        <v>191</v>
      </c>
      <c r="R211" s="15" t="s">
        <v>189</v>
      </c>
      <c r="S211" s="2">
        <v>1.25</v>
      </c>
      <c r="T211" s="2">
        <v>1.25</v>
      </c>
      <c r="U211" s="2">
        <v>2.5</v>
      </c>
      <c r="V211" s="15" t="s">
        <v>191</v>
      </c>
    </row>
    <row r="212" customHeight="1" spans="3:22">
      <c r="G212" s="1"/>
    </row>
    <row r="213" customHeight="1" spans="3:22">
      <c r="C213" s="5">
        <v>186</v>
      </c>
      <c r="D213" s="5">
        <v>38</v>
      </c>
      <c r="E213" s="12">
        <v>1</v>
      </c>
      <c r="F213" s="12" t="s">
        <v>257</v>
      </c>
      <c r="G213" s="16" t="s">
        <v>258</v>
      </c>
      <c r="H213" s="16" t="s">
        <v>259</v>
      </c>
      <c r="I213" s="16" t="s">
        <v>260</v>
      </c>
      <c r="J213" s="11">
        <v>320</v>
      </c>
      <c r="K213" s="3">
        <v>100</v>
      </c>
      <c r="L213" s="3">
        <v>1800</v>
      </c>
      <c r="M213" s="3">
        <v>1800</v>
      </c>
      <c r="N213" s="3">
        <v>1800</v>
      </c>
      <c r="O213" s="3">
        <v>99</v>
      </c>
      <c r="P213" s="3">
        <v>0</v>
      </c>
      <c r="Q213" s="15" t="s">
        <v>182</v>
      </c>
      <c r="R213" s="15" t="s">
        <v>183</v>
      </c>
      <c r="S213" s="3">
        <v>1</v>
      </c>
      <c r="T213" s="3">
        <v>1</v>
      </c>
      <c r="U213" s="3">
        <v>1</v>
      </c>
      <c r="V213" s="15" t="s">
        <v>184</v>
      </c>
    </row>
    <row r="214" customHeight="1" spans="3:22">
      <c r="C214" s="5">
        <v>187</v>
      </c>
      <c r="D214" s="5">
        <v>38</v>
      </c>
      <c r="E214" s="5">
        <v>2</v>
      </c>
      <c r="F214" s="5" t="s">
        <v>257</v>
      </c>
      <c r="G214" s="11">
        <f t="shared" ref="G214:I214" si="160">G213*S214</f>
        <v>286000000</v>
      </c>
      <c r="H214" s="11">
        <f t="shared" si="160"/>
        <v>27500000</v>
      </c>
      <c r="I214" s="11">
        <f t="shared" si="160"/>
        <v>37200000000000</v>
      </c>
      <c r="J214" s="11">
        <f t="shared" ref="J214:J217" si="161">J213+10</f>
        <v>330</v>
      </c>
      <c r="K214" s="3">
        <v>100</v>
      </c>
      <c r="L214" s="2">
        <v>1800</v>
      </c>
      <c r="M214" s="2">
        <v>1800</v>
      </c>
      <c r="N214" s="2">
        <v>1800</v>
      </c>
      <c r="O214" s="2">
        <v>99</v>
      </c>
      <c r="P214" s="2">
        <v>0</v>
      </c>
      <c r="Q214" s="15" t="s">
        <v>185</v>
      </c>
      <c r="R214" s="15" t="s">
        <v>183</v>
      </c>
      <c r="S214" s="2">
        <v>1.1</v>
      </c>
      <c r="T214" s="2">
        <v>1.1</v>
      </c>
      <c r="U214" s="2">
        <v>1.2</v>
      </c>
      <c r="V214" s="15" t="s">
        <v>186</v>
      </c>
    </row>
    <row r="215" customHeight="1" spans="3:22">
      <c r="C215" s="5">
        <v>188</v>
      </c>
      <c r="D215" s="5">
        <v>38</v>
      </c>
      <c r="E215" s="5">
        <v>3</v>
      </c>
      <c r="F215" s="5" t="s">
        <v>257</v>
      </c>
      <c r="G215" s="11">
        <f t="shared" ref="G215:I215" si="162">G213*S215</f>
        <v>299000000</v>
      </c>
      <c r="H215" s="11">
        <f t="shared" si="162"/>
        <v>28750000</v>
      </c>
      <c r="I215" s="11">
        <f t="shared" si="162"/>
        <v>46500000000000</v>
      </c>
      <c r="J215" s="11">
        <f t="shared" si="161"/>
        <v>340</v>
      </c>
      <c r="K215" s="3">
        <v>100</v>
      </c>
      <c r="L215" s="2">
        <v>1800</v>
      </c>
      <c r="M215" s="2">
        <v>1800</v>
      </c>
      <c r="N215" s="2">
        <v>1800</v>
      </c>
      <c r="O215" s="2">
        <v>99</v>
      </c>
      <c r="P215" s="2">
        <v>0</v>
      </c>
      <c r="Q215" s="15" t="s">
        <v>182</v>
      </c>
      <c r="R215" s="15" t="s">
        <v>183</v>
      </c>
      <c r="S215" s="2">
        <v>1.15</v>
      </c>
      <c r="T215" s="2">
        <v>1.15</v>
      </c>
      <c r="U215" s="2">
        <v>1.5</v>
      </c>
      <c r="V215" s="15" t="s">
        <v>184</v>
      </c>
    </row>
    <row r="216" customHeight="1" spans="3:22">
      <c r="C216" s="5">
        <v>189</v>
      </c>
      <c r="D216" s="5">
        <v>38</v>
      </c>
      <c r="E216" s="5">
        <v>4</v>
      </c>
      <c r="F216" s="5" t="s">
        <v>261</v>
      </c>
      <c r="G216" s="11">
        <f t="shared" ref="G216:I216" si="163">G213*S216</f>
        <v>312000000</v>
      </c>
      <c r="H216" s="11">
        <f t="shared" si="163"/>
        <v>30000000</v>
      </c>
      <c r="I216" s="11">
        <f t="shared" si="163"/>
        <v>55800000000000</v>
      </c>
      <c r="J216" s="11">
        <f t="shared" si="161"/>
        <v>350</v>
      </c>
      <c r="K216" s="3">
        <v>100</v>
      </c>
      <c r="L216" s="2">
        <v>1800</v>
      </c>
      <c r="M216" s="2">
        <v>1800</v>
      </c>
      <c r="N216" s="2">
        <v>1800</v>
      </c>
      <c r="O216" s="2">
        <v>99</v>
      </c>
      <c r="P216" s="2">
        <v>0</v>
      </c>
      <c r="Q216" s="15" t="s">
        <v>188</v>
      </c>
      <c r="R216" s="15" t="s">
        <v>189</v>
      </c>
      <c r="S216" s="2">
        <v>1.2</v>
      </c>
      <c r="T216" s="2">
        <v>1.2</v>
      </c>
      <c r="U216" s="2">
        <v>1.8</v>
      </c>
      <c r="V216" s="15" t="s">
        <v>117</v>
      </c>
    </row>
    <row r="217" customHeight="1" spans="3:22">
      <c r="C217" s="5">
        <v>190</v>
      </c>
      <c r="D217" s="5">
        <v>38</v>
      </c>
      <c r="E217" s="5">
        <v>5</v>
      </c>
      <c r="F217" s="5" t="s">
        <v>262</v>
      </c>
      <c r="G217" s="11">
        <f t="shared" ref="G217:I217" si="164">G213*S217</f>
        <v>325000000</v>
      </c>
      <c r="H217" s="11">
        <f t="shared" si="164"/>
        <v>31250000</v>
      </c>
      <c r="I217" s="11">
        <f t="shared" si="164"/>
        <v>77500000000000</v>
      </c>
      <c r="J217" s="11">
        <f t="shared" si="161"/>
        <v>360</v>
      </c>
      <c r="K217" s="3">
        <v>100</v>
      </c>
      <c r="L217" s="2">
        <v>1800</v>
      </c>
      <c r="M217" s="2">
        <v>1800</v>
      </c>
      <c r="N217" s="2">
        <v>1800</v>
      </c>
      <c r="O217" s="2">
        <v>99</v>
      </c>
      <c r="P217" s="2">
        <v>0</v>
      </c>
      <c r="Q217" s="15" t="s">
        <v>191</v>
      </c>
      <c r="R217" s="15" t="s">
        <v>189</v>
      </c>
      <c r="S217" s="2">
        <v>1.25</v>
      </c>
      <c r="T217" s="2">
        <v>1.25</v>
      </c>
      <c r="U217" s="2">
        <v>2.5</v>
      </c>
      <c r="V217" s="15" t="s">
        <v>191</v>
      </c>
    </row>
    <row r="218" customHeight="1" spans="3:22">
      <c r="G218" s="1"/>
    </row>
    <row r="219" customHeight="1" spans="3:22">
      <c r="C219" s="5">
        <v>191</v>
      </c>
      <c r="D219" s="5">
        <v>39</v>
      </c>
      <c r="E219" s="12">
        <v>1</v>
      </c>
      <c r="F219" s="12" t="s">
        <v>263</v>
      </c>
      <c r="G219" s="16" t="s">
        <v>71</v>
      </c>
      <c r="H219" s="16" t="s">
        <v>264</v>
      </c>
      <c r="I219" s="16" t="s">
        <v>265</v>
      </c>
      <c r="J219" s="11">
        <v>330</v>
      </c>
      <c r="K219" s="3">
        <v>100</v>
      </c>
      <c r="L219" s="3">
        <v>1800</v>
      </c>
      <c r="M219" s="3">
        <v>1800</v>
      </c>
      <c r="N219" s="3">
        <v>1800</v>
      </c>
      <c r="O219" s="3">
        <v>99</v>
      </c>
      <c r="P219" s="3">
        <v>0</v>
      </c>
      <c r="Q219" s="15" t="s">
        <v>182</v>
      </c>
      <c r="R219" s="15" t="s">
        <v>183</v>
      </c>
      <c r="S219" s="3">
        <v>1</v>
      </c>
      <c r="T219" s="3">
        <v>1</v>
      </c>
      <c r="U219" s="3">
        <v>1</v>
      </c>
      <c r="V219" s="15" t="s">
        <v>184</v>
      </c>
    </row>
    <row r="220" customHeight="1" spans="3:22">
      <c r="C220" s="5">
        <v>192</v>
      </c>
      <c r="D220" s="5">
        <v>39</v>
      </c>
      <c r="E220" s="5">
        <v>2</v>
      </c>
      <c r="F220" s="5" t="s">
        <v>263</v>
      </c>
      <c r="G220" s="11">
        <f t="shared" ref="G220:I220" si="165">G219*S220</f>
        <v>330000000</v>
      </c>
      <c r="H220" s="11">
        <f t="shared" si="165"/>
        <v>33000000</v>
      </c>
      <c r="I220" s="11">
        <f t="shared" si="165"/>
        <v>45600000000000</v>
      </c>
      <c r="J220" s="11">
        <f t="shared" ref="J220:J223" si="166">J219+10</f>
        <v>340</v>
      </c>
      <c r="K220" s="3">
        <v>100</v>
      </c>
      <c r="L220" s="2">
        <v>1800</v>
      </c>
      <c r="M220" s="2">
        <v>1800</v>
      </c>
      <c r="N220" s="2">
        <v>1800</v>
      </c>
      <c r="O220" s="2">
        <v>99</v>
      </c>
      <c r="P220" s="2">
        <v>0</v>
      </c>
      <c r="Q220" s="15" t="s">
        <v>185</v>
      </c>
      <c r="R220" s="15" t="s">
        <v>183</v>
      </c>
      <c r="S220" s="2">
        <v>1.1</v>
      </c>
      <c r="T220" s="2">
        <v>1.1</v>
      </c>
      <c r="U220" s="2">
        <v>1.2</v>
      </c>
      <c r="V220" s="15" t="s">
        <v>186</v>
      </c>
    </row>
    <row r="221" customHeight="1" spans="3:22">
      <c r="C221" s="5">
        <v>193</v>
      </c>
      <c r="D221" s="5">
        <v>39</v>
      </c>
      <c r="E221" s="5">
        <v>3</v>
      </c>
      <c r="F221" s="5" t="s">
        <v>263</v>
      </c>
      <c r="G221" s="11">
        <f t="shared" ref="G221:I221" si="167">G219*S221</f>
        <v>345000000</v>
      </c>
      <c r="H221" s="11">
        <f t="shared" si="167"/>
        <v>34500000</v>
      </c>
      <c r="I221" s="11">
        <f t="shared" si="167"/>
        <v>57000000000000</v>
      </c>
      <c r="J221" s="11">
        <f t="shared" si="166"/>
        <v>350</v>
      </c>
      <c r="K221" s="3">
        <v>100</v>
      </c>
      <c r="L221" s="2">
        <v>1800</v>
      </c>
      <c r="M221" s="2">
        <v>1800</v>
      </c>
      <c r="N221" s="2">
        <v>1800</v>
      </c>
      <c r="O221" s="2">
        <v>99</v>
      </c>
      <c r="P221" s="2">
        <v>0</v>
      </c>
      <c r="Q221" s="15" t="s">
        <v>182</v>
      </c>
      <c r="R221" s="15" t="s">
        <v>183</v>
      </c>
      <c r="S221" s="2">
        <v>1.15</v>
      </c>
      <c r="T221" s="2">
        <v>1.15</v>
      </c>
      <c r="U221" s="2">
        <v>1.5</v>
      </c>
      <c r="V221" s="15" t="s">
        <v>184</v>
      </c>
    </row>
    <row r="222" customHeight="1" spans="3:22">
      <c r="C222" s="5">
        <v>194</v>
      </c>
      <c r="D222" s="5">
        <v>39</v>
      </c>
      <c r="E222" s="5">
        <v>4</v>
      </c>
      <c r="F222" s="5" t="s">
        <v>266</v>
      </c>
      <c r="G222" s="11">
        <f t="shared" ref="G222:I222" si="168">G219*S222</f>
        <v>360000000</v>
      </c>
      <c r="H222" s="11">
        <f t="shared" si="168"/>
        <v>36000000</v>
      </c>
      <c r="I222" s="11">
        <f t="shared" si="168"/>
        <v>68400000000000</v>
      </c>
      <c r="J222" s="11">
        <f t="shared" si="166"/>
        <v>360</v>
      </c>
      <c r="K222" s="3">
        <v>100</v>
      </c>
      <c r="L222" s="2">
        <v>1800</v>
      </c>
      <c r="M222" s="2">
        <v>1800</v>
      </c>
      <c r="N222" s="2">
        <v>1800</v>
      </c>
      <c r="O222" s="2">
        <v>99</v>
      </c>
      <c r="P222" s="2">
        <v>0</v>
      </c>
      <c r="Q222" s="15" t="s">
        <v>188</v>
      </c>
      <c r="R222" s="15" t="s">
        <v>189</v>
      </c>
      <c r="S222" s="2">
        <v>1.2</v>
      </c>
      <c r="T222" s="2">
        <v>1.2</v>
      </c>
      <c r="U222" s="2">
        <v>1.8</v>
      </c>
      <c r="V222" s="15" t="s">
        <v>117</v>
      </c>
    </row>
    <row r="223" customHeight="1" spans="3:22">
      <c r="C223" s="5">
        <v>195</v>
      </c>
      <c r="D223" s="5">
        <v>39</v>
      </c>
      <c r="E223" s="5">
        <v>5</v>
      </c>
      <c r="F223" s="5" t="s">
        <v>267</v>
      </c>
      <c r="G223" s="11">
        <f t="shared" ref="G223:I223" si="169">G219*S223</f>
        <v>375000000</v>
      </c>
      <c r="H223" s="11">
        <f t="shared" si="169"/>
        <v>37500000</v>
      </c>
      <c r="I223" s="11">
        <f t="shared" si="169"/>
        <v>95000000000000</v>
      </c>
      <c r="J223" s="11">
        <f t="shared" si="166"/>
        <v>370</v>
      </c>
      <c r="K223" s="3">
        <v>100</v>
      </c>
      <c r="L223" s="2">
        <v>1800</v>
      </c>
      <c r="M223" s="2">
        <v>1800</v>
      </c>
      <c r="N223" s="2">
        <v>1800</v>
      </c>
      <c r="O223" s="2">
        <v>99</v>
      </c>
      <c r="P223" s="2">
        <v>0</v>
      </c>
      <c r="Q223" s="15" t="s">
        <v>191</v>
      </c>
      <c r="R223" s="15" t="s">
        <v>189</v>
      </c>
      <c r="S223" s="2">
        <v>1.25</v>
      </c>
      <c r="T223" s="2">
        <v>1.25</v>
      </c>
      <c r="U223" s="2">
        <v>2.5</v>
      </c>
      <c r="V223" s="15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2026-06-08T05:23:54Z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
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<sst xmlns="http://schemas.openxmlformats.org/spreadsheetml/2006/main" count="231" uniqueCount="78">
  <si>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</si>
  <si>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</si>
  <si>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</si>
  <si>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</si>
  <si>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</si>
  <si>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</si>
  <si>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</si>
  <si>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</si>
  <si>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</si>
  <si>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</si>
  <si>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</si>
  <si>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</si>
  <si>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</si>
  <si>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</si>
  <si>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</si>
  <si>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</si>
  <si>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</si>
  <si>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</si>
  <si>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</si>
  <si>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</si>
  <si>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</si>
  <si>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50000</t>
  </si>
  <si>
    <t>10000000</t>
  </si>
  <si>
    <t>1001</t>
  </si>
  <si>
    <t>10</t>
  </si>
  <si>
    <t>1002</t>
  </si>
  <si>
    <t>神话大鸡</t>
  </si>
  <si>
    <t>1003</t>
  </si>
  <si>
    <t>2001</t>
  </si>
  <si>
    <t>神话鸡王</t>
  </si>
  <si>
    <t>3001,3002</t>
  </si>
  <si>
    <t>1000,10</t>
  </si>
  <si>
    <t>神话小鹿</t>
  </si>
  <si>
    <t>70000</t>
  </si>
  <si>
    <t>20000000</t>
  </si>
  <si>
    <t>2002</t>
  </si>
  <si>
    <t>2003</t>
  </si>
  <si>
    <t>2004</t>
  </si>
  <si>
    <t>神话鹿王</t>
  </si>
  <si>
    <t>神话小花</t>
  </si>
  <si>
    <t>90000</t>
  </si>
  <si>
    <t>40000000</t>
  </si>
  <si>
    <t>3001</t>
  </si>
  <si>
    <t>200</t>
  </si>
  <si>
    <t>3002</t>
  </si>
  <si>
    <t>3002,3003</t>
  </si>
  <si>
    <t>10,10</t>
  </si>
  <si>
    <t>神话花王</t>
  </si>
  <si>
    <t>3002,3007</t>
  </si>
  <si>
    <t>神话骷髅</t>
  </si>
  <si>
    <t>120000</t>
  </si>
  <si>
    <t>70000000</t>
  </si>
  <si>
    <t>神话骷髅王</t>
  </si>
  <si>
    <t>神话虎蛇</t>
  </si>
  <si>
    <t>150000</t>
  </si>
  <si>
    <t>110000000</t>
  </si>
  <si>
    <t>神话蛇王</t>
  </si>
  <si>
    <t>神话僵尸</t>
  </si>
  <si>
    <t>200000</t>
  </si>
  <si>
    <t>160000000</t>
  </si>
  <si>
    <t>神话尸王</t>
  </si>
  <si>
    <t>神话沃玛</t>
  </si>
  <si>
    <t>250000</t>
  </si>
  <si>
    <t>220000000</t>
  </si>
  <si>
    <t>2001,2002</t>
  </si>
  <si>
    <t>神话教主</t>
  </si>
  <si>
    <t>神话蜈蚣</t>
  </si>
  <si>
    <t>300000</t>
  </si>
  <si>
    <t>290000000</t>
  </si>
  <si>
    <t>神话触龙神</t>
  </si>
  <si>
    <t>神话野猪</t>
  </si>
  <si>
    <t>350000</t>
  </si>
  <si>
    <t>370000000</t>
  </si>
  <si>
    <t>神话猪王</t>
  </si>
  <si>
    <t>神话祖玛</t>
  </si>
  <si>
    <t>400000</t>
  </si>
  <si>
    <t>460000000</t>
  </si>
  <si>
    <t>神话教皇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</si>
</sst>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5"/>
  <sheetViews>
    <sheetView tabSelected="1" workbookViewId="0">
      <pane ySplit="5" topLeftCell="A6" activePane="bottomLeft" state="frozen"/>
      <selection/>
      <selection pane="bottomLeft" activeCell="L31" sqref="L31"/>
    </sheetView>
  </sheetViews>
  <sheetFormatPr defaultColWidth="9" defaultRowHeight="14" customHeight="1"/>
  <cols>
    <col min="1" max="1" width="6.875" style="5" customWidth="1"/>
    <col min="2" max="2" width="8" style="5" customWidth="1"/>
    <col min="3" max="5" width="9.875" style="1" customWidth="1"/>
    <col min="6" max="6" width="16.25" style="1" customWidth="1"/>
    <col min="7" max="7" width="11.625" style="6" customWidth="1"/>
    <col min="8" max="8" width="17" style="6" customWidth="1"/>
    <col min="9" max="9" width="19.25" style="6" customWidth="1"/>
    <col min="10" max="10" width="11.5" style="5" customWidth="1"/>
    <col min="11" max="11" width="9.875" style="5" customWidth="1"/>
    <col min="12" max="12" width="10.375" style="5" customWidth="1"/>
    <col min="13" max="13" width="12" style="5" customWidth="1"/>
    <col min="14" max="14" width="9.375" style="5" customWidth="1"/>
    <col min="15" max="15" width="12.5" style="5" customWidth="1"/>
    <col min="16" max="17" width="15.875" style="5" customWidth="1"/>
    <col min="18" max="16384" width="9" style="5"/>
  </cols>
  <sheetData>
    <row r="1" s="1" customFormat="1" customHeight="1" spans="1:20">
      <c r="A1" s="5"/>
      <c r="B1" s="5"/>
      <c r="G1" s="7"/>
      <c r="H1" s="7"/>
      <c r="I1" s="7"/>
      <c r="J1" s="5"/>
      <c r="K1" s="5"/>
      <c r="L1" s="5"/>
      <c r="M1" s="5"/>
      <c r="N1" s="5"/>
      <c r="O1" s="5"/>
      <c r="P1" s="5"/>
      <c r="Q1" s="5"/>
      <c r="R1" s="1" t="s">
        <v>0</v>
      </c>
      <c r="S1" s="1" t="s">
        <v>0</v>
      </c>
      <c r="T1" s="1" t="s">
        <v>0</v>
      </c>
    </row>
    <row r="2" s="1" customFormat="1" customHeight="1" spans="1:20">
      <c r="A2" s="5"/>
      <c r="B2" s="5"/>
      <c r="G2" s="7"/>
      <c r="H2" s="7"/>
      <c r="I2" s="7"/>
      <c r="J2" s="5"/>
      <c r="K2" s="5"/>
      <c r="L2" s="5"/>
      <c r="M2" s="5"/>
      <c r="N2" s="5"/>
      <c r="O2" s="5"/>
      <c r="P2" s="5"/>
      <c r="Q2" s="5"/>
      <c r="R2" s="1" t="s">
        <v>0</v>
      </c>
      <c r="S2" s="1" t="s">
        <v>0</v>
      </c>
      <c r="T2" s="1" t="s">
        <v>0</v>
      </c>
    </row>
    <row r="3" s="1" customFormat="1" customHeight="1" spans="1:17">
      <c r="A3" s="5"/>
      <c r="B3" s="5"/>
      <c r="C3" s="8" t="s">
        <v>1</v>
      </c>
      <c r="D3" s="8" t="s">
        <v>2</v>
      </c>
      <c r="E3" s="8" t="s">
        <v>3</v>
      </c>
      <c r="F3" s="8" t="s">
        <v>4</v>
      </c>
      <c r="G3" s="9" t="s">
        <v>5</v>
      </c>
      <c r="H3" s="9" t="s">
        <v>6</v>
      </c>
      <c r="I3" s="9" t="s">
        <v>7</v>
      </c>
      <c r="J3" s="8" t="s">
        <v>8</v>
      </c>
      <c r="K3" s="8" t="s">
        <v>9</v>
      </c>
      <c r="L3" s="8" t="s">
        <v>10</v>
      </c>
      <c r="M3" s="8" t="s">
        <v>11</v>
      </c>
      <c r="N3" s="8" t="s">
        <v>12</v>
      </c>
      <c r="O3" s="8" t="s">
        <v>13</v>
      </c>
      <c r="P3" s="8" t="s">
        <v>14</v>
      </c>
      <c r="Q3" s="8" t="s">
        <v>15</v>
      </c>
    </row>
    <row r="4" s="1" customFormat="1" customHeight="1" spans="1:17">
      <c r="A4" s="5"/>
      <c r="B4" s="5"/>
      <c r="C4" s="8" t="s">
        <v>16</v>
      </c>
      <c r="D4" s="8" t="s">
        <v>2</v>
      </c>
      <c r="E4" s="8" t="s">
        <v>3</v>
      </c>
      <c r="F4" s="8" t="s">
        <v>4</v>
      </c>
      <c r="G4" s="9" t="s">
        <v>5</v>
      </c>
      <c r="H4" s="9" t="s">
        <v>6</v>
      </c>
      <c r="I4" s="9" t="s">
        <v>7</v>
      </c>
      <c r="J4" s="8" t="s">
        <v>8</v>
      </c>
      <c r="K4" s="8" t="s">
        <v>9</v>
      </c>
      <c r="L4" s="8" t="s">
        <v>10</v>
      </c>
      <c r="M4" s="8" t="s">
        <v>11</v>
      </c>
      <c r="N4" s="8" t="s">
        <v>12</v>
      </c>
      <c r="O4" s="8" t="s">
        <v>13</v>
      </c>
      <c r="P4" s="8" t="s">
        <v>14</v>
      </c>
      <c r="Q4" s="8" t="s">
        <v>15</v>
      </c>
    </row>
    <row r="5" s="1" customFormat="1" customHeight="1" spans="1:17">
      <c r="A5" s="5"/>
      <c r="B5" s="5"/>
      <c r="C5" s="8" t="s">
        <v>17</v>
      </c>
      <c r="D5" s="8" t="s">
        <v>17</v>
      </c>
      <c r="E5" s="8" t="s">
        <v>17</v>
      </c>
      <c r="F5" s="8" t="s">
        <v>18</v>
      </c>
      <c r="G5" s="9" t="s">
        <v>18</v>
      </c>
      <c r="H5" s="9" t="s">
        <v>18</v>
      </c>
      <c r="I5" s="9" t="s">
        <v>18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17</v>
      </c>
      <c r="O5" s="8" t="s">
        <v>17</v>
      </c>
      <c r="P5" s="8" t="s">
        <v>19</v>
      </c>
      <c r="Q5" s="8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8" t="s">
        <v>21</v>
      </c>
      <c r="H6" s="18" t="s">
        <v>21</v>
      </c>
      <c r="I6" s="18" t="s">
        <v>22</v>
      </c>
      <c r="J6" s="17">
        <v>0</v>
      </c>
      <c r="K6" s="17">
        <v>1800</v>
      </c>
      <c r="L6" s="17">
        <v>1800</v>
      </c>
      <c r="M6" s="17">
        <v>1800</v>
      </c>
      <c r="N6" s="17">
        <v>99</v>
      </c>
      <c r="O6" s="17">
        <v>0</v>
      </c>
      <c r="P6" s="19" t="s">
        <v>23</v>
      </c>
      <c r="Q6" s="19" t="s">
        <v>24</v>
      </c>
      <c r="R6" s="5">
        <v>1</v>
      </c>
      <c r="S6" s="5">
        <v>1</v>
      </c>
      <c r="T6" s="5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10">
        <f t="shared" ref="G7:I7" si="0">G6*R7</f>
        <v>55000</v>
      </c>
      <c r="H7" s="10">
        <f t="shared" si="0"/>
        <v>55000</v>
      </c>
      <c r="I7" s="10">
        <f t="shared" si="0"/>
        <v>11000000</v>
      </c>
      <c r="J7" s="17">
        <v>0</v>
      </c>
      <c r="K7" s="17">
        <v>1800</v>
      </c>
      <c r="L7" s="17">
        <v>1800</v>
      </c>
      <c r="M7" s="17">
        <v>1800</v>
      </c>
      <c r="N7" s="17">
        <v>99</v>
      </c>
      <c r="O7" s="17">
        <v>0</v>
      </c>
      <c r="P7" s="19" t="s">
        <v>25</v>
      </c>
      <c r="Q7" s="19" t="s">
        <v>24</v>
      </c>
      <c r="R7" s="5">
        <v>1.1</v>
      </c>
      <c r="S7" s="5">
        <v>1.1</v>
      </c>
      <c r="T7" s="5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26</v>
      </c>
      <c r="G8" s="10">
        <f t="shared" ref="G8:I8" si="1">G6*R8</f>
        <v>57500</v>
      </c>
      <c r="H8" s="10">
        <f t="shared" si="1"/>
        <v>57500</v>
      </c>
      <c r="I8" s="10">
        <f t="shared" si="1"/>
        <v>12000000</v>
      </c>
      <c r="J8" s="17">
        <v>0</v>
      </c>
      <c r="K8" s="17">
        <v>1800</v>
      </c>
      <c r="L8" s="17">
        <v>1800</v>
      </c>
      <c r="M8" s="17">
        <v>1800</v>
      </c>
      <c r="N8" s="17">
        <v>99</v>
      </c>
      <c r="O8" s="17">
        <v>0</v>
      </c>
      <c r="P8" s="19" t="s">
        <v>27</v>
      </c>
      <c r="Q8" s="19" t="s">
        <v>24</v>
      </c>
      <c r="R8" s="5">
        <v>1.15</v>
      </c>
      <c r="S8" s="5">
        <v>1.15</v>
      </c>
      <c r="T8" s="5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26</v>
      </c>
      <c r="G9" s="10">
        <f t="shared" ref="G9:I9" si="2">G6*R9</f>
        <v>60000</v>
      </c>
      <c r="H9" s="10">
        <f t="shared" si="2"/>
        <v>60000</v>
      </c>
      <c r="I9" s="10">
        <f t="shared" si="2"/>
        <v>13000000</v>
      </c>
      <c r="J9" s="17">
        <v>0</v>
      </c>
      <c r="K9" s="17">
        <v>1800</v>
      </c>
      <c r="L9" s="17">
        <v>1800</v>
      </c>
      <c r="M9" s="17">
        <v>1800</v>
      </c>
      <c r="N9" s="17">
        <v>99</v>
      </c>
      <c r="O9" s="17">
        <v>0</v>
      </c>
      <c r="P9" s="19" t="s">
        <v>28</v>
      </c>
      <c r="Q9" s="19" t="s">
        <v>24</v>
      </c>
      <c r="R9" s="5">
        <v>1.2</v>
      </c>
      <c r="S9" s="5">
        <v>1.2</v>
      </c>
      <c r="T9" s="5">
        <v>1.3</v>
      </c>
    </row>
    <row r="10" s="2" customFormat="1" customHeight="1" spans="3:20">
      <c r="C10" s="11">
        <v>5</v>
      </c>
      <c r="D10" s="11">
        <v>1</v>
      </c>
      <c r="E10" s="11">
        <v>5</v>
      </c>
      <c r="F10" s="11" t="s">
        <v>29</v>
      </c>
      <c r="G10" s="12">
        <f>G6*R10</f>
        <v>62500</v>
      </c>
      <c r="H10" s="12">
        <f t="shared" ref="G10:I10" si="3">H6*S10</f>
        <v>62500</v>
      </c>
      <c r="I10" s="12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20" t="s">
        <v>30</v>
      </c>
      <c r="Q10" s="19" t="s">
        <v>31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3">
        <v>6</v>
      </c>
      <c r="D11" s="13">
        <v>2</v>
      </c>
      <c r="E11" s="13">
        <v>1</v>
      </c>
      <c r="F11" s="13" t="s">
        <v>32</v>
      </c>
      <c r="G11" s="21" t="s">
        <v>33</v>
      </c>
      <c r="H11" s="21" t="s">
        <v>33</v>
      </c>
      <c r="I11" s="21" t="s">
        <v>34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9" t="s">
        <v>28</v>
      </c>
      <c r="Q11" s="19" t="s">
        <v>24</v>
      </c>
      <c r="R11" s="3">
        <v>1</v>
      </c>
      <c r="S11" s="3">
        <v>1</v>
      </c>
      <c r="T11" s="3">
        <v>1</v>
      </c>
    </row>
    <row r="12" s="4" customFormat="1" customHeight="1" spans="3:20">
      <c r="C12" s="15">
        <v>7</v>
      </c>
      <c r="D12" s="15">
        <v>2</v>
      </c>
      <c r="E12" s="15">
        <v>2</v>
      </c>
      <c r="F12" s="15" t="s">
        <v>32</v>
      </c>
      <c r="G12" s="16">
        <f t="shared" ref="G12:I12" si="4">G11*R12</f>
        <v>77000</v>
      </c>
      <c r="H12" s="16">
        <f t="shared" si="4"/>
        <v>77000</v>
      </c>
      <c r="I12" s="16">
        <f t="shared" si="4"/>
        <v>22000000</v>
      </c>
      <c r="J12" s="4">
        <v>0</v>
      </c>
      <c r="K12" s="4">
        <v>1800</v>
      </c>
      <c r="L12" s="4">
        <v>1800</v>
      </c>
      <c r="M12" s="4">
        <v>1800</v>
      </c>
      <c r="N12" s="4">
        <v>99</v>
      </c>
      <c r="O12" s="4">
        <v>0</v>
      </c>
      <c r="P12" s="19" t="s">
        <v>35</v>
      </c>
      <c r="Q12" s="19" t="s">
        <v>24</v>
      </c>
      <c r="R12" s="4">
        <v>1.1</v>
      </c>
      <c r="S12" s="4">
        <v>1.1</v>
      </c>
      <c r="T12" s="4">
        <v>1.1</v>
      </c>
    </row>
    <row r="13" s="4" customFormat="1" customHeight="1" spans="3:20">
      <c r="C13" s="15">
        <v>8</v>
      </c>
      <c r="D13" s="15">
        <v>2</v>
      </c>
      <c r="E13" s="15">
        <v>3</v>
      </c>
      <c r="F13" s="15" t="s">
        <v>32</v>
      </c>
      <c r="G13" s="16">
        <f t="shared" ref="G13:I13" si="5">G11*R13</f>
        <v>80500</v>
      </c>
      <c r="H13" s="16">
        <f t="shared" si="5"/>
        <v>80500</v>
      </c>
      <c r="I13" s="16">
        <f t="shared" si="5"/>
        <v>24000000</v>
      </c>
      <c r="J13" s="4">
        <v>0</v>
      </c>
      <c r="K13" s="4">
        <v>1800</v>
      </c>
      <c r="L13" s="4">
        <v>1800</v>
      </c>
      <c r="M13" s="4">
        <v>1800</v>
      </c>
      <c r="N13" s="4">
        <v>99</v>
      </c>
      <c r="O13" s="4">
        <v>0</v>
      </c>
      <c r="P13" s="19" t="s">
        <v>36</v>
      </c>
      <c r="Q13" s="19" t="s">
        <v>24</v>
      </c>
      <c r="R13" s="4">
        <v>1.15</v>
      </c>
      <c r="S13" s="4">
        <v>1.15</v>
      </c>
      <c r="T13" s="4">
        <v>1.2</v>
      </c>
    </row>
    <row r="14" s="4" customFormat="1" customHeight="1" spans="3:20">
      <c r="C14" s="15">
        <v>9</v>
      </c>
      <c r="D14" s="15">
        <v>2</v>
      </c>
      <c r="E14" s="15">
        <v>4</v>
      </c>
      <c r="F14" s="15" t="s">
        <v>32</v>
      </c>
      <c r="G14" s="16">
        <f t="shared" ref="G14:I14" si="6">G11*R14</f>
        <v>84000</v>
      </c>
      <c r="H14" s="16">
        <f t="shared" si="6"/>
        <v>84000</v>
      </c>
      <c r="I14" s="16">
        <f t="shared" si="6"/>
        <v>26000000</v>
      </c>
      <c r="J14" s="4">
        <v>0</v>
      </c>
      <c r="K14" s="4">
        <v>1800</v>
      </c>
      <c r="L14" s="4">
        <v>1800</v>
      </c>
      <c r="M14" s="4">
        <v>1800</v>
      </c>
      <c r="N14" s="4">
        <v>99</v>
      </c>
      <c r="O14" s="4">
        <v>0</v>
      </c>
      <c r="P14" s="19" t="s">
        <v>37</v>
      </c>
      <c r="Q14" s="19" t="s">
        <v>24</v>
      </c>
      <c r="R14" s="4">
        <v>1.2</v>
      </c>
      <c r="S14" s="4">
        <v>1.2</v>
      </c>
      <c r="T14" s="4">
        <v>1.3</v>
      </c>
    </row>
    <row r="15" s="2" customFormat="1" customHeight="1" spans="3:20">
      <c r="C15" s="11">
        <v>10</v>
      </c>
      <c r="D15" s="11">
        <v>2</v>
      </c>
      <c r="E15" s="11">
        <v>5</v>
      </c>
      <c r="F15" s="15" t="s">
        <v>38</v>
      </c>
      <c r="G15" s="12">
        <f>G11*R15</f>
        <v>87500</v>
      </c>
      <c r="H15" s="12">
        <f t="shared" ref="G15:I15" si="7">H11*S15</f>
        <v>87500</v>
      </c>
      <c r="I15" s="12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20" t="s">
        <v>30</v>
      </c>
      <c r="Q15" s="19" t="s">
        <v>31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3">
        <v>11</v>
      </c>
      <c r="D16" s="13">
        <v>3</v>
      </c>
      <c r="E16" s="13">
        <v>1</v>
      </c>
      <c r="F16" s="13" t="s">
        <v>39</v>
      </c>
      <c r="G16" s="21" t="s">
        <v>40</v>
      </c>
      <c r="H16" s="21" t="s">
        <v>40</v>
      </c>
      <c r="I16" s="21" t="s">
        <v>41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9" t="s">
        <v>42</v>
      </c>
      <c r="Q16" s="19" t="s">
        <v>43</v>
      </c>
      <c r="R16" s="3">
        <v>1</v>
      </c>
      <c r="S16" s="3">
        <v>1</v>
      </c>
      <c r="T16" s="3">
        <v>1</v>
      </c>
    </row>
    <row r="17" s="4" customFormat="1" customHeight="1" spans="3:20">
      <c r="C17" s="15">
        <v>12</v>
      </c>
      <c r="D17" s="15">
        <v>3</v>
      </c>
      <c r="E17" s="15">
        <v>2</v>
      </c>
      <c r="F17" s="15" t="s">
        <v>39</v>
      </c>
      <c r="G17" s="16">
        <f t="shared" ref="G17:I17" si="8">G16*R17</f>
        <v>99000</v>
      </c>
      <c r="H17" s="16">
        <f t="shared" si="8"/>
        <v>99000</v>
      </c>
      <c r="I17" s="16">
        <f t="shared" si="8"/>
        <v>44000000</v>
      </c>
      <c r="J17" s="4">
        <v>0</v>
      </c>
      <c r="K17" s="4">
        <v>1800</v>
      </c>
      <c r="L17" s="4">
        <v>1800</v>
      </c>
      <c r="M17" s="4">
        <v>1800</v>
      </c>
      <c r="N17" s="4">
        <v>99</v>
      </c>
      <c r="O17" s="4">
        <v>0</v>
      </c>
      <c r="P17" s="19" t="s">
        <v>44</v>
      </c>
      <c r="Q17" s="19" t="s">
        <v>24</v>
      </c>
      <c r="R17" s="4">
        <v>1.1</v>
      </c>
      <c r="S17" s="4">
        <v>1.1</v>
      </c>
      <c r="T17" s="4">
        <v>1.1</v>
      </c>
    </row>
    <row r="18" s="4" customFormat="1" customHeight="1" spans="3:20">
      <c r="C18" s="15">
        <v>13</v>
      </c>
      <c r="D18" s="15">
        <v>3</v>
      </c>
      <c r="E18" s="15">
        <v>3</v>
      </c>
      <c r="F18" s="15" t="s">
        <v>39</v>
      </c>
      <c r="G18" s="16">
        <f t="shared" ref="G18:I18" si="9">G16*R18</f>
        <v>103500</v>
      </c>
      <c r="H18" s="16">
        <f t="shared" si="9"/>
        <v>103500</v>
      </c>
      <c r="I18" s="16">
        <f t="shared" si="9"/>
        <v>48000000</v>
      </c>
      <c r="J18" s="4">
        <v>0</v>
      </c>
      <c r="K18" s="4">
        <v>1800</v>
      </c>
      <c r="L18" s="4">
        <v>1800</v>
      </c>
      <c r="M18" s="4">
        <v>1800</v>
      </c>
      <c r="N18" s="4">
        <v>99</v>
      </c>
      <c r="O18" s="4">
        <v>0</v>
      </c>
      <c r="P18" s="19" t="s">
        <v>45</v>
      </c>
      <c r="Q18" s="20" t="s">
        <v>46</v>
      </c>
      <c r="R18" s="4">
        <v>1.15</v>
      </c>
      <c r="S18" s="4">
        <v>1.15</v>
      </c>
      <c r="T18" s="4">
        <v>1.2</v>
      </c>
    </row>
    <row r="19" s="4" customFormat="1" customHeight="1" spans="3:20">
      <c r="C19" s="15">
        <v>14</v>
      </c>
      <c r="D19" s="15">
        <v>3</v>
      </c>
      <c r="E19" s="15">
        <v>4</v>
      </c>
      <c r="F19" s="15" t="s">
        <v>39</v>
      </c>
      <c r="G19" s="16">
        <f t="shared" ref="G19:I19" si="10">G16*R19</f>
        <v>108000</v>
      </c>
      <c r="H19" s="16">
        <f t="shared" si="10"/>
        <v>108000</v>
      </c>
      <c r="I19" s="16">
        <f t="shared" si="10"/>
        <v>52000000</v>
      </c>
      <c r="J19" s="4">
        <v>0</v>
      </c>
      <c r="K19" s="4">
        <v>1800</v>
      </c>
      <c r="L19" s="4">
        <v>1800</v>
      </c>
      <c r="M19" s="4">
        <v>1800</v>
      </c>
      <c r="N19" s="4">
        <v>99</v>
      </c>
      <c r="O19" s="4">
        <v>0</v>
      </c>
      <c r="P19" s="19" t="s">
        <v>30</v>
      </c>
      <c r="Q19" s="19" t="s">
        <v>31</v>
      </c>
      <c r="R19" s="4">
        <v>1.2</v>
      </c>
      <c r="S19" s="4">
        <v>1.2</v>
      </c>
      <c r="T19" s="4">
        <v>1.3</v>
      </c>
    </row>
    <row r="20" s="2" customFormat="1" customHeight="1" spans="3:20">
      <c r="C20" s="11">
        <v>15</v>
      </c>
      <c r="D20" s="11">
        <v>3</v>
      </c>
      <c r="E20" s="11">
        <v>5</v>
      </c>
      <c r="F20" s="15" t="s">
        <v>47</v>
      </c>
      <c r="G20" s="12">
        <f>G16*R20</f>
        <v>112500</v>
      </c>
      <c r="H20" s="12">
        <f t="shared" ref="G20:I20" si="11">H16*S20</f>
        <v>112500</v>
      </c>
      <c r="I20" s="12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20" t="s">
        <v>48</v>
      </c>
      <c r="Q20" s="20" t="s">
        <v>46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3">
        <v>16</v>
      </c>
      <c r="D21" s="13">
        <v>4</v>
      </c>
      <c r="E21" s="13">
        <v>1</v>
      </c>
      <c r="F21" s="13" t="s">
        <v>49</v>
      </c>
      <c r="G21" s="21" t="s">
        <v>50</v>
      </c>
      <c r="H21" s="21" t="s">
        <v>50</v>
      </c>
      <c r="I21" s="21" t="s">
        <v>51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9" t="s">
        <v>23</v>
      </c>
      <c r="Q21" s="19" t="s">
        <v>24</v>
      </c>
      <c r="R21" s="3">
        <v>1</v>
      </c>
      <c r="S21" s="3">
        <v>1</v>
      </c>
      <c r="T21" s="3">
        <v>1</v>
      </c>
    </row>
    <row r="22" s="4" customFormat="1" customHeight="1" spans="3:20">
      <c r="C22" s="15">
        <v>17</v>
      </c>
      <c r="D22" s="15">
        <v>4</v>
      </c>
      <c r="E22" s="15">
        <v>2</v>
      </c>
      <c r="F22" s="15" t="s">
        <v>49</v>
      </c>
      <c r="G22" s="16">
        <f t="shared" ref="G22:I22" si="12">G21*R22</f>
        <v>132000</v>
      </c>
      <c r="H22" s="16">
        <f t="shared" si="12"/>
        <v>132000</v>
      </c>
      <c r="I22" s="16">
        <f t="shared" si="12"/>
        <v>77000000</v>
      </c>
      <c r="J22" s="4">
        <v>0</v>
      </c>
      <c r="K22" s="4">
        <v>1800</v>
      </c>
      <c r="L22" s="4">
        <v>1800</v>
      </c>
      <c r="M22" s="4">
        <v>1800</v>
      </c>
      <c r="N22" s="4">
        <v>99</v>
      </c>
      <c r="O22" s="4">
        <v>0</v>
      </c>
      <c r="P22" s="19" t="s">
        <v>25</v>
      </c>
      <c r="Q22" s="19" t="s">
        <v>24</v>
      </c>
      <c r="R22" s="4">
        <v>1.1</v>
      </c>
      <c r="S22" s="4">
        <v>1.1</v>
      </c>
      <c r="T22" s="4">
        <v>1.1</v>
      </c>
    </row>
    <row r="23" s="4" customFormat="1" customHeight="1" spans="3:20">
      <c r="C23" s="15">
        <v>18</v>
      </c>
      <c r="D23" s="15">
        <v>4</v>
      </c>
      <c r="E23" s="15">
        <v>3</v>
      </c>
      <c r="F23" s="15" t="s">
        <v>49</v>
      </c>
      <c r="G23" s="16">
        <f t="shared" ref="G23:I23" si="13">G21*R23</f>
        <v>138000</v>
      </c>
      <c r="H23" s="16">
        <f t="shared" si="13"/>
        <v>138000</v>
      </c>
      <c r="I23" s="16">
        <f t="shared" si="13"/>
        <v>84000000</v>
      </c>
      <c r="J23" s="4">
        <v>0</v>
      </c>
      <c r="K23" s="4">
        <v>1800</v>
      </c>
      <c r="L23" s="4">
        <v>1800</v>
      </c>
      <c r="M23" s="4">
        <v>1800</v>
      </c>
      <c r="N23" s="4">
        <v>99</v>
      </c>
      <c r="O23" s="4">
        <v>0</v>
      </c>
      <c r="P23" s="19" t="s">
        <v>27</v>
      </c>
      <c r="Q23" s="19" t="s">
        <v>24</v>
      </c>
      <c r="R23" s="4">
        <v>1.15</v>
      </c>
      <c r="S23" s="4">
        <v>1.15</v>
      </c>
      <c r="T23" s="4">
        <v>1.2</v>
      </c>
    </row>
    <row r="24" s="4" customFormat="1" customHeight="1" spans="3:20">
      <c r="C24" s="15">
        <v>19</v>
      </c>
      <c r="D24" s="15">
        <v>4</v>
      </c>
      <c r="E24" s="15">
        <v>4</v>
      </c>
      <c r="F24" s="15" t="s">
        <v>49</v>
      </c>
      <c r="G24" s="16">
        <f t="shared" ref="G24:I24" si="14">G21*R24</f>
        <v>144000</v>
      </c>
      <c r="H24" s="16">
        <f t="shared" si="14"/>
        <v>144000</v>
      </c>
      <c r="I24" s="16">
        <f t="shared" si="14"/>
        <v>91000000</v>
      </c>
      <c r="J24" s="4">
        <v>0</v>
      </c>
      <c r="K24" s="4">
        <v>1800</v>
      </c>
      <c r="L24" s="4">
        <v>1800</v>
      </c>
      <c r="M24" s="4">
        <v>1800</v>
      </c>
      <c r="N24" s="4">
        <v>99</v>
      </c>
      <c r="O24" s="4">
        <v>0</v>
      </c>
      <c r="P24" s="19" t="s">
        <v>28</v>
      </c>
      <c r="Q24" s="19" t="s">
        <v>24</v>
      </c>
      <c r="R24" s="4">
        <v>1.2</v>
      </c>
      <c r="S24" s="4">
        <v>1.2</v>
      </c>
      <c r="T24" s="4">
        <v>1.3</v>
      </c>
    </row>
    <row r="25" s="2" customFormat="1" customHeight="1" spans="3:20">
      <c r="C25" s="11">
        <v>20</v>
      </c>
      <c r="D25" s="11">
        <v>4</v>
      </c>
      <c r="E25" s="11">
        <v>5</v>
      </c>
      <c r="F25" s="15" t="s">
        <v>52</v>
      </c>
      <c r="G25" s="12">
        <f t="shared" ref="G25:I25" si="15">G21*R25</f>
        <v>150000</v>
      </c>
      <c r="H25" s="12">
        <f t="shared" si="15"/>
        <v>150000</v>
      </c>
      <c r="I25" s="12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20" t="s">
        <v>30</v>
      </c>
      <c r="Q25" s="19" t="s">
        <v>31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3">
        <v>21</v>
      </c>
      <c r="D26" s="13">
        <v>5</v>
      </c>
      <c r="E26" s="13">
        <v>1</v>
      </c>
      <c r="F26" s="13" t="s">
        <v>53</v>
      </c>
      <c r="G26" s="21" t="s">
        <v>54</v>
      </c>
      <c r="H26" s="21" t="s">
        <v>54</v>
      </c>
      <c r="I26" s="21" t="s">
        <v>55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9" t="s">
        <v>28</v>
      </c>
      <c r="Q26" s="19" t="s">
        <v>24</v>
      </c>
      <c r="R26" s="3">
        <v>1</v>
      </c>
      <c r="S26" s="3">
        <v>1</v>
      </c>
      <c r="T26" s="3">
        <v>1</v>
      </c>
    </row>
    <row r="27" s="4" customFormat="1" customHeight="1" spans="3:20">
      <c r="C27" s="15">
        <v>22</v>
      </c>
      <c r="D27" s="15">
        <v>5</v>
      </c>
      <c r="E27" s="15">
        <v>2</v>
      </c>
      <c r="F27" s="15" t="s">
        <v>53</v>
      </c>
      <c r="G27" s="16">
        <f t="shared" ref="G27:I27" si="16">G26*R27</f>
        <v>165000</v>
      </c>
      <c r="H27" s="16">
        <f t="shared" si="16"/>
        <v>165000</v>
      </c>
      <c r="I27" s="16">
        <f t="shared" si="16"/>
        <v>121000000</v>
      </c>
      <c r="J27" s="4">
        <v>0</v>
      </c>
      <c r="K27" s="4">
        <v>1800</v>
      </c>
      <c r="L27" s="4">
        <v>1800</v>
      </c>
      <c r="M27" s="4">
        <v>1800</v>
      </c>
      <c r="N27" s="4">
        <v>99</v>
      </c>
      <c r="O27" s="4">
        <v>0</v>
      </c>
      <c r="P27" s="19" t="s">
        <v>35</v>
      </c>
      <c r="Q27" s="19" t="s">
        <v>24</v>
      </c>
      <c r="R27" s="4">
        <v>1.1</v>
      </c>
      <c r="S27" s="4">
        <v>1.1</v>
      </c>
      <c r="T27" s="4">
        <v>1.1</v>
      </c>
    </row>
    <row r="28" s="4" customFormat="1" customHeight="1" spans="3:20">
      <c r="C28" s="15">
        <v>23</v>
      </c>
      <c r="D28" s="15">
        <v>5</v>
      </c>
      <c r="E28" s="15">
        <v>3</v>
      </c>
      <c r="F28" s="15" t="s">
        <v>53</v>
      </c>
      <c r="G28" s="16">
        <f t="shared" ref="G28:I28" si="17">G26*R28</f>
        <v>172500</v>
      </c>
      <c r="H28" s="16">
        <f t="shared" si="17"/>
        <v>172500</v>
      </c>
      <c r="I28" s="16">
        <f t="shared" si="17"/>
        <v>132000000</v>
      </c>
      <c r="J28" s="4">
        <v>0</v>
      </c>
      <c r="K28" s="4">
        <v>1800</v>
      </c>
      <c r="L28" s="4">
        <v>1800</v>
      </c>
      <c r="M28" s="4">
        <v>1800</v>
      </c>
      <c r="N28" s="4">
        <v>99</v>
      </c>
      <c r="O28" s="4">
        <v>0</v>
      </c>
      <c r="P28" s="19" t="s">
        <v>36</v>
      </c>
      <c r="Q28" s="19" t="s">
        <v>24</v>
      </c>
      <c r="R28" s="4">
        <v>1.15</v>
      </c>
      <c r="S28" s="4">
        <v>1.15</v>
      </c>
      <c r="T28" s="4">
        <v>1.2</v>
      </c>
    </row>
    <row r="29" s="4" customFormat="1" customHeight="1" spans="3:20">
      <c r="C29" s="15">
        <v>24</v>
      </c>
      <c r="D29" s="15">
        <v>5</v>
      </c>
      <c r="E29" s="15">
        <v>4</v>
      </c>
      <c r="F29" s="15" t="s">
        <v>53</v>
      </c>
      <c r="G29" s="16">
        <f t="shared" ref="G29:I29" si="18">G26*R29</f>
        <v>180000</v>
      </c>
      <c r="H29" s="16">
        <f t="shared" si="18"/>
        <v>180000</v>
      </c>
      <c r="I29" s="16">
        <f t="shared" si="18"/>
        <v>143000000</v>
      </c>
      <c r="J29" s="4">
        <v>0</v>
      </c>
      <c r="K29" s="4">
        <v>1800</v>
      </c>
      <c r="L29" s="4">
        <v>1800</v>
      </c>
      <c r="M29" s="4">
        <v>1800</v>
      </c>
      <c r="N29" s="4">
        <v>99</v>
      </c>
      <c r="O29" s="4">
        <v>0</v>
      </c>
      <c r="P29" s="19" t="s">
        <v>37</v>
      </c>
      <c r="Q29" s="19" t="s">
        <v>24</v>
      </c>
      <c r="R29" s="4">
        <v>1.2</v>
      </c>
      <c r="S29" s="4">
        <v>1.2</v>
      </c>
      <c r="T29" s="4">
        <v>1.3</v>
      </c>
    </row>
    <row r="30" s="2" customFormat="1" customHeight="1" spans="3:20">
      <c r="C30" s="11">
        <v>25</v>
      </c>
      <c r="D30" s="11">
        <v>5</v>
      </c>
      <c r="E30" s="11">
        <v>5</v>
      </c>
      <c r="F30" s="15" t="s">
        <v>56</v>
      </c>
      <c r="G30" s="12">
        <f t="shared" ref="G30:I30" si="19">G26*R30</f>
        <v>187500</v>
      </c>
      <c r="H30" s="12">
        <f t="shared" si="19"/>
        <v>187500</v>
      </c>
      <c r="I30" s="12">
        <f t="shared" si="19"/>
        <v>165000000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20" t="s">
        <v>30</v>
      </c>
      <c r="Q30" s="19" t="s">
        <v>31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3">
        <v>26</v>
      </c>
      <c r="D31" s="13">
        <v>6</v>
      </c>
      <c r="E31" s="13">
        <v>1</v>
      </c>
      <c r="F31" s="13" t="s">
        <v>57</v>
      </c>
      <c r="G31" s="21" t="s">
        <v>58</v>
      </c>
      <c r="H31" s="21" t="s">
        <v>58</v>
      </c>
      <c r="I31" s="21" t="s">
        <v>59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9" t="s">
        <v>42</v>
      </c>
      <c r="Q31" s="19" t="s">
        <v>43</v>
      </c>
      <c r="R31" s="3">
        <v>1</v>
      </c>
      <c r="S31" s="3">
        <v>1</v>
      </c>
      <c r="T31" s="3">
        <v>1</v>
      </c>
    </row>
    <row r="32" s="4" customFormat="1" customHeight="1" spans="3:20">
      <c r="C32" s="15">
        <v>27</v>
      </c>
      <c r="D32" s="15">
        <v>6</v>
      </c>
      <c r="E32" s="15">
        <v>2</v>
      </c>
      <c r="F32" s="15" t="s">
        <v>57</v>
      </c>
      <c r="G32" s="16">
        <f t="shared" ref="G32:I32" si="20">G31*R32</f>
        <v>220000</v>
      </c>
      <c r="H32" s="16">
        <f t="shared" si="20"/>
        <v>220000</v>
      </c>
      <c r="I32" s="16">
        <f t="shared" si="20"/>
        <v>176000000</v>
      </c>
      <c r="J32" s="4">
        <v>0</v>
      </c>
      <c r="K32" s="4">
        <v>1800</v>
      </c>
      <c r="L32" s="4">
        <v>1800</v>
      </c>
      <c r="M32" s="4">
        <v>1800</v>
      </c>
      <c r="N32" s="4">
        <v>99</v>
      </c>
      <c r="O32" s="4">
        <v>0</v>
      </c>
      <c r="P32" s="19" t="s">
        <v>44</v>
      </c>
      <c r="Q32" s="19" t="s">
        <v>24</v>
      </c>
      <c r="R32" s="4">
        <v>1.1</v>
      </c>
      <c r="S32" s="4">
        <v>1.1</v>
      </c>
      <c r="T32" s="4">
        <v>1.1</v>
      </c>
    </row>
    <row r="33" s="4" customFormat="1" customHeight="1" spans="1:20">
      <c r="A33" s="2"/>
      <c r="B33" s="2"/>
      <c r="C33" s="15">
        <v>28</v>
      </c>
      <c r="D33" s="15">
        <v>6</v>
      </c>
      <c r="E33" s="15">
        <v>3</v>
      </c>
      <c r="F33" s="15" t="s">
        <v>57</v>
      </c>
      <c r="G33" s="16">
        <f t="shared" ref="G33:I33" si="21">G31*R33</f>
        <v>230000</v>
      </c>
      <c r="H33" s="16">
        <f t="shared" si="21"/>
        <v>230000</v>
      </c>
      <c r="I33" s="16">
        <f t="shared" si="21"/>
        <v>192000000</v>
      </c>
      <c r="J33" s="4">
        <v>0</v>
      </c>
      <c r="K33" s="4">
        <v>1800</v>
      </c>
      <c r="L33" s="4">
        <v>1800</v>
      </c>
      <c r="M33" s="4">
        <v>1800</v>
      </c>
      <c r="N33" s="4">
        <v>99</v>
      </c>
      <c r="O33" s="4">
        <v>0</v>
      </c>
      <c r="P33" s="19" t="s">
        <v>45</v>
      </c>
      <c r="Q33" s="20" t="s">
        <v>46</v>
      </c>
      <c r="R33" s="4">
        <v>1.15</v>
      </c>
      <c r="S33" s="4">
        <v>1.15</v>
      </c>
      <c r="T33" s="4">
        <v>1.2</v>
      </c>
    </row>
    <row r="34" s="4" customFormat="1" customHeight="1" spans="1:20">
      <c r="A34" s="2"/>
      <c r="B34" s="2"/>
      <c r="C34" s="15">
        <v>29</v>
      </c>
      <c r="D34" s="15">
        <v>6</v>
      </c>
      <c r="E34" s="15">
        <v>4</v>
      </c>
      <c r="F34" s="15" t="s">
        <v>57</v>
      </c>
      <c r="G34" s="16">
        <f t="shared" ref="G34:I34" si="22">G31*R34</f>
        <v>240000</v>
      </c>
      <c r="H34" s="16">
        <f t="shared" si="22"/>
        <v>240000</v>
      </c>
      <c r="I34" s="16">
        <f t="shared" si="22"/>
        <v>208000000</v>
      </c>
      <c r="J34" s="4">
        <v>0</v>
      </c>
      <c r="K34" s="4">
        <v>1800</v>
      </c>
      <c r="L34" s="4">
        <v>1800</v>
      </c>
      <c r="M34" s="4">
        <v>1800</v>
      </c>
      <c r="N34" s="4">
        <v>99</v>
      </c>
      <c r="O34" s="4">
        <v>0</v>
      </c>
      <c r="P34" s="19" t="s">
        <v>30</v>
      </c>
      <c r="Q34" s="19" t="s">
        <v>31</v>
      </c>
      <c r="R34" s="4">
        <v>1.2</v>
      </c>
      <c r="S34" s="4">
        <v>1.2</v>
      </c>
      <c r="T34" s="4">
        <v>1.3</v>
      </c>
    </row>
    <row r="35" s="2" customFormat="1" customHeight="1" spans="3:20">
      <c r="C35" s="11">
        <v>30</v>
      </c>
      <c r="D35" s="11">
        <v>6</v>
      </c>
      <c r="E35" s="11">
        <v>5</v>
      </c>
      <c r="F35" s="15" t="s">
        <v>60</v>
      </c>
      <c r="G35" s="12">
        <f t="shared" ref="G35:I35" si="23">G31*R35</f>
        <v>250000</v>
      </c>
      <c r="H35" s="12">
        <f t="shared" si="23"/>
        <v>250000</v>
      </c>
      <c r="I35" s="12">
        <f t="shared" si="23"/>
        <v>240000000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20" t="s">
        <v>48</v>
      </c>
      <c r="Q35" s="20" t="s">
        <v>46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1">
        <v>31</v>
      </c>
      <c r="D36" s="13">
        <v>7</v>
      </c>
      <c r="E36" s="13">
        <v>1</v>
      </c>
      <c r="F36" s="13" t="s">
        <v>61</v>
      </c>
      <c r="G36" s="21" t="s">
        <v>62</v>
      </c>
      <c r="H36" s="21" t="s">
        <v>62</v>
      </c>
      <c r="I36" s="21" t="s">
        <v>63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9" t="s">
        <v>28</v>
      </c>
      <c r="Q36" s="19" t="s">
        <v>24</v>
      </c>
      <c r="R36" s="3">
        <v>1</v>
      </c>
      <c r="S36" s="3">
        <v>1</v>
      </c>
      <c r="T36" s="3">
        <v>1</v>
      </c>
    </row>
    <row r="37" s="4" customFormat="1" customHeight="1" spans="1:20">
      <c r="A37" s="2"/>
      <c r="B37" s="2"/>
      <c r="C37" s="11">
        <v>32</v>
      </c>
      <c r="D37" s="15">
        <v>7</v>
      </c>
      <c r="E37" s="15">
        <v>2</v>
      </c>
      <c r="F37" s="15" t="s">
        <v>61</v>
      </c>
      <c r="G37" s="16">
        <f t="shared" ref="G37:I37" si="24">G36*R37</f>
        <v>275000</v>
      </c>
      <c r="H37" s="16">
        <f t="shared" si="24"/>
        <v>275000</v>
      </c>
      <c r="I37" s="16">
        <f t="shared" si="24"/>
        <v>242000000</v>
      </c>
      <c r="J37" s="4">
        <v>0</v>
      </c>
      <c r="K37" s="4">
        <v>1800</v>
      </c>
      <c r="L37" s="4">
        <v>1800</v>
      </c>
      <c r="M37" s="4">
        <v>1800</v>
      </c>
      <c r="N37" s="4">
        <v>99</v>
      </c>
      <c r="O37" s="4">
        <v>0</v>
      </c>
      <c r="P37" s="19" t="s">
        <v>25</v>
      </c>
      <c r="Q37" s="19" t="s">
        <v>24</v>
      </c>
      <c r="R37" s="4">
        <v>1.1</v>
      </c>
      <c r="S37" s="4">
        <v>1.1</v>
      </c>
      <c r="T37" s="4">
        <v>1.1</v>
      </c>
    </row>
    <row r="38" s="4" customFormat="1" customHeight="1" spans="1:20">
      <c r="A38" s="2"/>
      <c r="B38" s="2"/>
      <c r="C38" s="11">
        <v>33</v>
      </c>
      <c r="D38" s="15">
        <v>7</v>
      </c>
      <c r="E38" s="15">
        <v>3</v>
      </c>
      <c r="F38" s="15" t="s">
        <v>61</v>
      </c>
      <c r="G38" s="16">
        <f t="shared" ref="G38:I38" si="25">G36*R38</f>
        <v>287500</v>
      </c>
      <c r="H38" s="16">
        <f t="shared" si="25"/>
        <v>287500</v>
      </c>
      <c r="I38" s="16">
        <f t="shared" si="25"/>
        <v>264000000</v>
      </c>
      <c r="J38" s="4">
        <v>0</v>
      </c>
      <c r="K38" s="4">
        <v>1800</v>
      </c>
      <c r="L38" s="4">
        <v>1800</v>
      </c>
      <c r="M38" s="4">
        <v>1800</v>
      </c>
      <c r="N38" s="4">
        <v>99</v>
      </c>
      <c r="O38" s="4">
        <v>0</v>
      </c>
      <c r="P38" s="19" t="s">
        <v>30</v>
      </c>
      <c r="Q38" s="19" t="s">
        <v>31</v>
      </c>
      <c r="R38" s="4">
        <v>1.15</v>
      </c>
      <c r="S38" s="4">
        <v>1.15</v>
      </c>
      <c r="T38" s="4">
        <v>1.2</v>
      </c>
    </row>
    <row r="39" s="4" customFormat="1" customHeight="1" spans="1:20">
      <c r="A39" s="2"/>
      <c r="B39" s="2"/>
      <c r="C39" s="11">
        <v>34</v>
      </c>
      <c r="D39" s="15">
        <v>7</v>
      </c>
      <c r="E39" s="15">
        <v>4</v>
      </c>
      <c r="F39" s="15" t="s">
        <v>61</v>
      </c>
      <c r="G39" s="16">
        <f t="shared" ref="G39:I39" si="26">G36*R39</f>
        <v>300000</v>
      </c>
      <c r="H39" s="16">
        <f t="shared" si="26"/>
        <v>300000</v>
      </c>
      <c r="I39" s="16">
        <f t="shared" si="26"/>
        <v>286000000</v>
      </c>
      <c r="J39" s="4">
        <v>0</v>
      </c>
      <c r="K39" s="4">
        <v>1800</v>
      </c>
      <c r="L39" s="4">
        <v>1800</v>
      </c>
      <c r="M39" s="4">
        <v>1800</v>
      </c>
      <c r="N39" s="4">
        <v>99</v>
      </c>
      <c r="O39" s="4">
        <v>0</v>
      </c>
      <c r="P39" s="19" t="s">
        <v>64</v>
      </c>
      <c r="Q39" s="20" t="s">
        <v>46</v>
      </c>
      <c r="R39" s="4">
        <v>1.2</v>
      </c>
      <c r="S39" s="4">
        <v>1.2</v>
      </c>
      <c r="T39" s="4">
        <v>1.3</v>
      </c>
    </row>
    <row r="40" s="2" customFormat="1" customHeight="1" spans="3:20">
      <c r="C40" s="11">
        <v>35</v>
      </c>
      <c r="D40" s="15">
        <v>7</v>
      </c>
      <c r="E40" s="11">
        <v>5</v>
      </c>
      <c r="F40" s="15" t="s">
        <v>65</v>
      </c>
      <c r="G40" s="12">
        <f t="shared" ref="G40:I40" si="27">G36*R40</f>
        <v>312500</v>
      </c>
      <c r="H40" s="12">
        <f t="shared" si="27"/>
        <v>312500</v>
      </c>
      <c r="I40" s="12">
        <f t="shared" si="27"/>
        <v>330000000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20" t="s">
        <v>30</v>
      </c>
      <c r="Q40" s="19" t="s">
        <v>31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1">
        <v>36</v>
      </c>
      <c r="D41" s="13">
        <v>8</v>
      </c>
      <c r="E41" s="13">
        <v>1</v>
      </c>
      <c r="F41" s="13" t="s">
        <v>66</v>
      </c>
      <c r="G41" s="21" t="s">
        <v>67</v>
      </c>
      <c r="H41" s="21" t="s">
        <v>67</v>
      </c>
      <c r="I41" s="21" t="s">
        <v>68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9" t="s">
        <v>28</v>
      </c>
      <c r="Q41" s="19" t="s">
        <v>24</v>
      </c>
      <c r="R41" s="3">
        <v>1</v>
      </c>
      <c r="S41" s="3">
        <v>1</v>
      </c>
      <c r="T41" s="3">
        <v>1</v>
      </c>
    </row>
    <row r="42" s="4" customFormat="1" customHeight="1" spans="1:20">
      <c r="A42" s="2"/>
      <c r="B42" s="2"/>
      <c r="C42" s="11">
        <v>37</v>
      </c>
      <c r="D42" s="15">
        <v>8</v>
      </c>
      <c r="E42" s="15">
        <v>2</v>
      </c>
      <c r="F42" s="15" t="s">
        <v>66</v>
      </c>
      <c r="G42" s="16">
        <f t="shared" ref="G42:I42" si="28">G41*R42</f>
        <v>330000</v>
      </c>
      <c r="H42" s="16">
        <f t="shared" si="28"/>
        <v>330000</v>
      </c>
      <c r="I42" s="16">
        <f t="shared" si="28"/>
        <v>319000000</v>
      </c>
      <c r="J42" s="4">
        <v>0</v>
      </c>
      <c r="K42" s="4">
        <v>1800</v>
      </c>
      <c r="L42" s="4">
        <v>1800</v>
      </c>
      <c r="M42" s="4">
        <v>1800</v>
      </c>
      <c r="N42" s="4">
        <v>99</v>
      </c>
      <c r="O42" s="4">
        <v>0</v>
      </c>
      <c r="P42" s="19" t="s">
        <v>25</v>
      </c>
      <c r="Q42" s="19" t="s">
        <v>24</v>
      </c>
      <c r="R42" s="4">
        <v>1.1</v>
      </c>
      <c r="S42" s="4">
        <v>1.1</v>
      </c>
      <c r="T42" s="4">
        <v>1.1</v>
      </c>
    </row>
    <row r="43" s="4" customFormat="1" customHeight="1" spans="1:20">
      <c r="A43" s="2"/>
      <c r="B43" s="2"/>
      <c r="C43" s="11">
        <v>38</v>
      </c>
      <c r="D43" s="15">
        <v>8</v>
      </c>
      <c r="E43" s="15">
        <v>3</v>
      </c>
      <c r="F43" s="15" t="s">
        <v>66</v>
      </c>
      <c r="G43" s="16">
        <f t="shared" ref="G43:I43" si="29">G41*R43</f>
        <v>345000</v>
      </c>
      <c r="H43" s="16">
        <f t="shared" si="29"/>
        <v>345000</v>
      </c>
      <c r="I43" s="16">
        <f t="shared" si="29"/>
        <v>348000000</v>
      </c>
      <c r="J43" s="4">
        <v>0</v>
      </c>
      <c r="K43" s="4">
        <v>1800</v>
      </c>
      <c r="L43" s="4">
        <v>1800</v>
      </c>
      <c r="M43" s="4">
        <v>1800</v>
      </c>
      <c r="N43" s="4">
        <v>99</v>
      </c>
      <c r="O43" s="4">
        <v>0</v>
      </c>
      <c r="P43" s="19" t="s">
        <v>30</v>
      </c>
      <c r="Q43" s="19" t="s">
        <v>31</v>
      </c>
      <c r="R43" s="4">
        <v>1.15</v>
      </c>
      <c r="S43" s="4">
        <v>1.15</v>
      </c>
      <c r="T43" s="4">
        <v>1.2</v>
      </c>
    </row>
    <row r="44" s="4" customFormat="1" customHeight="1" spans="1:20">
      <c r="A44" s="2"/>
      <c r="B44" s="2"/>
      <c r="C44" s="11">
        <v>39</v>
      </c>
      <c r="D44" s="15">
        <v>8</v>
      </c>
      <c r="E44" s="15">
        <v>4</v>
      </c>
      <c r="F44" s="15" t="s">
        <v>66</v>
      </c>
      <c r="G44" s="16">
        <f t="shared" ref="G44:I44" si="30">G41*R44</f>
        <v>360000</v>
      </c>
      <c r="H44" s="16">
        <f t="shared" si="30"/>
        <v>360000</v>
      </c>
      <c r="I44" s="16">
        <f t="shared" si="30"/>
        <v>377000000</v>
      </c>
      <c r="J44" s="4">
        <v>0</v>
      </c>
      <c r="K44" s="4">
        <v>1800</v>
      </c>
      <c r="L44" s="4">
        <v>1800</v>
      </c>
      <c r="M44" s="4">
        <v>1800</v>
      </c>
      <c r="N44" s="4">
        <v>99</v>
      </c>
      <c r="O44" s="4">
        <v>0</v>
      </c>
      <c r="P44" s="19" t="s">
        <v>64</v>
      </c>
      <c r="Q44" s="20" t="s">
        <v>46</v>
      </c>
      <c r="R44" s="4">
        <v>1.2</v>
      </c>
      <c r="S44" s="4">
        <v>1.2</v>
      </c>
      <c r="T44" s="4">
        <v>1.3</v>
      </c>
    </row>
    <row r="45" s="2" customFormat="1" customHeight="1" spans="3:20">
      <c r="C45" s="11">
        <v>40</v>
      </c>
      <c r="D45" s="15">
        <v>8</v>
      </c>
      <c r="E45" s="11">
        <v>5</v>
      </c>
      <c r="F45" s="15" t="s">
        <v>69</v>
      </c>
      <c r="G45" s="12">
        <f t="shared" ref="G45:I45" si="31">G41*R45</f>
        <v>375000</v>
      </c>
      <c r="H45" s="12">
        <f t="shared" si="31"/>
        <v>375000</v>
      </c>
      <c r="I45" s="12">
        <f t="shared" si="31"/>
        <v>435000000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20" t="s">
        <v>30</v>
      </c>
      <c r="Q45" s="19" t="s">
        <v>31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1">
        <v>41</v>
      </c>
      <c r="D46" s="13">
        <v>9</v>
      </c>
      <c r="E46" s="13">
        <v>1</v>
      </c>
      <c r="F46" s="13" t="s">
        <v>70</v>
      </c>
      <c r="G46" s="21" t="s">
        <v>71</v>
      </c>
      <c r="H46" s="21" t="s">
        <v>71</v>
      </c>
      <c r="I46" s="21" t="s">
        <v>72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9" t="s">
        <v>28</v>
      </c>
      <c r="Q46" s="19" t="s">
        <v>24</v>
      </c>
      <c r="R46" s="3">
        <v>1</v>
      </c>
      <c r="S46" s="3">
        <v>1</v>
      </c>
      <c r="T46" s="3">
        <v>1</v>
      </c>
    </row>
    <row r="47" s="4" customFormat="1" customHeight="1" spans="1:20">
      <c r="A47" s="2"/>
      <c r="B47" s="2"/>
      <c r="C47" s="11">
        <v>42</v>
      </c>
      <c r="D47" s="15">
        <v>9</v>
      </c>
      <c r="E47" s="15">
        <v>2</v>
      </c>
      <c r="F47" s="15" t="s">
        <v>70</v>
      </c>
      <c r="G47" s="16">
        <f t="shared" ref="G47:I47" si="32">G46*R47</f>
        <v>385000</v>
      </c>
      <c r="H47" s="16">
        <f t="shared" si="32"/>
        <v>385000</v>
      </c>
      <c r="I47" s="16">
        <f t="shared" si="32"/>
        <v>407000000</v>
      </c>
      <c r="J47" s="4">
        <v>0</v>
      </c>
      <c r="K47" s="4">
        <v>1800</v>
      </c>
      <c r="L47" s="4">
        <v>1800</v>
      </c>
      <c r="M47" s="4">
        <v>1800</v>
      </c>
      <c r="N47" s="4">
        <v>99</v>
      </c>
      <c r="O47" s="4">
        <v>0</v>
      </c>
      <c r="P47" s="19" t="s">
        <v>25</v>
      </c>
      <c r="Q47" s="19" t="s">
        <v>24</v>
      </c>
      <c r="R47" s="4">
        <v>1.1</v>
      </c>
      <c r="S47" s="4">
        <v>1.1</v>
      </c>
      <c r="T47" s="4">
        <v>1.1</v>
      </c>
    </row>
    <row r="48" s="4" customFormat="1" customHeight="1" spans="1:20">
      <c r="A48" s="2"/>
      <c r="B48" s="2"/>
      <c r="C48" s="11">
        <v>43</v>
      </c>
      <c r="D48" s="15">
        <v>9</v>
      </c>
      <c r="E48" s="15">
        <v>3</v>
      </c>
      <c r="F48" s="15" t="s">
        <v>70</v>
      </c>
      <c r="G48" s="16">
        <f t="shared" ref="G48:I48" si="33">G46*R48</f>
        <v>402500</v>
      </c>
      <c r="H48" s="16">
        <f t="shared" si="33"/>
        <v>402500</v>
      </c>
      <c r="I48" s="16">
        <f t="shared" si="33"/>
        <v>444000000</v>
      </c>
      <c r="J48" s="4">
        <v>0</v>
      </c>
      <c r="K48" s="4">
        <v>1800</v>
      </c>
      <c r="L48" s="4">
        <v>1800</v>
      </c>
      <c r="M48" s="4">
        <v>1800</v>
      </c>
      <c r="N48" s="4">
        <v>99</v>
      </c>
      <c r="O48" s="4">
        <v>0</v>
      </c>
      <c r="P48" s="19" t="s">
        <v>30</v>
      </c>
      <c r="Q48" s="19" t="s">
        <v>31</v>
      </c>
      <c r="R48" s="4">
        <v>1.15</v>
      </c>
      <c r="S48" s="4">
        <v>1.15</v>
      </c>
      <c r="T48" s="4">
        <v>1.2</v>
      </c>
    </row>
    <row r="49" s="4" customFormat="1" customHeight="1" spans="1:20">
      <c r="A49" s="2"/>
      <c r="B49" s="2"/>
      <c r="C49" s="11">
        <v>44</v>
      </c>
      <c r="D49" s="15">
        <v>9</v>
      </c>
      <c r="E49" s="15">
        <v>4</v>
      </c>
      <c r="F49" s="15" t="s">
        <v>70</v>
      </c>
      <c r="G49" s="16">
        <f t="shared" ref="G49:I49" si="34">G46*R49</f>
        <v>420000</v>
      </c>
      <c r="H49" s="16">
        <f t="shared" si="34"/>
        <v>420000</v>
      </c>
      <c r="I49" s="16">
        <f t="shared" si="34"/>
        <v>481000000</v>
      </c>
      <c r="J49" s="4">
        <v>0</v>
      </c>
      <c r="K49" s="4">
        <v>1800</v>
      </c>
      <c r="L49" s="4">
        <v>1800</v>
      </c>
      <c r="M49" s="4">
        <v>1800</v>
      </c>
      <c r="N49" s="4">
        <v>99</v>
      </c>
      <c r="O49" s="4">
        <v>0</v>
      </c>
      <c r="P49" s="19" t="s">
        <v>64</v>
      </c>
      <c r="Q49" s="20" t="s">
        <v>46</v>
      </c>
      <c r="R49" s="4">
        <v>1.2</v>
      </c>
      <c r="S49" s="4">
        <v>1.2</v>
      </c>
      <c r="T49" s="4">
        <v>1.3</v>
      </c>
    </row>
    <row r="50" s="2" customFormat="1" customHeight="1" spans="3:20">
      <c r="C50" s="11">
        <v>45</v>
      </c>
      <c r="D50" s="15">
        <v>9</v>
      </c>
      <c r="E50" s="11">
        <v>5</v>
      </c>
      <c r="F50" s="15" t="s">
        <v>73</v>
      </c>
      <c r="G50" s="12">
        <f t="shared" ref="G50:I50" si="35">G46*R50</f>
        <v>437500</v>
      </c>
      <c r="H50" s="12">
        <f t="shared" si="35"/>
        <v>437500</v>
      </c>
      <c r="I50" s="12">
        <f t="shared" si="35"/>
        <v>555000000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20" t="s">
        <v>30</v>
      </c>
      <c r="Q50" s="19" t="s">
        <v>31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1">
        <v>46</v>
      </c>
      <c r="D51" s="13">
        <v>10</v>
      </c>
      <c r="E51" s="13">
        <v>1</v>
      </c>
      <c r="F51" s="13" t="s">
        <v>74</v>
      </c>
      <c r="G51" s="21" t="s">
        <v>75</v>
      </c>
      <c r="H51" s="21" t="s">
        <v>75</v>
      </c>
      <c r="I51" s="21" t="s">
        <v>76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9" t="s">
        <v>28</v>
      </c>
      <c r="Q51" s="19" t="s">
        <v>24</v>
      </c>
      <c r="R51" s="3">
        <v>1</v>
      </c>
      <c r="S51" s="3">
        <v>1</v>
      </c>
      <c r="T51" s="3">
        <v>1</v>
      </c>
    </row>
    <row r="52" s="4" customFormat="1" customHeight="1" spans="1:20">
      <c r="A52" s="2"/>
      <c r="B52" s="2"/>
      <c r="C52" s="11">
        <v>47</v>
      </c>
      <c r="D52" s="15">
        <v>10</v>
      </c>
      <c r="E52" s="15">
        <v>2</v>
      </c>
      <c r="F52" s="15" t="s">
        <v>74</v>
      </c>
      <c r="G52" s="16">
        <f t="shared" ref="G52:I52" si="36">G51*R52</f>
        <v>440000</v>
      </c>
      <c r="H52" s="16">
        <f t="shared" si="36"/>
        <v>440000</v>
      </c>
      <c r="I52" s="16">
        <f t="shared" si="36"/>
        <v>506000000</v>
      </c>
      <c r="J52" s="4">
        <v>0</v>
      </c>
      <c r="K52" s="4">
        <v>1800</v>
      </c>
      <c r="L52" s="4">
        <v>1800</v>
      </c>
      <c r="M52" s="4">
        <v>1800</v>
      </c>
      <c r="N52" s="4">
        <v>99</v>
      </c>
      <c r="O52" s="4">
        <v>0</v>
      </c>
      <c r="P52" s="19" t="s">
        <v>25</v>
      </c>
      <c r="Q52" s="19" t="s">
        <v>24</v>
      </c>
      <c r="R52" s="4">
        <v>1.1</v>
      </c>
      <c r="S52" s="4">
        <v>1.1</v>
      </c>
      <c r="T52" s="4">
        <v>1.1</v>
      </c>
    </row>
    <row r="53" s="4" customFormat="1" customHeight="1" spans="1:20">
      <c r="A53" s="2"/>
      <c r="B53" s="2"/>
      <c r="C53" s="11">
        <v>48</v>
      </c>
      <c r="D53" s="15">
        <v>10</v>
      </c>
      <c r="E53" s="15">
        <v>3</v>
      </c>
      <c r="F53" s="15" t="s">
        <v>74</v>
      </c>
      <c r="G53" s="16">
        <f t="shared" ref="G53:I53" si="37">G51*R53</f>
        <v>460000</v>
      </c>
      <c r="H53" s="16">
        <f t="shared" si="37"/>
        <v>460000</v>
      </c>
      <c r="I53" s="16">
        <f t="shared" si="37"/>
        <v>552000000</v>
      </c>
      <c r="J53" s="4">
        <v>0</v>
      </c>
      <c r="K53" s="4">
        <v>1800</v>
      </c>
      <c r="L53" s="4">
        <v>1800</v>
      </c>
      <c r="M53" s="4">
        <v>1800</v>
      </c>
      <c r="N53" s="4">
        <v>99</v>
      </c>
      <c r="O53" s="4">
        <v>0</v>
      </c>
      <c r="P53" s="19" t="s">
        <v>30</v>
      </c>
      <c r="Q53" s="19" t="s">
        <v>31</v>
      </c>
      <c r="R53" s="4">
        <v>1.15</v>
      </c>
      <c r="S53" s="4">
        <v>1.15</v>
      </c>
      <c r="T53" s="4">
        <v>1.2</v>
      </c>
    </row>
    <row r="54" s="4" customFormat="1" customHeight="1" spans="1:20">
      <c r="A54" s="2"/>
      <c r="B54" s="2"/>
      <c r="C54" s="11">
        <v>49</v>
      </c>
      <c r="D54" s="15">
        <v>10</v>
      </c>
      <c r="E54" s="15">
        <v>4</v>
      </c>
      <c r="F54" s="15" t="s">
        <v>74</v>
      </c>
      <c r="G54" s="16">
        <f t="shared" ref="G54:I54" si="38">G51*R54</f>
        <v>480000</v>
      </c>
      <c r="H54" s="16">
        <f t="shared" si="38"/>
        <v>480000</v>
      </c>
      <c r="I54" s="16">
        <f t="shared" si="38"/>
        <v>598000000</v>
      </c>
      <c r="J54" s="4">
        <v>0</v>
      </c>
      <c r="K54" s="4">
        <v>1800</v>
      </c>
      <c r="L54" s="4">
        <v>1800</v>
      </c>
      <c r="M54" s="4">
        <v>1800</v>
      </c>
      <c r="N54" s="4">
        <v>99</v>
      </c>
      <c r="O54" s="4">
        <v>0</v>
      </c>
      <c r="P54" s="19" t="s">
        <v>64</v>
      </c>
      <c r="Q54" s="20" t="s">
        <v>46</v>
      </c>
      <c r="R54" s="4">
        <v>1.2</v>
      </c>
      <c r="S54" s="4">
        <v>1.2</v>
      </c>
      <c r="T54" s="4">
        <v>1.3</v>
      </c>
    </row>
    <row r="55" s="2" customFormat="1" customHeight="1" spans="3:20">
      <c r="C55" s="11">
        <v>50</v>
      </c>
      <c r="D55" s="15">
        <v>10</v>
      </c>
      <c r="E55" s="11">
        <v>5</v>
      </c>
      <c r="F55" s="15" t="s">
        <v>77</v>
      </c>
      <c r="G55" s="12">
        <f t="shared" ref="G55:I55" si="39">G51*R55</f>
        <v>500000</v>
      </c>
      <c r="H55" s="12">
        <f t="shared" si="39"/>
        <v>500000</v>
      </c>
      <c r="I55" s="12">
        <f t="shared" si="39"/>
        <v>690000000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20" t="s">
        <v>30</v>
      </c>
      <c r="Q55" s="19" t="s">
        <v>31</v>
      </c>
      <c r="R55" s="2">
        <v>1.25</v>
      </c>
      <c r="S55" s="2">
        <v>1.25</v>
      </c>
      <c r="T5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N3 N4 N5 M3:M5 C3:L5 O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2024-12-01T13:11:20Z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
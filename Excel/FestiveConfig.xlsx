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<sst xmlns="http://schemas.openxmlformats.org/spreadsheetml/2006/main" count="267" uniqueCount="159">
  <si>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</si>
  <si>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</si>
  <si>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</si>
  <si>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</si>
  <si>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</si>
  <si>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</si>
  <si>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</si>
  <si>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</si>
  <si>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</si>
  <si>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</si>
  <si>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</si>
  <si>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</si>
  <si>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</si>
  <si>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</si>
  <si>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</si>
  <si>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</si>
  <si>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</si>
  <si>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</si>
  <si>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</si>
  <si>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</si>
  <si>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</si>
  <si>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</si>
  <si>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</si>
  <si>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</si>
  <si>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</si>
  <si>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</si>
  <si>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</si>
  <si>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</si>
  <si>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</si>
  <si>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</si>
  <si>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</si>
  <si>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</si>
  <si>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</si>
  <si>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</si>
  <si>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</si>
  <si>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</si>
  <si>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</si>
  <si>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</si>
  <si>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</si>
  <si>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</si>
  <si>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</si>
  <si>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</si>
  <si>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</si>
  <si>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</si>
  <si>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</si>
  <si>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</si>
  <si>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</si>
  <si>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</si>
  <si>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</si>
  <si>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</si>
  <si>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</si>
  <si>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</si>
  <si>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</si>
  <si>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</si>
  <si>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</si>
  <si>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</si>
  <si>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</si>
  <si>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</si>
  <si>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</si>
  <si>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</si>
  <si>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</si>
  <si>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</si>
  <si>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</si>
  <si>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</si>
  <si>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</si>
  <si>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</si>
  <si>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</si>
  <si>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</si>
  <si>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</si>
  <si>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</si>
  <si>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</si>
  <si>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</si>
  <si>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</si>
  <si>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</si>
  <si>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</si>
  <si>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</si>
  <si>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</si>
  <si>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</si>
  <si>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</si>
  <si>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</si>
  <si>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</si>
  <si>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</si>
  <si>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</si>
  <si>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</si>
  <si>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</si>
  <si>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</si>
  <si>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兑换极矿工礼包*1</t>
  </si>
  <si>
    <t>极矿工礼包</t>
  </si>
  <si>
    <t>兑换极法宝自选*1</t>
  </si>
  <si>
    <t>极法宝自选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</si>
  <si>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</si>
  <si>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</si>
  <si>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</si>
  <si>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</si>
  <si>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</si>
  <si>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</si>
  <si>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</si>
  <si>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</si>
  <si>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</si>
  <si>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</si>
  <si>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</si>
  <si>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</si>
  <si>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</si>
  <si>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</si>
  <si>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宝石集合包</t>
  </si>
  <si>
    <t>攻击宝石</t>
  </si>
  <si>
    <t>兑换低级法宝自选*1</t>
  </si>
  <si>
    <t>低级法宝自选</t>
  </si>
  <si>
    <t>兑换坐骑兽粮*100</t>
  </si>
  <si>
    <t>坐骑兽粮*100</t>
  </si>
  <si>
    <t>兑换时装精华</t>
  </si>
  <si>
    <t>时装精华</t>
  </si>
  <si>
    <t>超级书页</t>
  </si>
  <si>
    <t>行气丹*500</t>
  </si>
  <si>
    <t>行气丹</t>
  </si>
  <si>
    <t>11技能自选</t>
  </si>
  <si>
    <t>金色魂心</t>
  </si>
  <si>
    <t>暗金魂心</t>
  </si>
  <si>
    <t>金色材料魂宠</t>
  </si>
  <si>
    <t>炼神丹</t>
  </si>
  <si>
    <t>炼神丹*500</t>
  </si>
  <si>
    <t>金色坐骑自选</t>
  </si>
  <si>
    <t>兑换传奇精华</t>
  </si>
  <si>
    <t>传奇精华</t>
  </si>
  <si>
    <t>不朽精华</t>
  </si>
  <si>
    <t>不朽精华*1</t>
  </si>
  <si>
    <t>混沌精华</t>
  </si>
  <si>
    <t>混沌精华*1</t>
  </si>
  <si>
    <t>宠物口粮*100</t>
  </si>
  <si>
    <t>仙鉴青龙</t>
  </si>
  <si>
    <t>仙鉴青龙*1</t>
  </si>
  <si>
    <t>仙鉴白虎</t>
  </si>
  <si>
    <t>仙鉴白虎*1</t>
  </si>
  <si>
    <t>仙鉴朱雀</t>
  </si>
  <si>
    <t>仙鉴朱雀*1</t>
  </si>
  <si>
    <t>仙鉴玄武</t>
  </si>
  <si>
    <t>仙鉴玄武*1</t>
  </si>
  <si>
    <t>仙鉴麒麟</t>
  </si>
  <si>
    <t>仙鉴麒麟*1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</si>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</sst>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26"/>
  <sheetViews>
    <sheetView tabSelected="1" topLeftCell="A29" workbookViewId="0">
      <selection activeCell="K49" sqref="K49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3:13">
      <c r="M1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3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3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6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6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6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6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6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6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6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6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4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6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4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6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4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6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6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6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6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6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6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6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6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6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6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6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6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6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6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6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6" t="s">
        <v>83</v>
      </c>
      <c r="G37" s="1">
        <v>10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3000000</v>
      </c>
    </row>
    <row r="38" customHeight="1" spans="3:13">
      <c r="C38" s="1">
        <v>33</v>
      </c>
      <c r="D38" s="1">
        <v>0</v>
      </c>
      <c r="E38" s="1">
        <v>0</v>
      </c>
      <c r="F38" s="1">
        <v>150000</v>
      </c>
      <c r="G38" s="1">
        <v>2</v>
      </c>
      <c r="H38" s="1" t="s">
        <v>86</v>
      </c>
      <c r="I38" s="1" t="s">
        <v>87</v>
      </c>
      <c r="J38" s="1">
        <v>4</v>
      </c>
      <c r="K38" s="1">
        <v>30</v>
      </c>
      <c r="L38" s="1">
        <v>1</v>
      </c>
      <c r="M38" s="1">
        <f t="shared" ref="M38:M49" si="2">F38*G38</f>
        <v>300000</v>
      </c>
    </row>
    <row r="39" customHeight="1" spans="3:13">
      <c r="C39" s="1">
        <v>34</v>
      </c>
      <c r="D39" s="1">
        <v>0</v>
      </c>
      <c r="E39" s="1">
        <v>0</v>
      </c>
      <c r="F39" s="1">
        <v>300000</v>
      </c>
      <c r="G39" s="1">
        <v>1</v>
      </c>
      <c r="H39" s="1" t="s">
        <v>88</v>
      </c>
      <c r="I39" s="1" t="s">
        <v>89</v>
      </c>
      <c r="J39" s="1">
        <v>4</v>
      </c>
      <c r="K39" s="1">
        <v>31</v>
      </c>
      <c r="L39" s="1">
        <v>1</v>
      </c>
      <c r="M39" s="1">
        <f t="shared" si="2"/>
        <v>300000</v>
      </c>
    </row>
    <row r="40" customHeight="1" spans="3:13">
      <c r="C40" s="1">
        <v>35</v>
      </c>
      <c r="D40" s="1">
        <v>0</v>
      </c>
      <c r="E40" s="1">
        <v>0</v>
      </c>
      <c r="F40" s="1">
        <v>1000</v>
      </c>
      <c r="G40" s="1">
        <v>2000</v>
      </c>
      <c r="H40" s="1" t="s">
        <v>90</v>
      </c>
      <c r="I40" s="1" t="s">
        <v>91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1">
        <v>500</v>
      </c>
      <c r="G41" s="1">
        <v>2000</v>
      </c>
      <c r="H41" s="1" t="s">
        <v>92</v>
      </c>
      <c r="I41" s="1" t="s">
        <v>93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94</v>
      </c>
      <c r="I42" s="1" t="s">
        <v>95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96</v>
      </c>
      <c r="I43" s="1" t="s">
        <v>97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98</v>
      </c>
      <c r="I44" s="1" t="s">
        <v>99</v>
      </c>
      <c r="J44" s="1">
        <v>15</v>
      </c>
      <c r="K44" s="1">
        <v>4020</v>
      </c>
      <c r="L44" s="1">
        <v>1</v>
      </c>
      <c r="M44" s="1">
        <f t="shared" si="2"/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208888</v>
      </c>
      <c r="G45" s="1">
        <v>1</v>
      </c>
      <c r="H45" s="1" t="s">
        <v>100</v>
      </c>
      <c r="I45" s="1" t="s">
        <v>101</v>
      </c>
      <c r="J45" s="1">
        <v>4</v>
      </c>
      <c r="K45" s="1">
        <v>204</v>
      </c>
      <c r="L45" s="1">
        <v>1</v>
      </c>
      <c r="M45" s="1">
        <f t="shared" si="2"/>
        <v>208888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102</v>
      </c>
      <c r="I46" s="1" t="s">
        <v>103</v>
      </c>
      <c r="J46" s="1">
        <v>5</v>
      </c>
      <c r="K46" s="1">
        <v>4027</v>
      </c>
      <c r="L46" s="1">
        <v>1</v>
      </c>
      <c r="M46" s="1">
        <f t="shared" si="2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10000</v>
      </c>
      <c r="G47" s="1">
        <v>200</v>
      </c>
      <c r="H47" s="1" t="s">
        <v>104</v>
      </c>
      <c r="I47" s="1" t="s">
        <v>105</v>
      </c>
      <c r="J47" s="1">
        <v>4</v>
      </c>
      <c r="K47" s="4">
        <v>36</v>
      </c>
      <c r="L47" s="1">
        <v>1</v>
      </c>
      <c r="M47" s="1">
        <f t="shared" si="2"/>
        <v>2000000</v>
      </c>
    </row>
    <row r="48" customHeight="1" spans="3:13">
      <c r="C48" s="1">
        <v>43</v>
      </c>
      <c r="D48" s="1">
        <v>0</v>
      </c>
      <c r="E48" s="1">
        <v>0</v>
      </c>
      <c r="F48" s="1">
        <v>50000</v>
      </c>
      <c r="G48" s="1">
        <v>50</v>
      </c>
      <c r="H48" s="1" t="s">
        <v>106</v>
      </c>
      <c r="I48" s="1" t="s">
        <v>107</v>
      </c>
      <c r="J48" s="1">
        <v>4</v>
      </c>
      <c r="K48" s="1">
        <v>24</v>
      </c>
      <c r="L48" s="1">
        <v>1</v>
      </c>
      <c r="M48" s="1">
        <f t="shared" si="2"/>
        <v>2500000</v>
      </c>
    </row>
    <row r="49" s="1" customFormat="1" customHeight="1" spans="1:15">
      <c r="C49" s="1">
        <v>44</v>
      </c>
      <c r="D49" s="1">
        <v>0</v>
      </c>
      <c r="E49" s="1">
        <v>10</v>
      </c>
      <c r="F49" s="1">
        <v>1000</v>
      </c>
      <c r="G49" s="1">
        <v>500</v>
      </c>
      <c r="H49" s="1" t="s">
        <v>108</v>
      </c>
      <c r="I49" s="1" t="s">
        <v>109</v>
      </c>
      <c r="J49" s="1">
        <v>5</v>
      </c>
      <c r="K49" s="1">
        <v>4051</v>
      </c>
      <c r="L49" s="1">
        <v>100</v>
      </c>
      <c r="M49" s="1">
        <f t="shared" si="2"/>
        <v>500000</v>
      </c>
    </row>
    <row r="51" customFormat="1" customHeight="1" spans="1:15">
      <c r="B51" s="1"/>
      <c r="C51" s="1">
        <v>50</v>
      </c>
      <c r="D51" s="1">
        <v>0</v>
      </c>
      <c r="E51" s="1">
        <v>0</v>
      </c>
      <c r="F51" s="1">
        <v>100000</v>
      </c>
      <c r="G51" s="1">
        <v>10</v>
      </c>
      <c r="H51" s="1" t="s">
        <v>110</v>
      </c>
      <c r="I51" s="1" t="s">
        <v>111</v>
      </c>
      <c r="J51" s="1">
        <v>5</v>
      </c>
      <c r="K51" s="1">
        <v>4034</v>
      </c>
      <c r="L51" s="1">
        <v>1</v>
      </c>
      <c r="M51" s="1">
        <f>F51*G51</f>
        <v>1000000</v>
      </c>
      <c r="N51" s="1"/>
      <c r="O51" s="1"/>
    </row>
    <row r="52" customFormat="1" customHeight="1" spans="1:15">
      <c r="B52" s="1"/>
      <c r="C52" s="1">
        <v>51</v>
      </c>
      <c r="D52" s="1">
        <v>0</v>
      </c>
      <c r="E52" s="1">
        <v>0</v>
      </c>
      <c r="F52" s="1">
        <v>150000</v>
      </c>
      <c r="G52" s="1">
        <v>2</v>
      </c>
      <c r="H52" s="1" t="s">
        <v>112</v>
      </c>
      <c r="I52" s="1" t="s">
        <v>112</v>
      </c>
      <c r="J52" s="1">
        <v>5</v>
      </c>
      <c r="K52" s="1">
        <v>4112</v>
      </c>
      <c r="L52" s="1">
        <v>1</v>
      </c>
      <c r="M52" s="1">
        <f>F52*G52</f>
        <v>300000</v>
      </c>
      <c r="N52" s="1"/>
      <c r="O52" s="1"/>
    </row>
    <row r="53" customFormat="1" customHeight="1" spans="1:15">
      <c r="A53" s="1"/>
      <c r="B53" s="1"/>
      <c r="C53" s="1">
        <v>52</v>
      </c>
      <c r="D53" s="1">
        <v>0</v>
      </c>
      <c r="E53" s="1">
        <v>10</v>
      </c>
      <c r="F53" s="1">
        <v>80000</v>
      </c>
      <c r="G53" s="1">
        <v>20</v>
      </c>
      <c r="H53" s="1" t="s">
        <v>113</v>
      </c>
      <c r="I53" s="1" t="s">
        <v>114</v>
      </c>
      <c r="J53" s="1">
        <v>5</v>
      </c>
      <c r="K53" s="1">
        <v>4033</v>
      </c>
      <c r="L53" s="1">
        <v>500</v>
      </c>
      <c r="M53" s="1">
        <f>F53*G53</f>
        <v>1600000</v>
      </c>
      <c r="N53" s="1"/>
      <c r="O53" s="1"/>
    </row>
    <row r="54" customFormat="1" customHeight="1" spans="1:15">
      <c r="B54" s="1"/>
      <c r="C54" s="1">
        <v>53</v>
      </c>
      <c r="D54" s="1">
        <v>0</v>
      </c>
      <c r="E54" s="1">
        <v>15</v>
      </c>
      <c r="F54" s="1">
        <v>500000</v>
      </c>
      <c r="G54" s="1">
        <v>3</v>
      </c>
      <c r="H54" s="1" t="s">
        <v>115</v>
      </c>
      <c r="I54" s="1" t="s">
        <v>115</v>
      </c>
      <c r="J54" s="1">
        <v>4</v>
      </c>
      <c r="K54" s="1">
        <v>29</v>
      </c>
      <c r="L54" s="1">
        <v>1</v>
      </c>
      <c r="M54" s="1">
        <f>F54*G54</f>
        <v>1500000</v>
      </c>
      <c r="N54" s="1"/>
      <c r="O54" s="1"/>
    </row>
    <row r="56" customFormat="1" customHeight="1" spans="1: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</row>
    <row r="57" customFormat="1" customHeight="1" spans="1:15">
      <c r="A57" s="1"/>
      <c r="B57" s="1"/>
      <c r="C57" s="1">
        <v>60</v>
      </c>
      <c r="D57" s="1">
        <v>0</v>
      </c>
      <c r="E57" s="1">
        <v>10</v>
      </c>
      <c r="F57" s="1">
        <v>800000</v>
      </c>
      <c r="G57" s="1">
        <v>1</v>
      </c>
      <c r="H57" s="1" t="s">
        <v>116</v>
      </c>
      <c r="I57" s="1" t="s">
        <v>116</v>
      </c>
      <c r="J57" s="1">
        <v>5</v>
      </c>
      <c r="K57" s="1">
        <v>4025</v>
      </c>
      <c r="L57" s="1">
        <v>1</v>
      </c>
      <c r="M57" s="1">
        <f t="shared" ref="M57:M70" si="3">F57*G57</f>
        <v>800000</v>
      </c>
      <c r="N57" s="1"/>
      <c r="O57" s="1"/>
    </row>
    <row r="58" customFormat="1" customHeight="1" spans="1:15">
      <c r="A58" s="1"/>
      <c r="B58" s="1"/>
      <c r="C58" s="1">
        <v>61</v>
      </c>
      <c r="D58" s="1">
        <v>0</v>
      </c>
      <c r="E58" s="1">
        <v>15</v>
      </c>
      <c r="F58" s="1">
        <v>1500000</v>
      </c>
      <c r="G58" s="1">
        <v>1</v>
      </c>
      <c r="H58" s="1" t="s">
        <v>117</v>
      </c>
      <c r="I58" s="1" t="s">
        <v>117</v>
      </c>
      <c r="J58" s="1">
        <v>5</v>
      </c>
      <c r="K58" s="1">
        <v>4041</v>
      </c>
      <c r="L58" s="1">
        <v>1</v>
      </c>
      <c r="M58" s="1">
        <f t="shared" si="3"/>
        <v>1500000</v>
      </c>
      <c r="N58" s="1"/>
      <c r="O58" s="1"/>
    </row>
    <row r="59" s="1" customFormat="1" customHeight="1" spans="1:15">
      <c r="C59" s="1">
        <v>62</v>
      </c>
      <c r="D59" s="1">
        <v>0</v>
      </c>
      <c r="E59" s="1">
        <v>10</v>
      </c>
      <c r="F59" s="1">
        <v>1000000</v>
      </c>
      <c r="G59" s="1">
        <v>1</v>
      </c>
      <c r="H59" s="1" t="s">
        <v>118</v>
      </c>
      <c r="I59" s="1" t="s">
        <v>118</v>
      </c>
      <c r="J59" s="1">
        <v>4</v>
      </c>
      <c r="K59" s="1">
        <v>205</v>
      </c>
      <c r="L59" s="1">
        <v>1</v>
      </c>
      <c r="M59" s="1">
        <f t="shared" si="3"/>
        <v>1000000</v>
      </c>
    </row>
    <row r="60" customFormat="1" customHeight="1" spans="1:15">
      <c r="A60" s="1"/>
      <c r="B60" s="1"/>
      <c r="C60" s="1">
        <v>63</v>
      </c>
      <c r="D60" s="1">
        <v>0</v>
      </c>
      <c r="E60" s="1">
        <v>20</v>
      </c>
      <c r="F60" s="1">
        <v>100000</v>
      </c>
      <c r="G60" s="1">
        <v>10</v>
      </c>
      <c r="H60" s="1" t="s">
        <v>119</v>
      </c>
      <c r="I60" s="1" t="s">
        <v>120</v>
      </c>
      <c r="J60" s="1">
        <v>5</v>
      </c>
      <c r="K60" s="1">
        <v>4040</v>
      </c>
      <c r="L60" s="1">
        <v>500</v>
      </c>
      <c r="M60" s="1">
        <f t="shared" si="3"/>
        <v>1000000</v>
      </c>
      <c r="N60" s="1"/>
      <c r="O60" s="1"/>
    </row>
    <row r="61" s="1" customFormat="1" customHeight="1" spans="1:15">
      <c r="C61" s="1">
        <v>64</v>
      </c>
      <c r="D61" s="1">
        <v>0</v>
      </c>
      <c r="E61" s="1">
        <v>10</v>
      </c>
      <c r="F61" s="1">
        <v>1000000</v>
      </c>
      <c r="G61" s="1">
        <v>1</v>
      </c>
      <c r="H61" s="1" t="s">
        <v>121</v>
      </c>
      <c r="I61" s="1" t="s">
        <v>121</v>
      </c>
      <c r="J61" s="1">
        <v>4</v>
      </c>
      <c r="K61" s="1">
        <v>301</v>
      </c>
      <c r="L61" s="1">
        <v>1</v>
      </c>
      <c r="M61" s="1">
        <f t="shared" si="3"/>
        <v>1000000</v>
      </c>
    </row>
    <row r="62" customFormat="1" customHeight="1" spans="1:15">
      <c r="A62" s="1"/>
      <c r="B62" s="1"/>
      <c r="C62" s="1">
        <v>65</v>
      </c>
      <c r="D62" s="1">
        <v>0</v>
      </c>
      <c r="E62" s="1">
        <v>10</v>
      </c>
      <c r="F62" s="1">
        <v>20000</v>
      </c>
      <c r="G62" s="1">
        <v>200</v>
      </c>
      <c r="H62" s="1" t="s">
        <v>122</v>
      </c>
      <c r="I62" s="1" t="s">
        <v>123</v>
      </c>
      <c r="J62" s="1">
        <v>5</v>
      </c>
      <c r="K62" s="1">
        <v>4035</v>
      </c>
      <c r="L62" s="1">
        <v>1</v>
      </c>
      <c r="M62" s="1">
        <f t="shared" si="3"/>
        <v>4000000</v>
      </c>
      <c r="N62" s="1"/>
      <c r="O62" s="1"/>
    </row>
    <row r="63" s="1" customFormat="1" customHeight="1" spans="1:15">
      <c r="C63" s="1">
        <v>66</v>
      </c>
      <c r="D63" s="1">
        <v>0</v>
      </c>
      <c r="E63" s="1">
        <v>15</v>
      </c>
      <c r="F63" s="1">
        <v>30000</v>
      </c>
      <c r="G63" s="1">
        <v>200</v>
      </c>
      <c r="H63" s="1" t="s">
        <v>124</v>
      </c>
      <c r="I63" s="1" t="s">
        <v>125</v>
      </c>
      <c r="J63" s="1">
        <v>5</v>
      </c>
      <c r="K63" s="1">
        <v>4039</v>
      </c>
      <c r="L63" s="1">
        <v>1</v>
      </c>
      <c r="M63" s="1">
        <f t="shared" si="3"/>
        <v>6000000</v>
      </c>
    </row>
    <row r="64" s="1" customFormat="1" customHeight="1" spans="1:15">
      <c r="C64" s="1">
        <v>67</v>
      </c>
      <c r="D64" s="1">
        <v>0</v>
      </c>
      <c r="E64" s="1">
        <v>20</v>
      </c>
      <c r="F64" s="1">
        <v>30000</v>
      </c>
      <c r="G64" s="1">
        <v>200</v>
      </c>
      <c r="H64" s="1" t="s">
        <v>126</v>
      </c>
      <c r="I64" s="1" t="s">
        <v>127</v>
      </c>
      <c r="J64" s="1">
        <v>5</v>
      </c>
      <c r="K64" s="1">
        <v>4038</v>
      </c>
      <c r="L64" s="1">
        <v>1</v>
      </c>
      <c r="M64" s="1">
        <f t="shared" si="3"/>
        <v>6000000</v>
      </c>
    </row>
    <row r="65" s="1" customFormat="1" customHeight="1" spans="1:15">
      <c r="C65" s="1">
        <v>68</v>
      </c>
      <c r="D65" s="1">
        <v>0</v>
      </c>
      <c r="E65" s="1">
        <v>0</v>
      </c>
      <c r="F65" s="1">
        <v>500</v>
      </c>
      <c r="G65" s="1">
        <v>2000</v>
      </c>
      <c r="H65" s="1" t="s">
        <v>92</v>
      </c>
      <c r="I65" s="1" t="s">
        <v>128</v>
      </c>
      <c r="J65" s="1">
        <v>5</v>
      </c>
      <c r="K65" s="1">
        <v>4022</v>
      </c>
      <c r="L65" s="1">
        <v>100</v>
      </c>
      <c r="M65" s="1">
        <f t="shared" si="3"/>
        <v>1000000</v>
      </c>
    </row>
    <row r="66" s="1" customFormat="1" customHeight="1" spans="1:15">
      <c r="C66" s="1">
        <v>69</v>
      </c>
      <c r="D66" s="1">
        <v>0</v>
      </c>
      <c r="E66" s="1">
        <v>15</v>
      </c>
      <c r="F66" s="1">
        <v>100000</v>
      </c>
      <c r="G66" s="1">
        <v>10</v>
      </c>
      <c r="H66" s="1" t="s">
        <v>129</v>
      </c>
      <c r="I66" s="1" t="s">
        <v>130</v>
      </c>
      <c r="J66" s="1">
        <v>11</v>
      </c>
      <c r="K66" s="1">
        <v>1998001</v>
      </c>
      <c r="L66" s="1">
        <v>1</v>
      </c>
      <c r="M66" s="1">
        <f t="shared" si="3"/>
        <v>1000000</v>
      </c>
    </row>
    <row r="67" customHeight="1" spans="1:15">
      <c r="C67" s="1">
        <v>70</v>
      </c>
      <c r="D67" s="1">
        <v>0</v>
      </c>
      <c r="E67" s="1">
        <v>15</v>
      </c>
      <c r="F67" s="1">
        <v>100000</v>
      </c>
      <c r="G67" s="1">
        <v>10</v>
      </c>
      <c r="H67" s="1" t="s">
        <v>131</v>
      </c>
      <c r="I67" s="1" t="s">
        <v>132</v>
      </c>
      <c r="J67" s="1">
        <v>11</v>
      </c>
      <c r="K67" s="1">
        <v>1998002</v>
      </c>
      <c r="L67" s="1">
        <v>1</v>
      </c>
      <c r="M67" s="1">
        <f t="shared" si="3"/>
        <v>1000000</v>
      </c>
    </row>
    <row r="68" customFormat="1" customHeight="1" spans="1:15">
      <c r="A68" s="1"/>
      <c r="B68" s="1"/>
      <c r="C68" s="1">
        <v>71</v>
      </c>
      <c r="D68" s="1">
        <v>0</v>
      </c>
      <c r="E68" s="1">
        <v>15</v>
      </c>
      <c r="F68" s="1">
        <v>100000</v>
      </c>
      <c r="G68" s="1">
        <v>10</v>
      </c>
      <c r="H68" s="1" t="s">
        <v>133</v>
      </c>
      <c r="I68" s="1" t="s">
        <v>134</v>
      </c>
      <c r="J68" s="1">
        <v>11</v>
      </c>
      <c r="K68" s="1">
        <v>1998003</v>
      </c>
      <c r="L68" s="1">
        <v>1</v>
      </c>
      <c r="M68" s="1">
        <f t="shared" si="3"/>
        <v>1000000</v>
      </c>
      <c r="N68" s="1"/>
      <c r="O68" s="1"/>
    </row>
    <row r="69" customFormat="1" customHeight="1" spans="1:15">
      <c r="A69" s="1"/>
      <c r="B69" s="1"/>
      <c r="C69" s="1">
        <v>72</v>
      </c>
      <c r="D69" s="1">
        <v>0</v>
      </c>
      <c r="E69" s="1">
        <v>15</v>
      </c>
      <c r="F69" s="1">
        <v>100000</v>
      </c>
      <c r="G69" s="1">
        <v>10</v>
      </c>
      <c r="H69" s="1" t="s">
        <v>135</v>
      </c>
      <c r="I69" s="1" t="s">
        <v>136</v>
      </c>
      <c r="J69" s="1">
        <v>11</v>
      </c>
      <c r="K69" s="1">
        <v>1998004</v>
      </c>
      <c r="L69" s="1">
        <v>1</v>
      </c>
      <c r="M69" s="1">
        <f t="shared" si="3"/>
        <v>1000000</v>
      </c>
      <c r="N69" s="1"/>
      <c r="O69" s="1"/>
    </row>
    <row r="70" customFormat="1" customHeight="1" spans="1:15">
      <c r="A70" s="1"/>
      <c r="B70" s="1"/>
      <c r="C70" s="1">
        <v>73</v>
      </c>
      <c r="D70" s="1">
        <v>0</v>
      </c>
      <c r="E70" s="1">
        <v>15</v>
      </c>
      <c r="F70" s="1">
        <v>100000</v>
      </c>
      <c r="G70" s="1">
        <v>10</v>
      </c>
      <c r="H70" s="1" t="s">
        <v>137</v>
      </c>
      <c r="I70" s="1" t="s">
        <v>138</v>
      </c>
      <c r="J70" s="1">
        <v>11</v>
      </c>
      <c r="K70" s="1">
        <v>1998005</v>
      </c>
      <c r="L70" s="1">
        <v>1</v>
      </c>
      <c r="M70" s="1">
        <f t="shared" si="3"/>
        <v>1000000</v>
      </c>
      <c r="N70" s="1"/>
      <c r="O70" s="1"/>
    </row>
    <row r="71" s="1" customFormat="1" customHeight="1" spans="1:15">
      <c r="A71"/>
      <c r="B71"/>
    </row>
    <row r="72" customFormat="1" customHeight="1" spans="1:15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</row>
    <row r="73" customFormat="1" customHeight="1" spans="1:15">
      <c r="B73" s="1"/>
      <c r="C73" s="1">
        <v>102</v>
      </c>
      <c r="D73" s="1">
        <v>1</v>
      </c>
      <c r="E73" s="1">
        <v>0</v>
      </c>
      <c r="F73" s="1">
        <v>100</v>
      </c>
      <c r="G73" s="1">
        <f t="shared" ref="G73:G78" si="4">N73*O77</f>
        <v>300</v>
      </c>
      <c r="H73" s="1" t="s">
        <v>139</v>
      </c>
      <c r="I73" s="1" t="s">
        <v>140</v>
      </c>
      <c r="J73" s="1">
        <v>5</v>
      </c>
      <c r="K73" s="1">
        <v>4007</v>
      </c>
      <c r="L73" s="1">
        <v>1000</v>
      </c>
      <c r="M73" s="1">
        <f t="shared" ref="M73:M80" si="5">F73*G73</f>
        <v>30000</v>
      </c>
      <c r="N73" s="1">
        <v>1</v>
      </c>
      <c r="O73" s="1"/>
    </row>
    <row r="74" customFormat="1" customHeight="1" spans="1:15">
      <c r="B74" s="1"/>
      <c r="C74" s="1">
        <v>103</v>
      </c>
      <c r="D74" s="1">
        <v>1</v>
      </c>
      <c r="E74" s="1">
        <v>0</v>
      </c>
      <c r="F74" s="1">
        <v>100</v>
      </c>
      <c r="G74" s="1">
        <f t="shared" si="4"/>
        <v>500</v>
      </c>
      <c r="H74" s="1" t="s">
        <v>141</v>
      </c>
      <c r="I74" s="1" t="s">
        <v>142</v>
      </c>
      <c r="J74" s="1">
        <v>5</v>
      </c>
      <c r="K74" s="1">
        <v>4101</v>
      </c>
      <c r="L74" s="1">
        <v>1000</v>
      </c>
      <c r="M74" s="1">
        <f t="shared" si="5"/>
        <v>50000</v>
      </c>
      <c r="N74" s="1">
        <v>1</v>
      </c>
      <c r="O74" s="1"/>
    </row>
    <row r="75" customFormat="1" customHeight="1" spans="1:15">
      <c r="B75" s="1"/>
      <c r="C75" s="1">
        <v>104</v>
      </c>
      <c r="D75" s="1">
        <v>1</v>
      </c>
      <c r="E75" s="1">
        <v>0</v>
      </c>
      <c r="F75" s="1">
        <v>1000</v>
      </c>
      <c r="G75" s="1">
        <f t="shared" si="4"/>
        <v>20</v>
      </c>
      <c r="H75" s="1" t="s">
        <v>143</v>
      </c>
      <c r="I75" s="1" t="s">
        <v>144</v>
      </c>
      <c r="J75" s="1">
        <v>15</v>
      </c>
      <c r="K75" s="1">
        <v>4014</v>
      </c>
      <c r="L75" s="1">
        <v>100</v>
      </c>
      <c r="M75" s="1">
        <f t="shared" si="5"/>
        <v>20000</v>
      </c>
      <c r="N75" s="1">
        <v>1</v>
      </c>
      <c r="O75" s="1"/>
    </row>
    <row r="76" customFormat="1" customHeight="1" spans="1:15">
      <c r="B76" s="1"/>
      <c r="C76" s="1">
        <v>105</v>
      </c>
      <c r="D76" s="1">
        <v>1</v>
      </c>
      <c r="E76" s="1">
        <v>1</v>
      </c>
      <c r="F76" s="1">
        <v>15000</v>
      </c>
      <c r="G76" s="1">
        <f t="shared" si="4"/>
        <v>8</v>
      </c>
      <c r="H76" s="1" t="s">
        <v>145</v>
      </c>
      <c r="I76" s="1" t="s">
        <v>146</v>
      </c>
      <c r="J76" s="1">
        <v>5</v>
      </c>
      <c r="K76" s="1">
        <v>4019</v>
      </c>
      <c r="L76" s="1">
        <v>1</v>
      </c>
      <c r="M76" s="1">
        <f t="shared" si="5"/>
        <v>120000</v>
      </c>
      <c r="N76" s="1">
        <v>1</v>
      </c>
      <c r="O76" s="1"/>
    </row>
    <row r="77" customFormat="1" customHeight="1" spans="1:15">
      <c r="A77" s="1"/>
      <c r="B77" s="1"/>
      <c r="C77" s="1">
        <v>106</v>
      </c>
      <c r="D77" s="1">
        <v>1</v>
      </c>
      <c r="E77" s="1">
        <v>0</v>
      </c>
      <c r="F77" s="1">
        <v>500</v>
      </c>
      <c r="G77" s="1">
        <f t="shared" si="4"/>
        <v>40</v>
      </c>
      <c r="H77" s="1" t="s">
        <v>147</v>
      </c>
      <c r="I77" s="1" t="s">
        <v>148</v>
      </c>
      <c r="J77" s="1">
        <v>5</v>
      </c>
      <c r="K77" s="1">
        <v>4001</v>
      </c>
      <c r="L77" s="1">
        <v>1000000</v>
      </c>
      <c r="M77" s="1">
        <f t="shared" si="5"/>
        <v>20000</v>
      </c>
      <c r="N77" s="1">
        <v>1</v>
      </c>
      <c r="O77" s="1">
        <v>300</v>
      </c>
    </row>
    <row r="78" customFormat="1" customHeight="1" spans="1:15">
      <c r="A78" s="1"/>
      <c r="B78" s="1"/>
      <c r="C78" s="1">
        <v>107</v>
      </c>
      <c r="D78" s="1">
        <v>1</v>
      </c>
      <c r="E78" s="1">
        <v>0</v>
      </c>
      <c r="F78" s="1">
        <v>500</v>
      </c>
      <c r="G78" s="1">
        <f t="shared" si="4"/>
        <v>40</v>
      </c>
      <c r="H78" s="1" t="s">
        <v>149</v>
      </c>
      <c r="I78" s="1" t="s">
        <v>150</v>
      </c>
      <c r="J78" s="1">
        <v>5</v>
      </c>
      <c r="K78" s="1">
        <v>4002</v>
      </c>
      <c r="L78" s="1">
        <v>6000000</v>
      </c>
      <c r="M78" s="1">
        <f t="shared" si="5"/>
        <v>20000</v>
      </c>
      <c r="N78" s="1">
        <v>1</v>
      </c>
      <c r="O78" s="1">
        <v>500</v>
      </c>
    </row>
    <row r="79" customFormat="1" customHeight="1" spans="1:15">
      <c r="A79" s="1"/>
      <c r="B79" s="1"/>
      <c r="C79" s="1">
        <v>108</v>
      </c>
      <c r="D79" s="1">
        <v>1</v>
      </c>
      <c r="E79" s="1">
        <v>6</v>
      </c>
      <c r="F79" s="1">
        <v>20000</v>
      </c>
      <c r="G79" s="1">
        <v>10</v>
      </c>
      <c r="H79" s="1" t="s">
        <v>151</v>
      </c>
      <c r="I79" s="1" t="s">
        <v>152</v>
      </c>
      <c r="J79" s="1">
        <v>5</v>
      </c>
      <c r="K79" s="1">
        <v>4026</v>
      </c>
      <c r="L79" s="1">
        <v>1</v>
      </c>
      <c r="M79" s="1">
        <f t="shared" si="5"/>
        <v>200000</v>
      </c>
      <c r="N79" s="1">
        <v>1</v>
      </c>
      <c r="O79" s="1">
        <v>20</v>
      </c>
    </row>
    <row r="80" customFormat="1" customHeight="1" spans="1:15">
      <c r="A80" s="1"/>
      <c r="B80" s="1"/>
      <c r="C80" s="1">
        <v>109</v>
      </c>
      <c r="D80" s="1">
        <v>1</v>
      </c>
      <c r="E80" s="1">
        <v>10</v>
      </c>
      <c r="F80" s="1">
        <v>20000</v>
      </c>
      <c r="G80" s="1">
        <v>10</v>
      </c>
      <c r="H80" s="1" t="s">
        <v>122</v>
      </c>
      <c r="I80" s="1" t="s">
        <v>123</v>
      </c>
      <c r="J80" s="1">
        <v>5</v>
      </c>
      <c r="K80" s="1">
        <v>4035</v>
      </c>
      <c r="L80" s="1">
        <v>1</v>
      </c>
      <c r="M80" s="1">
        <f t="shared" si="5"/>
        <v>200000</v>
      </c>
      <c r="N80" s="1"/>
      <c r="O80" s="1">
        <v>8</v>
      </c>
    </row>
    <row r="81" customFormat="1" customHeight="1" spans="1:15">
      <c r="A81" s="1"/>
      <c r="B8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>
        <v>40</v>
      </c>
    </row>
    <row r="82" s="1" customFormat="1" customHeight="1" spans="1:15">
      <c r="C82" s="1">
        <v>201</v>
      </c>
      <c r="D82" s="1">
        <v>2</v>
      </c>
      <c r="E82" s="1">
        <v>0</v>
      </c>
      <c r="F82" s="5">
        <v>200</v>
      </c>
      <c r="G82" s="1">
        <f t="shared" ref="G82:G87" si="6">N82*O86</f>
        <v>300</v>
      </c>
      <c r="H82" s="1" t="s">
        <v>139</v>
      </c>
      <c r="I82" s="1" t="s">
        <v>140</v>
      </c>
      <c r="J82" s="1">
        <v>5</v>
      </c>
      <c r="K82" s="1">
        <v>4007</v>
      </c>
      <c r="L82" s="1">
        <v>1000</v>
      </c>
      <c r="M82" s="1">
        <f t="shared" ref="M82:M89" si="7">F82*G82</f>
        <v>60000</v>
      </c>
      <c r="N82" s="1">
        <v>1</v>
      </c>
      <c r="O82" s="1">
        <v>40</v>
      </c>
    </row>
    <row r="83" s="1" customFormat="1" customHeight="1" spans="1:15">
      <c r="C83" s="1">
        <v>202</v>
      </c>
      <c r="D83" s="1">
        <v>2</v>
      </c>
      <c r="E83" s="1">
        <v>0</v>
      </c>
      <c r="F83" s="5">
        <v>200</v>
      </c>
      <c r="G83" s="1">
        <f t="shared" si="6"/>
        <v>500</v>
      </c>
      <c r="H83" s="1" t="s">
        <v>141</v>
      </c>
      <c r="I83" s="1" t="s">
        <v>142</v>
      </c>
      <c r="J83" s="1">
        <v>5</v>
      </c>
      <c r="K83" s="1">
        <v>4101</v>
      </c>
      <c r="L83" s="1">
        <v>1000</v>
      </c>
      <c r="M83" s="1">
        <f t="shared" si="7"/>
        <v>100000</v>
      </c>
      <c r="N83" s="1">
        <v>1</v>
      </c>
      <c r="O83" s="1">
        <v>5</v>
      </c>
    </row>
    <row r="84" s="1" customFormat="1" customHeight="1" spans="1:15">
      <c r="C84" s="1">
        <v>203</v>
      </c>
      <c r="D84" s="1">
        <v>2</v>
      </c>
      <c r="E84" s="1">
        <v>0</v>
      </c>
      <c r="F84" s="5">
        <v>2000</v>
      </c>
      <c r="G84" s="1">
        <f t="shared" si="6"/>
        <v>20</v>
      </c>
      <c r="H84" s="1" t="s">
        <v>143</v>
      </c>
      <c r="I84" s="1" t="s">
        <v>144</v>
      </c>
      <c r="J84" s="1">
        <v>15</v>
      </c>
      <c r="K84" s="1">
        <v>4014</v>
      </c>
      <c r="L84" s="1">
        <v>100</v>
      </c>
      <c r="M84" s="1">
        <f t="shared" si="7"/>
        <v>40000</v>
      </c>
      <c r="N84" s="1">
        <v>1</v>
      </c>
    </row>
    <row r="85" s="1" customFormat="1" customHeight="1" spans="1:15">
      <c r="A85"/>
      <c r="C85" s="1">
        <v>204</v>
      </c>
      <c r="D85" s="1">
        <v>2</v>
      </c>
      <c r="E85" s="1">
        <v>1</v>
      </c>
      <c r="F85" s="5">
        <v>30000</v>
      </c>
      <c r="G85" s="1">
        <f t="shared" si="6"/>
        <v>8</v>
      </c>
      <c r="H85" s="1" t="s">
        <v>145</v>
      </c>
      <c r="I85" s="1" t="s">
        <v>146</v>
      </c>
      <c r="J85" s="1">
        <v>5</v>
      </c>
      <c r="K85" s="1">
        <v>4019</v>
      </c>
      <c r="L85" s="1">
        <v>1</v>
      </c>
      <c r="M85" s="1">
        <f t="shared" si="7"/>
        <v>240000</v>
      </c>
      <c r="N85" s="1">
        <v>1</v>
      </c>
    </row>
    <row r="86" s="1" customFormat="1" customHeight="1" spans="1:15">
      <c r="C86" s="1">
        <v>205</v>
      </c>
      <c r="D86" s="1">
        <v>2</v>
      </c>
      <c r="E86" s="1">
        <v>0</v>
      </c>
      <c r="F86" s="5">
        <v>1000</v>
      </c>
      <c r="G86" s="1">
        <f t="shared" si="6"/>
        <v>40</v>
      </c>
      <c r="H86" s="1" t="s">
        <v>147</v>
      </c>
      <c r="I86" s="1" t="s">
        <v>148</v>
      </c>
      <c r="J86" s="1">
        <v>5</v>
      </c>
      <c r="K86" s="1">
        <v>4001</v>
      </c>
      <c r="L86" s="1">
        <v>1000000</v>
      </c>
      <c r="M86" s="1">
        <f t="shared" si="7"/>
        <v>40000</v>
      </c>
      <c r="N86" s="1">
        <v>1</v>
      </c>
      <c r="O86" s="1">
        <v>300</v>
      </c>
    </row>
    <row r="87" s="1" customFormat="1" customHeight="1" spans="1:15">
      <c r="C87" s="1">
        <v>206</v>
      </c>
      <c r="D87" s="1">
        <v>2</v>
      </c>
      <c r="E87" s="1">
        <v>0</v>
      </c>
      <c r="F87" s="5">
        <v>1000</v>
      </c>
      <c r="G87" s="1">
        <f t="shared" si="6"/>
        <v>40</v>
      </c>
      <c r="H87" s="1" t="s">
        <v>149</v>
      </c>
      <c r="I87" s="1" t="s">
        <v>150</v>
      </c>
      <c r="J87" s="1">
        <v>5</v>
      </c>
      <c r="K87" s="1">
        <v>4002</v>
      </c>
      <c r="L87" s="1">
        <v>6000000</v>
      </c>
      <c r="M87" s="1">
        <f t="shared" si="7"/>
        <v>40000</v>
      </c>
      <c r="N87" s="1">
        <v>1</v>
      </c>
      <c r="O87" s="1">
        <v>500</v>
      </c>
    </row>
    <row r="88" s="1" customFormat="1" customHeight="1" spans="1:15">
      <c r="C88" s="1">
        <v>207</v>
      </c>
      <c r="D88" s="1">
        <v>2</v>
      </c>
      <c r="E88" s="1">
        <v>6</v>
      </c>
      <c r="F88" s="1">
        <v>20000</v>
      </c>
      <c r="G88" s="1">
        <v>10</v>
      </c>
      <c r="H88" s="1" t="s">
        <v>151</v>
      </c>
      <c r="I88" s="1" t="s">
        <v>152</v>
      </c>
      <c r="J88" s="1">
        <v>5</v>
      </c>
      <c r="K88" s="1">
        <v>4026</v>
      </c>
      <c r="L88" s="1">
        <v>1</v>
      </c>
      <c r="M88" s="1">
        <f t="shared" si="7"/>
        <v>200000</v>
      </c>
      <c r="N88" s="1">
        <v>1</v>
      </c>
      <c r="O88" s="1">
        <v>20</v>
      </c>
    </row>
    <row r="89" s="1" customFormat="1" customHeight="1" spans="1:15">
      <c r="C89" s="1">
        <v>208</v>
      </c>
      <c r="D89" s="1">
        <v>2</v>
      </c>
      <c r="E89" s="1">
        <v>10</v>
      </c>
      <c r="F89" s="1">
        <v>20000</v>
      </c>
      <c r="G89" s="1">
        <v>10</v>
      </c>
      <c r="H89" s="1" t="s">
        <v>122</v>
      </c>
      <c r="I89" s="1" t="s">
        <v>123</v>
      </c>
      <c r="J89" s="1">
        <v>5</v>
      </c>
      <c r="K89" s="1">
        <v>4035</v>
      </c>
      <c r="L89" s="1">
        <v>1</v>
      </c>
      <c r="M89" s="1">
        <f t="shared" si="7"/>
        <v>200000</v>
      </c>
      <c r="O89" s="1">
        <v>8</v>
      </c>
    </row>
    <row r="90" customFormat="1" customHeight="1" spans="1:15">
      <c r="A90" s="1"/>
      <c r="B90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>
        <v>40</v>
      </c>
    </row>
    <row r="91" s="1" customFormat="1" customHeight="1" spans="1:15">
      <c r="C91" s="1">
        <v>211</v>
      </c>
      <c r="D91" s="1">
        <v>3</v>
      </c>
      <c r="E91" s="1">
        <v>0</v>
      </c>
      <c r="F91" s="1">
        <v>400</v>
      </c>
      <c r="G91" s="1">
        <f t="shared" ref="G91:G96" si="8">N91*O95</f>
        <v>300</v>
      </c>
      <c r="H91" s="1" t="s">
        <v>139</v>
      </c>
      <c r="I91" s="1" t="s">
        <v>140</v>
      </c>
      <c r="J91" s="1">
        <v>5</v>
      </c>
      <c r="K91" s="1">
        <v>4007</v>
      </c>
      <c r="L91" s="1">
        <v>1000</v>
      </c>
      <c r="M91" s="1">
        <f t="shared" ref="M91:M98" si="9">F91*G91</f>
        <v>120000</v>
      </c>
      <c r="N91" s="1">
        <v>1</v>
      </c>
      <c r="O91" s="1">
        <v>40</v>
      </c>
    </row>
    <row r="92" s="1" customFormat="1" customHeight="1" spans="1:15">
      <c r="C92" s="1">
        <v>212</v>
      </c>
      <c r="D92" s="1">
        <v>3</v>
      </c>
      <c r="E92" s="1">
        <v>0</v>
      </c>
      <c r="F92" s="1">
        <v>400</v>
      </c>
      <c r="G92" s="1">
        <f t="shared" si="8"/>
        <v>500</v>
      </c>
      <c r="H92" s="1" t="s">
        <v>141</v>
      </c>
      <c r="I92" s="1" t="s">
        <v>142</v>
      </c>
      <c r="J92" s="1">
        <v>5</v>
      </c>
      <c r="K92" s="1">
        <v>4101</v>
      </c>
      <c r="L92" s="1">
        <v>1000</v>
      </c>
      <c r="M92" s="1">
        <f t="shared" si="9"/>
        <v>200000</v>
      </c>
      <c r="N92" s="1">
        <v>1</v>
      </c>
      <c r="O92" s="1">
        <v>5</v>
      </c>
    </row>
    <row r="93" s="1" customFormat="1" customHeight="1" spans="1:15">
      <c r="C93" s="1">
        <v>213</v>
      </c>
      <c r="D93" s="1">
        <v>3</v>
      </c>
      <c r="E93" s="1">
        <v>0</v>
      </c>
      <c r="F93" s="1">
        <v>4000</v>
      </c>
      <c r="G93" s="1">
        <f t="shared" si="8"/>
        <v>20</v>
      </c>
      <c r="H93" s="1" t="s">
        <v>143</v>
      </c>
      <c r="I93" s="1" t="s">
        <v>144</v>
      </c>
      <c r="J93" s="1">
        <v>15</v>
      </c>
      <c r="K93" s="1">
        <v>4014</v>
      </c>
      <c r="L93" s="1">
        <v>100</v>
      </c>
      <c r="M93" s="1">
        <f t="shared" si="9"/>
        <v>80000</v>
      </c>
      <c r="N93" s="1">
        <v>1</v>
      </c>
    </row>
    <row r="94" s="1" customFormat="1" customHeight="1" spans="1:15">
      <c r="A94"/>
      <c r="C94" s="1">
        <v>214</v>
      </c>
      <c r="D94" s="1">
        <v>3</v>
      </c>
      <c r="E94" s="1">
        <v>1</v>
      </c>
      <c r="F94" s="1">
        <v>45000</v>
      </c>
      <c r="G94" s="1">
        <f t="shared" si="8"/>
        <v>8</v>
      </c>
      <c r="H94" s="1" t="s">
        <v>145</v>
      </c>
      <c r="I94" s="1" t="s">
        <v>146</v>
      </c>
      <c r="J94" s="1">
        <v>5</v>
      </c>
      <c r="K94" s="1">
        <v>4019</v>
      </c>
      <c r="L94" s="1">
        <v>1</v>
      </c>
      <c r="M94" s="1">
        <f t="shared" si="9"/>
        <v>360000</v>
      </c>
      <c r="N94" s="1">
        <v>1</v>
      </c>
    </row>
    <row r="95" s="1" customFormat="1" customHeight="1" spans="1:15">
      <c r="C95" s="1">
        <v>215</v>
      </c>
      <c r="D95" s="1">
        <v>3</v>
      </c>
      <c r="E95" s="1">
        <v>0</v>
      </c>
      <c r="F95" s="1">
        <v>2000</v>
      </c>
      <c r="G95" s="1">
        <f t="shared" si="8"/>
        <v>40</v>
      </c>
      <c r="H95" s="1" t="s">
        <v>147</v>
      </c>
      <c r="I95" s="1" t="s">
        <v>148</v>
      </c>
      <c r="J95" s="1">
        <v>5</v>
      </c>
      <c r="K95" s="1">
        <v>4001</v>
      </c>
      <c r="L95" s="1">
        <v>1000000</v>
      </c>
      <c r="M95" s="1">
        <f t="shared" si="9"/>
        <v>80000</v>
      </c>
      <c r="N95" s="1">
        <v>1</v>
      </c>
      <c r="O95" s="1">
        <v>300</v>
      </c>
    </row>
    <row r="96" s="1" customFormat="1" customHeight="1" spans="1:15">
      <c r="C96" s="1">
        <v>216</v>
      </c>
      <c r="D96" s="1">
        <v>3</v>
      </c>
      <c r="E96" s="1">
        <v>0</v>
      </c>
      <c r="F96" s="1">
        <v>2000</v>
      </c>
      <c r="G96" s="1">
        <f t="shared" si="8"/>
        <v>40</v>
      </c>
      <c r="H96" s="1" t="s">
        <v>149</v>
      </c>
      <c r="I96" s="1" t="s">
        <v>150</v>
      </c>
      <c r="J96" s="1">
        <v>5</v>
      </c>
      <c r="K96" s="1">
        <v>4002</v>
      </c>
      <c r="L96" s="1">
        <v>6000000</v>
      </c>
      <c r="M96" s="1">
        <f t="shared" si="9"/>
        <v>80000</v>
      </c>
      <c r="N96" s="1">
        <v>1</v>
      </c>
      <c r="O96" s="1">
        <v>500</v>
      </c>
    </row>
    <row r="97" s="1" customFormat="1" customHeight="1" spans="1:15">
      <c r="C97" s="1">
        <v>217</v>
      </c>
      <c r="D97" s="1">
        <v>3</v>
      </c>
      <c r="E97" s="1">
        <v>6</v>
      </c>
      <c r="F97" s="1">
        <v>30000</v>
      </c>
      <c r="G97" s="1">
        <v>10</v>
      </c>
      <c r="H97" s="1" t="s">
        <v>151</v>
      </c>
      <c r="I97" s="1" t="s">
        <v>152</v>
      </c>
      <c r="J97" s="1">
        <v>5</v>
      </c>
      <c r="K97" s="1">
        <v>4026</v>
      </c>
      <c r="L97" s="1">
        <v>1</v>
      </c>
      <c r="M97" s="1">
        <f t="shared" si="9"/>
        <v>300000</v>
      </c>
      <c r="N97" s="1">
        <v>1</v>
      </c>
      <c r="O97" s="1">
        <v>20</v>
      </c>
    </row>
    <row r="98" s="1" customFormat="1" customHeight="1" spans="1:15">
      <c r="C98" s="1">
        <v>218</v>
      </c>
      <c r="D98" s="1">
        <v>3</v>
      </c>
      <c r="E98" s="1">
        <v>10</v>
      </c>
      <c r="F98" s="1">
        <v>20000</v>
      </c>
      <c r="G98" s="1">
        <v>10</v>
      </c>
      <c r="H98" s="1" t="s">
        <v>122</v>
      </c>
      <c r="I98" s="1" t="s">
        <v>123</v>
      </c>
      <c r="J98" s="1">
        <v>5</v>
      </c>
      <c r="K98" s="1">
        <v>4035</v>
      </c>
      <c r="L98" s="1">
        <v>1</v>
      </c>
      <c r="M98" s="1">
        <f t="shared" si="9"/>
        <v>200000</v>
      </c>
      <c r="O98" s="1">
        <v>8</v>
      </c>
    </row>
    <row r="99" customFormat="1" customHeight="1" spans="1:15">
      <c r="A99" s="1"/>
      <c r="B99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>
        <v>40</v>
      </c>
    </row>
    <row r="100" s="1" customFormat="1" customHeight="1" spans="1:15">
      <c r="C100" s="1">
        <v>221</v>
      </c>
      <c r="D100" s="1">
        <v>4</v>
      </c>
      <c r="E100" s="1">
        <v>0</v>
      </c>
      <c r="F100" s="5">
        <v>600</v>
      </c>
      <c r="G100" s="1">
        <f t="shared" ref="G100:G105" si="10">N100*O104</f>
        <v>300</v>
      </c>
      <c r="H100" s="1" t="s">
        <v>139</v>
      </c>
      <c r="I100" s="1" t="s">
        <v>140</v>
      </c>
      <c r="J100" s="1">
        <v>5</v>
      </c>
      <c r="K100" s="1">
        <v>4007</v>
      </c>
      <c r="L100" s="1">
        <v>1000</v>
      </c>
      <c r="M100" s="1">
        <f t="shared" ref="M100:M107" si="11">F100*G100</f>
        <v>180000</v>
      </c>
      <c r="N100" s="1">
        <v>1</v>
      </c>
      <c r="O100" s="1">
        <v>40</v>
      </c>
    </row>
    <row r="101" s="1" customFormat="1" customHeight="1" spans="1:15">
      <c r="C101" s="1">
        <v>222</v>
      </c>
      <c r="D101" s="1">
        <v>4</v>
      </c>
      <c r="E101" s="1">
        <v>0</v>
      </c>
      <c r="F101" s="5">
        <v>600</v>
      </c>
      <c r="G101" s="1">
        <f t="shared" si="10"/>
        <v>500</v>
      </c>
      <c r="H101" s="1" t="s">
        <v>141</v>
      </c>
      <c r="I101" s="1" t="s">
        <v>142</v>
      </c>
      <c r="J101" s="1">
        <v>5</v>
      </c>
      <c r="K101" s="1">
        <v>4101</v>
      </c>
      <c r="L101" s="1">
        <v>1000</v>
      </c>
      <c r="M101" s="1">
        <f t="shared" si="11"/>
        <v>300000</v>
      </c>
      <c r="N101" s="1">
        <v>1</v>
      </c>
      <c r="O101" s="1">
        <v>5</v>
      </c>
    </row>
    <row r="102" s="1" customFormat="1" customHeight="1" spans="1:15">
      <c r="C102" s="1">
        <v>223</v>
      </c>
      <c r="D102" s="1">
        <v>4</v>
      </c>
      <c r="E102" s="1">
        <v>0</v>
      </c>
      <c r="F102" s="5">
        <v>6000</v>
      </c>
      <c r="G102" s="1">
        <f t="shared" si="10"/>
        <v>20</v>
      </c>
      <c r="H102" s="1" t="s">
        <v>143</v>
      </c>
      <c r="I102" s="1" t="s">
        <v>144</v>
      </c>
      <c r="J102" s="1">
        <v>15</v>
      </c>
      <c r="K102" s="1">
        <v>4014</v>
      </c>
      <c r="L102" s="1">
        <v>100</v>
      </c>
      <c r="M102" s="1">
        <f t="shared" si="11"/>
        <v>120000</v>
      </c>
      <c r="N102" s="1">
        <v>1</v>
      </c>
    </row>
    <row r="103" s="1" customFormat="1" customHeight="1" spans="1:15">
      <c r="A103"/>
      <c r="C103" s="1">
        <v>224</v>
      </c>
      <c r="D103" s="1">
        <v>4</v>
      </c>
      <c r="E103" s="1">
        <v>1</v>
      </c>
      <c r="F103" s="5">
        <v>60000</v>
      </c>
      <c r="G103" s="1">
        <f t="shared" si="10"/>
        <v>8</v>
      </c>
      <c r="H103" s="1" t="s">
        <v>145</v>
      </c>
      <c r="I103" s="1" t="s">
        <v>146</v>
      </c>
      <c r="J103" s="1">
        <v>5</v>
      </c>
      <c r="K103" s="1">
        <v>4019</v>
      </c>
      <c r="L103" s="1">
        <v>1</v>
      </c>
      <c r="M103" s="1">
        <f t="shared" si="11"/>
        <v>480000</v>
      </c>
      <c r="N103" s="1">
        <v>1</v>
      </c>
    </row>
    <row r="104" s="1" customFormat="1" customHeight="1" spans="1:15">
      <c r="C104" s="1">
        <v>225</v>
      </c>
      <c r="D104" s="1">
        <v>4</v>
      </c>
      <c r="E104" s="1">
        <v>0</v>
      </c>
      <c r="F104" s="5">
        <v>3000</v>
      </c>
      <c r="G104" s="1">
        <f t="shared" si="10"/>
        <v>40</v>
      </c>
      <c r="H104" s="1" t="s">
        <v>147</v>
      </c>
      <c r="I104" s="1" t="s">
        <v>148</v>
      </c>
      <c r="J104" s="1">
        <v>5</v>
      </c>
      <c r="K104" s="1">
        <v>4001</v>
      </c>
      <c r="L104" s="1">
        <v>1000000</v>
      </c>
      <c r="M104" s="1">
        <f t="shared" si="11"/>
        <v>120000</v>
      </c>
      <c r="N104" s="1">
        <v>1</v>
      </c>
      <c r="O104" s="1">
        <v>300</v>
      </c>
    </row>
    <row r="105" s="1" customFormat="1" customHeight="1" spans="1:15">
      <c r="C105" s="1">
        <v>226</v>
      </c>
      <c r="D105" s="1">
        <v>4</v>
      </c>
      <c r="E105" s="1">
        <v>0</v>
      </c>
      <c r="F105" s="5">
        <v>3000</v>
      </c>
      <c r="G105" s="1">
        <f t="shared" si="10"/>
        <v>40</v>
      </c>
      <c r="H105" s="1" t="s">
        <v>149</v>
      </c>
      <c r="I105" s="1" t="s">
        <v>150</v>
      </c>
      <c r="J105" s="1">
        <v>5</v>
      </c>
      <c r="K105" s="1">
        <v>4002</v>
      </c>
      <c r="L105" s="1">
        <v>6000000</v>
      </c>
      <c r="M105" s="1">
        <f t="shared" si="11"/>
        <v>120000</v>
      </c>
      <c r="N105" s="1">
        <v>1</v>
      </c>
      <c r="O105" s="1">
        <v>500</v>
      </c>
    </row>
    <row r="106" s="1" customFormat="1" customHeight="1" spans="1:15">
      <c r="C106" s="1">
        <v>227</v>
      </c>
      <c r="D106" s="1">
        <v>4</v>
      </c>
      <c r="E106" s="1">
        <v>6</v>
      </c>
      <c r="F106" s="1">
        <v>20000</v>
      </c>
      <c r="G106" s="1">
        <v>10</v>
      </c>
      <c r="H106" s="1" t="s">
        <v>151</v>
      </c>
      <c r="I106" s="1" t="s">
        <v>152</v>
      </c>
      <c r="J106" s="1">
        <v>5</v>
      </c>
      <c r="K106" s="1">
        <v>4026</v>
      </c>
      <c r="L106" s="1">
        <v>1</v>
      </c>
      <c r="M106" s="1">
        <f t="shared" si="11"/>
        <v>200000</v>
      </c>
      <c r="N106" s="1">
        <v>1</v>
      </c>
      <c r="O106" s="1">
        <v>20</v>
      </c>
    </row>
    <row r="107" s="1" customFormat="1" customHeight="1" spans="1:15">
      <c r="C107" s="1">
        <v>228</v>
      </c>
      <c r="D107" s="1">
        <v>4</v>
      </c>
      <c r="E107" s="1">
        <v>10</v>
      </c>
      <c r="F107" s="1">
        <v>20000</v>
      </c>
      <c r="G107" s="1">
        <v>10</v>
      </c>
      <c r="H107" s="1" t="s">
        <v>122</v>
      </c>
      <c r="I107" s="1" t="s">
        <v>123</v>
      </c>
      <c r="J107" s="1">
        <v>5</v>
      </c>
      <c r="K107" s="1">
        <v>4035</v>
      </c>
      <c r="L107" s="1">
        <v>1</v>
      </c>
      <c r="M107" s="1">
        <f t="shared" si="11"/>
        <v>200000</v>
      </c>
      <c r="O107" s="1">
        <v>8</v>
      </c>
    </row>
    <row r="108" customFormat="1" customHeight="1" spans="1:15">
      <c r="A108" s="1"/>
      <c r="B108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>
        <v>40</v>
      </c>
    </row>
    <row r="109" s="1" customFormat="1" customHeight="1" spans="1:15">
      <c r="C109" s="1">
        <v>231</v>
      </c>
      <c r="D109" s="1">
        <v>5</v>
      </c>
      <c r="E109" s="1">
        <v>0</v>
      </c>
      <c r="F109" s="1">
        <v>800</v>
      </c>
      <c r="G109" s="1">
        <f t="shared" ref="G109:G114" si="12">N109*O113</f>
        <v>1200</v>
      </c>
      <c r="H109" s="1" t="s">
        <v>139</v>
      </c>
      <c r="I109" s="1" t="s">
        <v>140</v>
      </c>
      <c r="J109" s="1">
        <v>5</v>
      </c>
      <c r="K109" s="1">
        <v>4007</v>
      </c>
      <c r="L109" s="1">
        <v>1000</v>
      </c>
      <c r="M109" s="1">
        <f t="shared" ref="M109:M116" si="13">F109*G109</f>
        <v>960000</v>
      </c>
      <c r="N109" s="1">
        <v>4</v>
      </c>
      <c r="O109" s="1">
        <v>40</v>
      </c>
    </row>
    <row r="110" s="1" customFormat="1" customHeight="1" spans="1:15">
      <c r="C110" s="1">
        <v>232</v>
      </c>
      <c r="D110" s="1">
        <v>5</v>
      </c>
      <c r="E110" s="1">
        <v>0</v>
      </c>
      <c r="F110" s="1">
        <v>800</v>
      </c>
      <c r="G110" s="1">
        <f t="shared" si="12"/>
        <v>2000</v>
      </c>
      <c r="H110" s="1" t="s">
        <v>141</v>
      </c>
      <c r="I110" s="1" t="s">
        <v>142</v>
      </c>
      <c r="J110" s="1">
        <v>5</v>
      </c>
      <c r="K110" s="1">
        <v>4101</v>
      </c>
      <c r="L110" s="1">
        <v>1000</v>
      </c>
      <c r="M110" s="1">
        <f t="shared" si="13"/>
        <v>1600000</v>
      </c>
      <c r="N110" s="1">
        <v>4</v>
      </c>
      <c r="O110" s="1">
        <v>5</v>
      </c>
    </row>
    <row r="111" s="1" customFormat="1" customHeight="1" spans="1:15">
      <c r="C111" s="1">
        <v>233</v>
      </c>
      <c r="D111" s="1">
        <v>5</v>
      </c>
      <c r="E111" s="1">
        <v>0</v>
      </c>
      <c r="F111" s="1">
        <v>8000</v>
      </c>
      <c r="G111" s="1">
        <f t="shared" si="12"/>
        <v>40</v>
      </c>
      <c r="H111" s="1" t="s">
        <v>143</v>
      </c>
      <c r="I111" s="1" t="s">
        <v>144</v>
      </c>
      <c r="J111" s="1">
        <v>15</v>
      </c>
      <c r="K111" s="1">
        <v>4014</v>
      </c>
      <c r="L111" s="1">
        <v>100</v>
      </c>
      <c r="M111" s="1">
        <f t="shared" si="13"/>
        <v>320000</v>
      </c>
      <c r="N111" s="1">
        <v>4</v>
      </c>
    </row>
    <row r="112" s="1" customFormat="1" customHeight="1" spans="1:15">
      <c r="A112"/>
      <c r="C112" s="1">
        <v>234</v>
      </c>
      <c r="D112" s="1">
        <v>5</v>
      </c>
      <c r="E112" s="1">
        <v>1</v>
      </c>
      <c r="F112" s="1">
        <v>75000</v>
      </c>
      <c r="G112" s="1">
        <f t="shared" si="12"/>
        <v>32</v>
      </c>
      <c r="H112" s="1" t="s">
        <v>145</v>
      </c>
      <c r="I112" s="1" t="s">
        <v>146</v>
      </c>
      <c r="J112" s="1">
        <v>5</v>
      </c>
      <c r="K112" s="1">
        <v>4019</v>
      </c>
      <c r="L112" s="1">
        <v>1</v>
      </c>
      <c r="M112" s="1">
        <f t="shared" si="13"/>
        <v>2400000</v>
      </c>
      <c r="N112" s="1">
        <v>4</v>
      </c>
    </row>
    <row r="113" s="1" customFormat="1" customHeight="1" spans="1:15">
      <c r="C113" s="1">
        <v>235</v>
      </c>
      <c r="D113" s="1">
        <v>5</v>
      </c>
      <c r="E113" s="1">
        <v>0</v>
      </c>
      <c r="F113" s="1">
        <v>4000</v>
      </c>
      <c r="G113" s="1">
        <f t="shared" si="12"/>
        <v>160</v>
      </c>
      <c r="H113" s="1" t="s">
        <v>147</v>
      </c>
      <c r="I113" s="1" t="s">
        <v>148</v>
      </c>
      <c r="J113" s="1">
        <v>5</v>
      </c>
      <c r="K113" s="1">
        <v>4001</v>
      </c>
      <c r="L113" s="1">
        <v>1000000</v>
      </c>
      <c r="M113" s="1">
        <f t="shared" si="13"/>
        <v>640000</v>
      </c>
      <c r="N113" s="1">
        <v>4</v>
      </c>
      <c r="O113" s="1">
        <v>300</v>
      </c>
    </row>
    <row r="114" s="1" customFormat="1" customHeight="1" spans="1:15">
      <c r="C114" s="1">
        <v>236</v>
      </c>
      <c r="D114" s="1">
        <v>5</v>
      </c>
      <c r="E114" s="1">
        <v>0</v>
      </c>
      <c r="F114" s="1">
        <v>4000</v>
      </c>
      <c r="G114" s="1">
        <f t="shared" si="12"/>
        <v>160</v>
      </c>
      <c r="H114" s="1" t="s">
        <v>149</v>
      </c>
      <c r="I114" s="1" t="s">
        <v>150</v>
      </c>
      <c r="J114" s="1">
        <v>5</v>
      </c>
      <c r="K114" s="1">
        <v>4002</v>
      </c>
      <c r="L114" s="1">
        <v>6000000</v>
      </c>
      <c r="M114" s="1">
        <f t="shared" si="13"/>
        <v>640000</v>
      </c>
      <c r="N114" s="1">
        <v>4</v>
      </c>
      <c r="O114" s="1">
        <v>500</v>
      </c>
    </row>
    <row r="115" s="1" customFormat="1" customHeight="1" spans="1:15">
      <c r="C115" s="1">
        <v>237</v>
      </c>
      <c r="D115" s="1">
        <v>5</v>
      </c>
      <c r="E115" s="1">
        <v>6</v>
      </c>
      <c r="F115" s="1">
        <v>20000</v>
      </c>
      <c r="G115" s="1">
        <v>10</v>
      </c>
      <c r="H115" s="1" t="s">
        <v>151</v>
      </c>
      <c r="I115" s="1" t="s">
        <v>152</v>
      </c>
      <c r="J115" s="1">
        <v>5</v>
      </c>
      <c r="K115" s="1">
        <v>4026</v>
      </c>
      <c r="L115" s="1">
        <v>1</v>
      </c>
      <c r="M115" s="1">
        <f t="shared" si="13"/>
        <v>200000</v>
      </c>
      <c r="N115" s="1">
        <v>1</v>
      </c>
      <c r="O115" s="1">
        <v>10</v>
      </c>
    </row>
    <row r="116" s="1" customFormat="1" customHeight="1" spans="1:15">
      <c r="C116" s="1">
        <v>238</v>
      </c>
      <c r="D116" s="1">
        <v>5</v>
      </c>
      <c r="E116" s="1">
        <v>10</v>
      </c>
      <c r="F116" s="1">
        <v>20000</v>
      </c>
      <c r="G116" s="1">
        <v>10</v>
      </c>
      <c r="H116" s="1" t="s">
        <v>122</v>
      </c>
      <c r="I116" s="1" t="s">
        <v>123</v>
      </c>
      <c r="J116" s="1">
        <v>5</v>
      </c>
      <c r="K116" s="1">
        <v>4035</v>
      </c>
      <c r="L116" s="1">
        <v>1</v>
      </c>
      <c r="M116" s="1">
        <f t="shared" si="13"/>
        <v>200000</v>
      </c>
      <c r="O116" s="1">
        <v>8</v>
      </c>
    </row>
    <row r="117" customFormat="1" customHeight="1" spans="1:15">
      <c r="A117" s="1"/>
      <c r="B117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/>
      <c r="O117" s="1">
        <v>40</v>
      </c>
    </row>
    <row r="118" s="1" customFormat="1" customHeight="1" spans="1:15">
      <c r="C118" s="1">
        <v>999</v>
      </c>
      <c r="D118" s="1">
        <v>0</v>
      </c>
      <c r="E118" s="1">
        <v>0</v>
      </c>
      <c r="F118" s="1">
        <v>1000</v>
      </c>
      <c r="G118" s="1">
        <v>50</v>
      </c>
      <c r="H118" s="1" t="s">
        <v>153</v>
      </c>
      <c r="I118" s="1" t="s">
        <v>154</v>
      </c>
      <c r="J118" s="1">
        <v>5</v>
      </c>
      <c r="K118" s="1">
        <v>4006</v>
      </c>
      <c r="L118" s="1">
        <v>1000</v>
      </c>
      <c r="M118" s="1">
        <f t="shared" ref="M118:M120" si="14">F118*G118</f>
        <v>50000</v>
      </c>
      <c r="O118" s="1">
        <v>40</v>
      </c>
    </row>
    <row r="119" s="1" customFormat="1" customHeight="1" spans="1:15">
      <c r="C119" s="1">
        <v>1000</v>
      </c>
      <c r="D119" s="1">
        <v>0</v>
      </c>
      <c r="E119" s="1">
        <v>0</v>
      </c>
      <c r="F119" s="1">
        <v>2000</v>
      </c>
      <c r="G119" s="1">
        <v>1000</v>
      </c>
      <c r="H119" s="1" t="s">
        <v>155</v>
      </c>
      <c r="I119" s="1" t="s">
        <v>156</v>
      </c>
      <c r="J119" s="1">
        <v>5</v>
      </c>
      <c r="K119" s="1">
        <v>4010</v>
      </c>
      <c r="L119" s="1">
        <v>5</v>
      </c>
      <c r="M119" s="1">
        <f t="shared" si="14"/>
        <v>2000000</v>
      </c>
      <c r="O119" s="1">
        <v>5</v>
      </c>
    </row>
    <row r="120" s="1" customFormat="1" customHeight="1" spans="1:15">
      <c r="C120" s="1">
        <v>1001</v>
      </c>
      <c r="D120" s="1">
        <v>0</v>
      </c>
      <c r="E120" s="1">
        <v>0</v>
      </c>
      <c r="F120" s="1">
        <v>2000</v>
      </c>
      <c r="G120" s="1">
        <v>50</v>
      </c>
      <c r="H120" s="1" t="s">
        <v>157</v>
      </c>
      <c r="I120" s="1" t="s">
        <v>158</v>
      </c>
      <c r="J120" s="1">
        <v>5</v>
      </c>
      <c r="K120" s="1">
        <v>4102</v>
      </c>
      <c r="L120" s="1">
        <v>20</v>
      </c>
      <c r="M120" s="1">
        <f t="shared" si="14"/>
        <v>100000</v>
      </c>
    </row>
    <row r="121" s="1" customFormat="1" customHeight="1" spans="1:15">
      <c r="A12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/>
    </row>
    <row r="126" customFormat="1" customHeight="1" spans="1: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2026-06-01T13:10:23Z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
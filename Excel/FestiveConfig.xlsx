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<sst xmlns="http://schemas.openxmlformats.org/spreadsheetml/2006/main" count="207" uniqueCount="101">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</sst>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4"/>
  <sheetViews>
    <sheetView tabSelected="1" topLeftCell="A20" workbookViewId="0">
      <selection activeCell="D36" sqref="D36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18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9000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4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1:12">
      <c r="A29" s="1" t="s">
        <v>0</v>
      </c>
      <c r="B29" s="1" t="s">
        <v>0</v>
      </c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0" customHeight="1" spans="3:12">
      <c r="C30" s="1">
        <v>25</v>
      </c>
      <c r="D30" s="1">
        <v>0</v>
      </c>
      <c r="E30" s="6" t="s">
        <v>70</v>
      </c>
      <c r="F30" s="1">
        <v>100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500000</v>
      </c>
    </row>
    <row r="31" s="1" customFormat="1" customHeight="1" spans="3:12">
      <c r="C31" s="1">
        <v>26</v>
      </c>
      <c r="D31" s="1">
        <v>0</v>
      </c>
      <c r="E31" s="6" t="s">
        <v>70</v>
      </c>
      <c r="F31" s="1">
        <v>100</v>
      </c>
      <c r="G31" s="1" t="s">
        <v>73</v>
      </c>
      <c r="H31" s="1" t="s">
        <v>74</v>
      </c>
      <c r="I31" s="1">
        <v>5</v>
      </c>
      <c r="J31" s="1">
        <v>4022</v>
      </c>
      <c r="K31" s="1">
        <v>100</v>
      </c>
      <c r="L31" s="1">
        <f t="shared" si="1"/>
        <v>500000</v>
      </c>
    </row>
    <row r="32" s="1" customFormat="1" customHeight="1" spans="3:12">
      <c r="C32" s="1">
        <v>27</v>
      </c>
      <c r="D32" s="1">
        <v>0</v>
      </c>
      <c r="E32" s="1">
        <v>3000</v>
      </c>
      <c r="F32" s="1">
        <v>50</v>
      </c>
      <c r="G32" s="1" t="s">
        <v>75</v>
      </c>
      <c r="H32" s="1" t="s">
        <v>76</v>
      </c>
      <c r="I32" s="1">
        <v>5</v>
      </c>
      <c r="J32" s="1">
        <v>4011</v>
      </c>
      <c r="K32" s="1">
        <v>1</v>
      </c>
      <c r="L32" s="1">
        <f t="shared" si="1"/>
        <v>150000</v>
      </c>
    </row>
    <row r="33" s="1" customFormat="1" customHeight="1" spans="3:12">
      <c r="C33" s="1">
        <v>28</v>
      </c>
      <c r="D33" s="1">
        <v>0</v>
      </c>
      <c r="E33" s="1">
        <v>20000</v>
      </c>
      <c r="F33" s="1">
        <v>20</v>
      </c>
      <c r="G33" s="1" t="s">
        <v>77</v>
      </c>
      <c r="H33" s="1" t="s">
        <v>78</v>
      </c>
      <c r="I33" s="1">
        <v>5</v>
      </c>
      <c r="J33" s="1">
        <v>4020</v>
      </c>
      <c r="K33" s="1">
        <v>1</v>
      </c>
      <c r="L33" s="1">
        <f t="shared" si="1"/>
        <v>400000</v>
      </c>
    </row>
    <row r="34" s="1" customFormat="1" customHeight="1" spans="3:12">
      <c r="C34" s="1">
        <v>29</v>
      </c>
      <c r="D34" s="1">
        <v>0</v>
      </c>
      <c r="E34" s="1">
        <v>488888</v>
      </c>
      <c r="F34" s="1">
        <v>1</v>
      </c>
      <c r="G34" s="1" t="s">
        <v>79</v>
      </c>
      <c r="H34" s="1" t="s">
        <v>80</v>
      </c>
      <c r="I34" s="1">
        <v>4</v>
      </c>
      <c r="J34" s="1">
        <v>204</v>
      </c>
      <c r="K34" s="1">
        <v>1</v>
      </c>
      <c r="L34" s="1">
        <f t="shared" si="1"/>
        <v>488888</v>
      </c>
    </row>
    <row r="36" customHeight="1" spans="3:13">
      <c r="C36" s="1">
        <v>101</v>
      </c>
      <c r="D36" s="1">
        <v>1</v>
      </c>
      <c r="E36" s="1">
        <v>500</v>
      </c>
      <c r="F36" s="1">
        <f>20*M36</f>
        <v>20</v>
      </c>
      <c r="G36" s="1" t="s">
        <v>81</v>
      </c>
      <c r="H36" s="1" t="s">
        <v>82</v>
      </c>
      <c r="I36" s="1">
        <v>5</v>
      </c>
      <c r="J36" s="1">
        <v>4010</v>
      </c>
      <c r="K36" s="1">
        <v>5</v>
      </c>
      <c r="L36" s="1">
        <f t="shared" ref="L36:L44" si="2">E36*F36</f>
        <v>10000</v>
      </c>
      <c r="M36" s="1">
        <v>1</v>
      </c>
    </row>
    <row r="37" customHeight="1" spans="3:13">
      <c r="C37" s="1">
        <v>102</v>
      </c>
      <c r="D37" s="1">
        <v>1</v>
      </c>
      <c r="E37" s="1">
        <v>100</v>
      </c>
      <c r="F37" s="1">
        <f>300*M36</f>
        <v>300</v>
      </c>
      <c r="G37" s="1" t="s">
        <v>83</v>
      </c>
      <c r="H37" s="1" t="s">
        <v>84</v>
      </c>
      <c r="I37" s="1">
        <v>5</v>
      </c>
      <c r="J37" s="1">
        <v>4007</v>
      </c>
      <c r="K37" s="1">
        <v>1000</v>
      </c>
      <c r="L37" s="1">
        <f t="shared" si="2"/>
        <v>30000</v>
      </c>
      <c r="M37" s="1">
        <v>1</v>
      </c>
    </row>
    <row r="38" customHeight="1" spans="3:13">
      <c r="C38" s="1">
        <v>103</v>
      </c>
      <c r="D38" s="1">
        <v>1</v>
      </c>
      <c r="E38" s="1">
        <v>100</v>
      </c>
      <c r="F38" s="1">
        <f>500*M36</f>
        <v>500</v>
      </c>
      <c r="G38" s="1" t="s">
        <v>85</v>
      </c>
      <c r="H38" s="1" t="s">
        <v>86</v>
      </c>
      <c r="I38" s="1">
        <v>5</v>
      </c>
      <c r="J38" s="1">
        <v>4101</v>
      </c>
      <c r="K38" s="1">
        <v>1000</v>
      </c>
      <c r="L38" s="1">
        <f t="shared" si="2"/>
        <v>50000</v>
      </c>
      <c r="M38" s="1">
        <v>1</v>
      </c>
    </row>
    <row r="39" customHeight="1" spans="3:13">
      <c r="C39" s="1">
        <v>104</v>
      </c>
      <c r="D39" s="1">
        <v>1</v>
      </c>
      <c r="E39" s="1">
        <v>1000</v>
      </c>
      <c r="F39" s="1">
        <f>6*M36</f>
        <v>6</v>
      </c>
      <c r="G39" s="1" t="s">
        <v>87</v>
      </c>
      <c r="H39" s="1" t="s">
        <v>88</v>
      </c>
      <c r="I39" s="1">
        <v>15</v>
      </c>
      <c r="J39" s="1">
        <v>4014</v>
      </c>
      <c r="K39" s="1">
        <v>100</v>
      </c>
      <c r="L39" s="1">
        <f t="shared" si="2"/>
        <v>6000</v>
      </c>
      <c r="M39" s="1">
        <v>1</v>
      </c>
    </row>
    <row r="40" customHeight="1" spans="3:13">
      <c r="C40" s="1">
        <v>105</v>
      </c>
      <c r="D40" s="1">
        <v>1</v>
      </c>
      <c r="E40" s="1">
        <v>500</v>
      </c>
      <c r="F40" s="1">
        <f>20*M36</f>
        <v>20</v>
      </c>
      <c r="G40" s="1" t="s">
        <v>89</v>
      </c>
      <c r="H40" s="1" t="s">
        <v>90</v>
      </c>
      <c r="I40" s="1">
        <v>5</v>
      </c>
      <c r="J40" s="1">
        <v>4012</v>
      </c>
      <c r="K40" s="1">
        <v>200</v>
      </c>
      <c r="L40" s="1">
        <f t="shared" si="2"/>
        <v>10000</v>
      </c>
      <c r="M40" s="1">
        <v>1</v>
      </c>
    </row>
    <row r="41" customHeight="1" spans="3:13">
      <c r="C41" s="1">
        <v>106</v>
      </c>
      <c r="D41" s="1">
        <v>1</v>
      </c>
      <c r="E41" s="1">
        <v>15000</v>
      </c>
      <c r="F41" s="1">
        <f>5*M36</f>
        <v>5</v>
      </c>
      <c r="G41" s="1" t="s">
        <v>91</v>
      </c>
      <c r="H41" s="1" t="s">
        <v>92</v>
      </c>
      <c r="I41" s="1">
        <v>5</v>
      </c>
      <c r="J41" s="1">
        <v>4019</v>
      </c>
      <c r="K41" s="1">
        <v>1</v>
      </c>
      <c r="L41" s="1">
        <f t="shared" si="2"/>
        <v>75000</v>
      </c>
      <c r="M41" s="1">
        <v>1</v>
      </c>
    </row>
    <row r="42" customHeight="1" spans="3:13">
      <c r="C42" s="1">
        <v>107</v>
      </c>
      <c r="D42" s="1">
        <v>1</v>
      </c>
      <c r="E42" s="1">
        <v>500</v>
      </c>
      <c r="F42" s="1">
        <f>10*M36</f>
        <v>10</v>
      </c>
      <c r="G42" s="1" t="s">
        <v>93</v>
      </c>
      <c r="H42" s="1" t="s">
        <v>94</v>
      </c>
      <c r="I42" s="1">
        <v>5</v>
      </c>
      <c r="J42" s="1">
        <v>4102</v>
      </c>
      <c r="K42" s="1">
        <v>20</v>
      </c>
      <c r="L42" s="1">
        <f t="shared" si="2"/>
        <v>5000</v>
      </c>
      <c r="M42" s="1">
        <v>1</v>
      </c>
    </row>
    <row r="43" customHeight="1" spans="3:13">
      <c r="C43" s="1">
        <v>108</v>
      </c>
      <c r="D43" s="1">
        <v>1</v>
      </c>
      <c r="E43" s="1">
        <v>500</v>
      </c>
      <c r="F43" s="1">
        <f>40*M36</f>
        <v>40</v>
      </c>
      <c r="G43" s="1" t="s">
        <v>95</v>
      </c>
      <c r="H43" s="1" t="s">
        <v>96</v>
      </c>
      <c r="I43" s="1">
        <v>5</v>
      </c>
      <c r="J43" s="1">
        <v>4001</v>
      </c>
      <c r="K43" s="1">
        <v>1000000</v>
      </c>
      <c r="L43" s="1">
        <f t="shared" si="2"/>
        <v>20000</v>
      </c>
      <c r="M43" s="1">
        <v>1</v>
      </c>
    </row>
    <row r="44" customHeight="1" spans="3:13">
      <c r="C44" s="1">
        <v>109</v>
      </c>
      <c r="D44" s="1">
        <v>1</v>
      </c>
      <c r="E44" s="1">
        <v>500</v>
      </c>
      <c r="F44" s="1">
        <f>40*M36</f>
        <v>40</v>
      </c>
      <c r="G44" s="1" t="s">
        <v>97</v>
      </c>
      <c r="H44" s="1" t="s">
        <v>98</v>
      </c>
      <c r="I44" s="1">
        <v>5</v>
      </c>
      <c r="J44" s="1">
        <v>4002</v>
      </c>
      <c r="K44" s="1">
        <v>6000000</v>
      </c>
      <c r="L44" s="1">
        <f t="shared" si="2"/>
        <v>20000</v>
      </c>
      <c r="M44" s="1">
        <v>1</v>
      </c>
    </row>
    <row r="46" customHeight="1" spans="3:13">
      <c r="C46" s="1">
        <v>201</v>
      </c>
      <c r="D46" s="1">
        <v>2</v>
      </c>
      <c r="E46" s="4">
        <v>1000</v>
      </c>
      <c r="F46" s="1">
        <f>20*M46</f>
        <v>20</v>
      </c>
      <c r="G46" s="1" t="s">
        <v>81</v>
      </c>
      <c r="H46" s="1" t="s">
        <v>82</v>
      </c>
      <c r="I46" s="1">
        <v>5</v>
      </c>
      <c r="J46" s="1">
        <v>4010</v>
      </c>
      <c r="K46" s="1">
        <v>5</v>
      </c>
      <c r="L46" s="1">
        <f t="shared" ref="L46:L81" si="3">E46*F46</f>
        <v>20000</v>
      </c>
      <c r="M46" s="1">
        <v>1</v>
      </c>
    </row>
    <row r="47" customHeight="1" spans="3:13">
      <c r="C47" s="1">
        <v>202</v>
      </c>
      <c r="D47" s="1">
        <v>2</v>
      </c>
      <c r="E47" s="4">
        <v>200</v>
      </c>
      <c r="F47" s="1">
        <f>300*M46</f>
        <v>300</v>
      </c>
      <c r="G47" s="1" t="s">
        <v>83</v>
      </c>
      <c r="H47" s="1" t="s">
        <v>84</v>
      </c>
      <c r="I47" s="1">
        <v>5</v>
      </c>
      <c r="J47" s="1">
        <v>4007</v>
      </c>
      <c r="K47" s="1">
        <v>1000</v>
      </c>
      <c r="L47" s="1">
        <f t="shared" si="3"/>
        <v>60000</v>
      </c>
      <c r="M47" s="1">
        <v>1</v>
      </c>
    </row>
    <row r="48" customHeight="1" spans="3:13">
      <c r="C48" s="1">
        <v>203</v>
      </c>
      <c r="D48" s="1">
        <v>2</v>
      </c>
      <c r="E48" s="4">
        <v>200</v>
      </c>
      <c r="F48" s="1">
        <f>500*M46</f>
        <v>500</v>
      </c>
      <c r="G48" s="1" t="s">
        <v>85</v>
      </c>
      <c r="H48" s="1" t="s">
        <v>86</v>
      </c>
      <c r="I48" s="1">
        <v>5</v>
      </c>
      <c r="J48" s="1">
        <v>4101</v>
      </c>
      <c r="K48" s="1">
        <v>1000</v>
      </c>
      <c r="L48" s="1">
        <f t="shared" si="3"/>
        <v>100000</v>
      </c>
      <c r="M48" s="1">
        <v>1</v>
      </c>
    </row>
    <row r="49" customHeight="1" spans="3:13">
      <c r="C49" s="1">
        <v>204</v>
      </c>
      <c r="D49" s="1">
        <v>2</v>
      </c>
      <c r="E49" s="4">
        <v>2000</v>
      </c>
      <c r="F49" s="1">
        <f>6*M46</f>
        <v>6</v>
      </c>
      <c r="G49" s="1" t="s">
        <v>87</v>
      </c>
      <c r="H49" s="1" t="s">
        <v>88</v>
      </c>
      <c r="I49" s="1">
        <v>15</v>
      </c>
      <c r="J49" s="1">
        <v>4014</v>
      </c>
      <c r="K49" s="1">
        <v>100</v>
      </c>
      <c r="L49" s="1">
        <f t="shared" si="3"/>
        <v>12000</v>
      </c>
      <c r="M49" s="1">
        <v>1</v>
      </c>
    </row>
    <row r="50" customHeight="1" spans="3:13">
      <c r="C50" s="1">
        <v>205</v>
      </c>
      <c r="D50" s="1">
        <v>2</v>
      </c>
      <c r="E50" s="4">
        <v>1000</v>
      </c>
      <c r="F50" s="1">
        <f>20*M46</f>
        <v>20</v>
      </c>
      <c r="G50" s="1" t="s">
        <v>89</v>
      </c>
      <c r="H50" s="1" t="s">
        <v>90</v>
      </c>
      <c r="I50" s="1">
        <v>5</v>
      </c>
      <c r="J50" s="1">
        <v>4012</v>
      </c>
      <c r="K50" s="1">
        <v>200</v>
      </c>
      <c r="L50" s="1">
        <f t="shared" si="3"/>
        <v>20000</v>
      </c>
      <c r="M50" s="1">
        <v>1</v>
      </c>
    </row>
    <row r="51" customHeight="1" spans="3:13">
      <c r="C51" s="1">
        <v>206</v>
      </c>
      <c r="D51" s="1">
        <v>2</v>
      </c>
      <c r="E51" s="4">
        <v>30000</v>
      </c>
      <c r="F51" s="1">
        <f>5*M46</f>
        <v>5</v>
      </c>
      <c r="G51" s="1" t="s">
        <v>91</v>
      </c>
      <c r="H51" s="1" t="s">
        <v>92</v>
      </c>
      <c r="I51" s="1">
        <v>5</v>
      </c>
      <c r="J51" s="1">
        <v>4019</v>
      </c>
      <c r="K51" s="1">
        <v>1</v>
      </c>
      <c r="L51" s="1">
        <f t="shared" si="3"/>
        <v>150000</v>
      </c>
      <c r="M51" s="1">
        <v>1</v>
      </c>
    </row>
    <row r="52" customHeight="1" spans="3:13">
      <c r="C52" s="1">
        <v>207</v>
      </c>
      <c r="D52" s="1">
        <v>2</v>
      </c>
      <c r="E52" s="4">
        <v>1000</v>
      </c>
      <c r="F52" s="1">
        <f>10*M46</f>
        <v>10</v>
      </c>
      <c r="G52" s="1" t="s">
        <v>93</v>
      </c>
      <c r="H52" s="1" t="s">
        <v>94</v>
      </c>
      <c r="I52" s="1">
        <v>5</v>
      </c>
      <c r="J52" s="1">
        <v>4102</v>
      </c>
      <c r="K52" s="1">
        <v>20</v>
      </c>
      <c r="L52" s="1">
        <f t="shared" si="3"/>
        <v>10000</v>
      </c>
      <c r="M52" s="1">
        <v>1</v>
      </c>
    </row>
    <row r="53" customHeight="1" spans="3:13">
      <c r="C53" s="1">
        <v>208</v>
      </c>
      <c r="D53" s="1">
        <v>2</v>
      </c>
      <c r="E53" s="4">
        <v>1000</v>
      </c>
      <c r="F53" s="1">
        <f>40*M46</f>
        <v>40</v>
      </c>
      <c r="G53" s="1" t="s">
        <v>95</v>
      </c>
      <c r="H53" s="1" t="s">
        <v>96</v>
      </c>
      <c r="I53" s="1">
        <v>5</v>
      </c>
      <c r="J53" s="1">
        <v>4001</v>
      </c>
      <c r="K53" s="1">
        <v>1000000</v>
      </c>
      <c r="L53" s="1">
        <f t="shared" si="3"/>
        <v>40000</v>
      </c>
      <c r="M53" s="1">
        <v>1</v>
      </c>
    </row>
    <row r="54" customHeight="1" spans="3:13">
      <c r="C54" s="1">
        <v>209</v>
      </c>
      <c r="D54" s="1">
        <v>2</v>
      </c>
      <c r="E54" s="4">
        <v>1000</v>
      </c>
      <c r="F54" s="1">
        <f>40*M46</f>
        <v>40</v>
      </c>
      <c r="G54" s="1" t="s">
        <v>97</v>
      </c>
      <c r="H54" s="1" t="s">
        <v>98</v>
      </c>
      <c r="I54" s="1">
        <v>5</v>
      </c>
      <c r="J54" s="1">
        <v>4002</v>
      </c>
      <c r="K54" s="1">
        <v>6000000</v>
      </c>
      <c r="L54" s="1">
        <f t="shared" si="3"/>
        <v>40000</v>
      </c>
      <c r="M54" s="1">
        <v>1</v>
      </c>
    </row>
    <row r="55" customHeight="1" spans="3:13">
      <c r="C55" s="1">
        <v>210</v>
      </c>
      <c r="D55" s="1">
        <v>3</v>
      </c>
      <c r="E55" s="1">
        <v>2000</v>
      </c>
      <c r="F55" s="1">
        <f>20*M55</f>
        <v>20</v>
      </c>
      <c r="G55" s="1" t="s">
        <v>81</v>
      </c>
      <c r="H55" s="1" t="s">
        <v>82</v>
      </c>
      <c r="I55" s="1">
        <v>5</v>
      </c>
      <c r="J55" s="1">
        <v>4010</v>
      </c>
      <c r="K55" s="1">
        <v>5</v>
      </c>
      <c r="L55" s="1">
        <f t="shared" si="3"/>
        <v>40000</v>
      </c>
      <c r="M55" s="1">
        <v>1</v>
      </c>
    </row>
    <row r="56" customHeight="1" spans="3:13">
      <c r="C56" s="1">
        <v>211</v>
      </c>
      <c r="D56" s="1">
        <v>3</v>
      </c>
      <c r="E56" s="1">
        <v>400</v>
      </c>
      <c r="F56" s="1">
        <f>300*M55</f>
        <v>300</v>
      </c>
      <c r="G56" s="1" t="s">
        <v>83</v>
      </c>
      <c r="H56" s="1" t="s">
        <v>84</v>
      </c>
      <c r="I56" s="1">
        <v>5</v>
      </c>
      <c r="J56" s="1">
        <v>4007</v>
      </c>
      <c r="K56" s="1">
        <v>1000</v>
      </c>
      <c r="L56" s="1">
        <f t="shared" si="3"/>
        <v>120000</v>
      </c>
      <c r="M56" s="1">
        <v>1</v>
      </c>
    </row>
    <row r="57" customHeight="1" spans="3:13">
      <c r="C57" s="1">
        <v>212</v>
      </c>
      <c r="D57" s="1">
        <v>3</v>
      </c>
      <c r="E57" s="1">
        <v>400</v>
      </c>
      <c r="F57" s="1">
        <f>500*M55</f>
        <v>500</v>
      </c>
      <c r="G57" s="1" t="s">
        <v>85</v>
      </c>
      <c r="H57" s="1" t="s">
        <v>86</v>
      </c>
      <c r="I57" s="1">
        <v>5</v>
      </c>
      <c r="J57" s="1">
        <v>4101</v>
      </c>
      <c r="K57" s="1">
        <v>1000</v>
      </c>
      <c r="L57" s="1">
        <f t="shared" si="3"/>
        <v>200000</v>
      </c>
      <c r="M57" s="1">
        <v>1</v>
      </c>
    </row>
    <row r="58" customHeight="1" spans="3:13">
      <c r="C58" s="1">
        <v>213</v>
      </c>
      <c r="D58" s="1">
        <v>3</v>
      </c>
      <c r="E58" s="1">
        <v>4000</v>
      </c>
      <c r="F58" s="1">
        <f>6*M55</f>
        <v>6</v>
      </c>
      <c r="G58" s="1" t="s">
        <v>87</v>
      </c>
      <c r="H58" s="1" t="s">
        <v>88</v>
      </c>
      <c r="I58" s="1">
        <v>15</v>
      </c>
      <c r="J58" s="1">
        <v>4014</v>
      </c>
      <c r="K58" s="1">
        <v>100</v>
      </c>
      <c r="L58" s="1">
        <f t="shared" si="3"/>
        <v>24000</v>
      </c>
      <c r="M58" s="1">
        <v>1</v>
      </c>
    </row>
    <row r="59" customHeight="1" spans="3:13">
      <c r="C59" s="1">
        <v>214</v>
      </c>
      <c r="D59" s="1">
        <v>3</v>
      </c>
      <c r="E59" s="1">
        <v>2000</v>
      </c>
      <c r="F59" s="1">
        <f>20*M55</f>
        <v>20</v>
      </c>
      <c r="G59" s="1" t="s">
        <v>89</v>
      </c>
      <c r="H59" s="1" t="s">
        <v>90</v>
      </c>
      <c r="I59" s="1">
        <v>5</v>
      </c>
      <c r="J59" s="1">
        <v>4012</v>
      </c>
      <c r="K59" s="1">
        <v>200</v>
      </c>
      <c r="L59" s="1">
        <f t="shared" si="3"/>
        <v>40000</v>
      </c>
      <c r="M59" s="1">
        <v>1</v>
      </c>
    </row>
    <row r="60" customHeight="1" spans="3:13">
      <c r="C60" s="1">
        <v>215</v>
      </c>
      <c r="D60" s="1">
        <v>3</v>
      </c>
      <c r="E60" s="1">
        <v>45000</v>
      </c>
      <c r="F60" s="1">
        <f>5*M55</f>
        <v>5</v>
      </c>
      <c r="G60" s="1" t="s">
        <v>91</v>
      </c>
      <c r="H60" s="1" t="s">
        <v>92</v>
      </c>
      <c r="I60" s="1">
        <v>5</v>
      </c>
      <c r="J60" s="1">
        <v>4019</v>
      </c>
      <c r="K60" s="1">
        <v>1</v>
      </c>
      <c r="L60" s="1">
        <f t="shared" si="3"/>
        <v>225000</v>
      </c>
      <c r="M60" s="1">
        <v>1</v>
      </c>
    </row>
    <row r="61" customHeight="1" spans="3:13">
      <c r="C61" s="1">
        <v>216</v>
      </c>
      <c r="D61" s="1">
        <v>3</v>
      </c>
      <c r="E61" s="1">
        <v>2000</v>
      </c>
      <c r="F61" s="1">
        <f>10*M55</f>
        <v>10</v>
      </c>
      <c r="G61" s="1" t="s">
        <v>93</v>
      </c>
      <c r="H61" s="1" t="s">
        <v>94</v>
      </c>
      <c r="I61" s="1">
        <v>5</v>
      </c>
      <c r="J61" s="1">
        <v>4102</v>
      </c>
      <c r="K61" s="1">
        <v>20</v>
      </c>
      <c r="L61" s="1">
        <f t="shared" si="3"/>
        <v>20000</v>
      </c>
      <c r="M61" s="1">
        <v>1</v>
      </c>
    </row>
    <row r="62" customHeight="1" spans="3:13">
      <c r="C62" s="1">
        <v>217</v>
      </c>
      <c r="D62" s="1">
        <v>3</v>
      </c>
      <c r="E62" s="1">
        <v>2000</v>
      </c>
      <c r="F62" s="1">
        <f>40*M55</f>
        <v>40</v>
      </c>
      <c r="G62" s="1" t="s">
        <v>95</v>
      </c>
      <c r="H62" s="1" t="s">
        <v>96</v>
      </c>
      <c r="I62" s="1">
        <v>5</v>
      </c>
      <c r="J62" s="1">
        <v>4001</v>
      </c>
      <c r="K62" s="1">
        <v>1000000</v>
      </c>
      <c r="L62" s="1">
        <f t="shared" si="3"/>
        <v>80000</v>
      </c>
      <c r="M62" s="1">
        <v>1</v>
      </c>
    </row>
    <row r="63" customHeight="1" spans="3:13">
      <c r="C63" s="1">
        <v>218</v>
      </c>
      <c r="D63" s="1">
        <v>3</v>
      </c>
      <c r="E63" s="1">
        <v>2000</v>
      </c>
      <c r="F63" s="1">
        <f>40*M55</f>
        <v>40</v>
      </c>
      <c r="G63" s="1" t="s">
        <v>97</v>
      </c>
      <c r="H63" s="1" t="s">
        <v>98</v>
      </c>
      <c r="I63" s="1">
        <v>5</v>
      </c>
      <c r="J63" s="1">
        <v>4002</v>
      </c>
      <c r="K63" s="1">
        <v>6000000</v>
      </c>
      <c r="L63" s="1">
        <f t="shared" si="3"/>
        <v>80000</v>
      </c>
      <c r="M63" s="1">
        <v>1</v>
      </c>
    </row>
    <row r="64" customHeight="1" spans="3:13">
      <c r="C64" s="1">
        <v>219</v>
      </c>
      <c r="D64" s="1">
        <v>4</v>
      </c>
      <c r="E64" s="4">
        <v>3000</v>
      </c>
      <c r="F64" s="1">
        <f>20*M64</f>
        <v>20</v>
      </c>
      <c r="G64" s="1" t="s">
        <v>81</v>
      </c>
      <c r="H64" s="1" t="s">
        <v>82</v>
      </c>
      <c r="I64" s="1">
        <v>5</v>
      </c>
      <c r="J64" s="1">
        <v>4010</v>
      </c>
      <c r="K64" s="1">
        <v>5</v>
      </c>
      <c r="L64" s="1">
        <f t="shared" si="3"/>
        <v>60000</v>
      </c>
      <c r="M64" s="1">
        <v>1</v>
      </c>
    </row>
    <row r="65" customHeight="1" spans="3:13">
      <c r="C65" s="1">
        <v>220</v>
      </c>
      <c r="D65" s="1">
        <v>4</v>
      </c>
      <c r="E65" s="4">
        <v>600</v>
      </c>
      <c r="F65" s="1">
        <f>300*M64</f>
        <v>300</v>
      </c>
      <c r="G65" s="1" t="s">
        <v>83</v>
      </c>
      <c r="H65" s="1" t="s">
        <v>84</v>
      </c>
      <c r="I65" s="1">
        <v>5</v>
      </c>
      <c r="J65" s="1">
        <v>4007</v>
      </c>
      <c r="K65" s="1">
        <v>1000</v>
      </c>
      <c r="L65" s="1">
        <f t="shared" si="3"/>
        <v>180000</v>
      </c>
      <c r="M65" s="1">
        <v>1</v>
      </c>
    </row>
    <row r="66" customHeight="1" spans="3:13">
      <c r="C66" s="1">
        <v>221</v>
      </c>
      <c r="D66" s="1">
        <v>4</v>
      </c>
      <c r="E66" s="4">
        <v>600</v>
      </c>
      <c r="F66" s="1">
        <f>500*M64</f>
        <v>500</v>
      </c>
      <c r="G66" s="1" t="s">
        <v>85</v>
      </c>
      <c r="H66" s="1" t="s">
        <v>86</v>
      </c>
      <c r="I66" s="1">
        <v>5</v>
      </c>
      <c r="J66" s="1">
        <v>4101</v>
      </c>
      <c r="K66" s="1">
        <v>1000</v>
      </c>
      <c r="L66" s="1">
        <f t="shared" si="3"/>
        <v>300000</v>
      </c>
      <c r="M66" s="1">
        <v>1</v>
      </c>
    </row>
    <row r="67" customHeight="1" spans="3:13">
      <c r="C67" s="1">
        <v>222</v>
      </c>
      <c r="D67" s="1">
        <v>4</v>
      </c>
      <c r="E67" s="4">
        <v>6000</v>
      </c>
      <c r="F67" s="1">
        <f>6*M64</f>
        <v>6</v>
      </c>
      <c r="G67" s="1" t="s">
        <v>87</v>
      </c>
      <c r="H67" s="1" t="s">
        <v>88</v>
      </c>
      <c r="I67" s="1">
        <v>15</v>
      </c>
      <c r="J67" s="1">
        <v>4014</v>
      </c>
      <c r="K67" s="1">
        <v>100</v>
      </c>
      <c r="L67" s="1">
        <f t="shared" si="3"/>
        <v>36000</v>
      </c>
      <c r="M67" s="1">
        <v>1</v>
      </c>
    </row>
    <row r="68" customHeight="1" spans="3:13">
      <c r="C68" s="1">
        <v>223</v>
      </c>
      <c r="D68" s="1">
        <v>4</v>
      </c>
      <c r="E68" s="4">
        <v>3000</v>
      </c>
      <c r="F68" s="1">
        <f>20*M64</f>
        <v>20</v>
      </c>
      <c r="G68" s="1" t="s">
        <v>89</v>
      </c>
      <c r="H68" s="1" t="s">
        <v>90</v>
      </c>
      <c r="I68" s="1">
        <v>5</v>
      </c>
      <c r="J68" s="1">
        <v>4012</v>
      </c>
      <c r="K68" s="1">
        <v>200</v>
      </c>
      <c r="L68" s="1">
        <f t="shared" si="3"/>
        <v>60000</v>
      </c>
      <c r="M68" s="1">
        <v>1</v>
      </c>
    </row>
    <row r="69" customHeight="1" spans="3:13">
      <c r="C69" s="1">
        <v>224</v>
      </c>
      <c r="D69" s="1">
        <v>4</v>
      </c>
      <c r="E69" s="4">
        <v>60000</v>
      </c>
      <c r="F69" s="1">
        <f>5*M64</f>
        <v>5</v>
      </c>
      <c r="G69" s="1" t="s">
        <v>91</v>
      </c>
      <c r="H69" s="1" t="s">
        <v>92</v>
      </c>
      <c r="I69" s="1">
        <v>5</v>
      </c>
      <c r="J69" s="1">
        <v>4019</v>
      </c>
      <c r="K69" s="1">
        <v>1</v>
      </c>
      <c r="L69" s="1">
        <f t="shared" si="3"/>
        <v>300000</v>
      </c>
      <c r="M69" s="1">
        <v>1</v>
      </c>
    </row>
    <row r="70" customHeight="1" spans="3:13">
      <c r="C70" s="1">
        <v>225</v>
      </c>
      <c r="D70" s="1">
        <v>4</v>
      </c>
      <c r="E70" s="4">
        <v>3000</v>
      </c>
      <c r="F70" s="1">
        <f>10*M64</f>
        <v>10</v>
      </c>
      <c r="G70" s="1" t="s">
        <v>93</v>
      </c>
      <c r="H70" s="1" t="s">
        <v>94</v>
      </c>
      <c r="I70" s="1">
        <v>5</v>
      </c>
      <c r="J70" s="1">
        <v>4102</v>
      </c>
      <c r="K70" s="1">
        <v>20</v>
      </c>
      <c r="L70" s="1">
        <f t="shared" si="3"/>
        <v>30000</v>
      </c>
      <c r="M70" s="1">
        <v>1</v>
      </c>
    </row>
    <row r="71" customHeight="1" spans="3:13">
      <c r="C71" s="1">
        <v>226</v>
      </c>
      <c r="D71" s="1">
        <v>4</v>
      </c>
      <c r="E71" s="4">
        <v>3000</v>
      </c>
      <c r="F71" s="1">
        <f>40*M64</f>
        <v>40</v>
      </c>
      <c r="G71" s="1" t="s">
        <v>95</v>
      </c>
      <c r="H71" s="1" t="s">
        <v>96</v>
      </c>
      <c r="I71" s="1">
        <v>5</v>
      </c>
      <c r="J71" s="1">
        <v>4001</v>
      </c>
      <c r="K71" s="1">
        <v>1000000</v>
      </c>
      <c r="L71" s="1">
        <f t="shared" si="3"/>
        <v>120000</v>
      </c>
      <c r="M71" s="1">
        <v>1</v>
      </c>
    </row>
    <row r="72" customHeight="1" spans="3:13">
      <c r="C72" s="1">
        <v>227</v>
      </c>
      <c r="D72" s="1">
        <v>4</v>
      </c>
      <c r="E72" s="4">
        <v>3000</v>
      </c>
      <c r="F72" s="1">
        <f>40*M64</f>
        <v>40</v>
      </c>
      <c r="G72" s="1" t="s">
        <v>97</v>
      </c>
      <c r="H72" s="1" t="s">
        <v>98</v>
      </c>
      <c r="I72" s="1">
        <v>5</v>
      </c>
      <c r="J72" s="1">
        <v>4002</v>
      </c>
      <c r="K72" s="1">
        <v>6000000</v>
      </c>
      <c r="L72" s="1">
        <f t="shared" si="3"/>
        <v>120000</v>
      </c>
      <c r="M72" s="1">
        <v>1</v>
      </c>
    </row>
    <row r="73" customHeight="1" spans="3:13">
      <c r="C73" s="1">
        <v>228</v>
      </c>
      <c r="D73" s="1">
        <v>5</v>
      </c>
      <c r="E73" s="1">
        <v>4000</v>
      </c>
      <c r="F73" s="1">
        <f>20*M73</f>
        <v>80</v>
      </c>
      <c r="G73" s="1" t="s">
        <v>81</v>
      </c>
      <c r="H73" s="1" t="s">
        <v>82</v>
      </c>
      <c r="I73" s="1">
        <v>5</v>
      </c>
      <c r="J73" s="1">
        <v>4010</v>
      </c>
      <c r="K73" s="1">
        <v>5</v>
      </c>
      <c r="L73" s="1">
        <f t="shared" si="3"/>
        <v>320000</v>
      </c>
      <c r="M73" s="1">
        <v>4</v>
      </c>
    </row>
    <row r="74" customHeight="1" spans="3:13">
      <c r="C74" s="1">
        <v>229</v>
      </c>
      <c r="D74" s="1">
        <v>5</v>
      </c>
      <c r="E74" s="1">
        <v>800</v>
      </c>
      <c r="F74" s="1">
        <f>300*M73</f>
        <v>1200</v>
      </c>
      <c r="G74" s="1" t="s">
        <v>83</v>
      </c>
      <c r="H74" s="1" t="s">
        <v>84</v>
      </c>
      <c r="I74" s="1">
        <v>5</v>
      </c>
      <c r="J74" s="1">
        <v>4007</v>
      </c>
      <c r="K74" s="1">
        <v>1000</v>
      </c>
      <c r="L74" s="1">
        <f t="shared" si="3"/>
        <v>960000</v>
      </c>
      <c r="M74" s="1">
        <v>4</v>
      </c>
    </row>
    <row r="75" customHeight="1" spans="3:13">
      <c r="C75" s="1">
        <v>230</v>
      </c>
      <c r="D75" s="1">
        <v>5</v>
      </c>
      <c r="E75" s="1">
        <v>800</v>
      </c>
      <c r="F75" s="1">
        <f>500*M73</f>
        <v>2000</v>
      </c>
      <c r="G75" s="1" t="s">
        <v>85</v>
      </c>
      <c r="H75" s="1" t="s">
        <v>86</v>
      </c>
      <c r="I75" s="1">
        <v>5</v>
      </c>
      <c r="J75" s="1">
        <v>4101</v>
      </c>
      <c r="K75" s="1">
        <v>1000</v>
      </c>
      <c r="L75" s="1">
        <f t="shared" si="3"/>
        <v>1600000</v>
      </c>
      <c r="M75" s="1">
        <v>4</v>
      </c>
    </row>
    <row r="76" customHeight="1" spans="3:13">
      <c r="C76" s="1">
        <v>231</v>
      </c>
      <c r="D76" s="1">
        <v>5</v>
      </c>
      <c r="E76" s="1">
        <v>8000</v>
      </c>
      <c r="F76" s="1">
        <f>6*M73</f>
        <v>24</v>
      </c>
      <c r="G76" s="1" t="s">
        <v>87</v>
      </c>
      <c r="H76" s="1" t="s">
        <v>88</v>
      </c>
      <c r="I76" s="1">
        <v>15</v>
      </c>
      <c r="J76" s="1">
        <v>4014</v>
      </c>
      <c r="K76" s="1">
        <v>100</v>
      </c>
      <c r="L76" s="1">
        <f t="shared" si="3"/>
        <v>192000</v>
      </c>
      <c r="M76" s="1">
        <v>4</v>
      </c>
    </row>
    <row r="77" customHeight="1" spans="3:13">
      <c r="C77" s="1">
        <v>232</v>
      </c>
      <c r="D77" s="1">
        <v>5</v>
      </c>
      <c r="E77" s="1">
        <v>4000</v>
      </c>
      <c r="F77" s="1">
        <f>20*M73</f>
        <v>80</v>
      </c>
      <c r="G77" s="1" t="s">
        <v>89</v>
      </c>
      <c r="H77" s="1" t="s">
        <v>90</v>
      </c>
      <c r="I77" s="1">
        <v>5</v>
      </c>
      <c r="J77" s="1">
        <v>4012</v>
      </c>
      <c r="K77" s="1">
        <v>200</v>
      </c>
      <c r="L77" s="1">
        <f t="shared" si="3"/>
        <v>320000</v>
      </c>
      <c r="M77" s="1">
        <v>4</v>
      </c>
    </row>
    <row r="78" customHeight="1" spans="3:13">
      <c r="C78" s="1">
        <v>233</v>
      </c>
      <c r="D78" s="1">
        <v>5</v>
      </c>
      <c r="E78" s="1">
        <v>75000</v>
      </c>
      <c r="F78" s="1">
        <f>5*M73</f>
        <v>20</v>
      </c>
      <c r="G78" s="1" t="s">
        <v>91</v>
      </c>
      <c r="H78" s="1" t="s">
        <v>92</v>
      </c>
      <c r="I78" s="1">
        <v>5</v>
      </c>
      <c r="J78" s="1">
        <v>4019</v>
      </c>
      <c r="K78" s="1">
        <v>1</v>
      </c>
      <c r="L78" s="1">
        <f t="shared" si="3"/>
        <v>1500000</v>
      </c>
      <c r="M78" s="1">
        <v>4</v>
      </c>
    </row>
    <row r="79" customHeight="1" spans="3:13">
      <c r="C79" s="1">
        <v>234</v>
      </c>
      <c r="D79" s="1">
        <v>5</v>
      </c>
      <c r="E79" s="1">
        <v>4000</v>
      </c>
      <c r="F79" s="1">
        <f>10*M73</f>
        <v>40</v>
      </c>
      <c r="G79" s="1" t="s">
        <v>93</v>
      </c>
      <c r="H79" s="1" t="s">
        <v>94</v>
      </c>
      <c r="I79" s="1">
        <v>5</v>
      </c>
      <c r="J79" s="1">
        <v>4102</v>
      </c>
      <c r="K79" s="1">
        <v>20</v>
      </c>
      <c r="L79" s="1">
        <f t="shared" si="3"/>
        <v>160000</v>
      </c>
      <c r="M79" s="1">
        <v>4</v>
      </c>
    </row>
    <row r="80" customHeight="1" spans="3:13">
      <c r="C80" s="1">
        <v>235</v>
      </c>
      <c r="D80" s="1">
        <v>5</v>
      </c>
      <c r="E80" s="1">
        <v>4000</v>
      </c>
      <c r="F80" s="1">
        <f>40*M73</f>
        <v>160</v>
      </c>
      <c r="G80" s="1" t="s">
        <v>95</v>
      </c>
      <c r="H80" s="1" t="s">
        <v>96</v>
      </c>
      <c r="I80" s="1">
        <v>5</v>
      </c>
      <c r="J80" s="1">
        <v>4001</v>
      </c>
      <c r="K80" s="1">
        <v>1000000</v>
      </c>
      <c r="L80" s="1">
        <f t="shared" si="3"/>
        <v>640000</v>
      </c>
      <c r="M80" s="1">
        <v>4</v>
      </c>
    </row>
    <row r="81" customHeight="1" spans="3:13">
      <c r="C81" s="1">
        <v>236</v>
      </c>
      <c r="D81" s="1">
        <v>5</v>
      </c>
      <c r="E81" s="1">
        <v>4000</v>
      </c>
      <c r="F81" s="1">
        <f>40*M73</f>
        <v>160</v>
      </c>
      <c r="G81" s="1" t="s">
        <v>97</v>
      </c>
      <c r="H81" s="1" t="s">
        <v>98</v>
      </c>
      <c r="I81" s="1">
        <v>5</v>
      </c>
      <c r="J81" s="1">
        <v>4002</v>
      </c>
      <c r="K81" s="1">
        <v>6000000</v>
      </c>
      <c r="L81" s="1">
        <f t="shared" si="3"/>
        <v>640000</v>
      </c>
      <c r="M81" s="1">
        <v>4</v>
      </c>
    </row>
    <row r="84" customHeight="1" spans="3:12">
      <c r="C84" s="1">
        <v>999</v>
      </c>
      <c r="D84" s="1">
        <v>0</v>
      </c>
      <c r="E84" s="6" t="s">
        <v>49</v>
      </c>
      <c r="F84" s="1">
        <v>50</v>
      </c>
      <c r="G84" s="1" t="s">
        <v>99</v>
      </c>
      <c r="H84" s="1" t="s">
        <v>100</v>
      </c>
      <c r="I84" s="1">
        <v>5</v>
      </c>
      <c r="J84" s="1">
        <v>4006</v>
      </c>
      <c r="K84" s="1">
        <v>1000</v>
      </c>
      <c r="L84" s="1">
        <f>E84*F84</f>
        <v>50000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2025-02-08T05:55:43Z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2052-12.1.0.20260</vt:lpwstr>
  </property>
  <property fmtid="{D5CDD505-2E9C-101B-9397-08002B2CF9AE}" pid="3" name="ICV">
    <vt:lpwstr>639F2309472A49E79767C4DBB81D1928</vt:lpwstr>
  </property>
</Properties>
</file>
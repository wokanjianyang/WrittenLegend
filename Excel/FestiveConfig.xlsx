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<sst xmlns="http://schemas.openxmlformats.org/spreadsheetml/2006/main" count="251" uniqueCount="163">
  <si>
    <t>#</t>
  </si>
  <si>
    <t>Id</t>
  </si>
  <si>
    <t>Step</t>
  </si>
  <si>
    <t>RequireCycle</t>
  </si>
  <si>
    <t>Cost</t>
  </si>
  <si>
    <t>Max</t>
  </si>
  <si>
    <t>Title</t>
  </si>
  <si>
    <t>TargetName</t>
  </si>
  <si>
    <t>TargetType</t>
  </si>
  <si>
    <t>TargetId</t>
  </si>
  <si>
    <t>TargetCount</t>
  </si>
  <si>
    <t>int</t>
  </si>
  <si>
    <t>string</t>
  </si>
  <si>
    <t>300</t>
  </si>
  <si>
    <t>兑换装备副本卷*100</t>
  </si>
  <si>
    <t>装备副本卷</t>
  </si>
  <si>
    <t>兑换BOSS挑战卷*10</t>
  </si>
  <si>
    <t>BOSS挑战卷</t>
  </si>
  <si>
    <t>兑换传世挑战卷*4</t>
  </si>
  <si>
    <t>传世挑战卷</t>
  </si>
  <si>
    <t>500</t>
  </si>
  <si>
    <t>兑换凤凰之羽*10</t>
  </si>
  <si>
    <t>凤凰之羽</t>
  </si>
  <si>
    <t>兑换斩仙时装包*1</t>
  </si>
  <si>
    <t>斩仙时装包</t>
  </si>
  <si>
    <t>兑换魔尊时装包*1</t>
  </si>
  <si>
    <t>魔尊时装包</t>
  </si>
  <si>
    <t>兑换幽冥时装包*1</t>
  </si>
  <si>
    <t>幽冥时装包</t>
  </si>
  <si>
    <t>兑换战魂时装包*1</t>
  </si>
  <si>
    <t>战魂时装包</t>
  </si>
  <si>
    <t>兑换法魂时装包*1</t>
  </si>
  <si>
    <t>法魂时装包</t>
  </si>
  <si>
    <t>兑换道魂时装包*1</t>
  </si>
  <si>
    <t>道魂时装包</t>
  </si>
  <si>
    <t>兑换图鉴龙之力*1</t>
  </si>
  <si>
    <t>龙之力</t>
  </si>
  <si>
    <t>兑换图鉴龙之智*1</t>
  </si>
  <si>
    <t>龙之智</t>
  </si>
  <si>
    <t>兑换图鉴龙之秘*1</t>
  </si>
  <si>
    <t>龙之秘</t>
  </si>
  <si>
    <t>兑换图鉴龙之御*1</t>
  </si>
  <si>
    <t>龙之御</t>
  </si>
  <si>
    <t>兑换图鉴龙之血*1</t>
  </si>
  <si>
    <t>龙之血</t>
  </si>
  <si>
    <t>600</t>
  </si>
  <si>
    <t>兑换图鉴龙之怒*1</t>
  </si>
  <si>
    <t>龙之怒</t>
  </si>
  <si>
    <t>兑换图鉴龙之刀*1</t>
  </si>
  <si>
    <t>龙之刀</t>
  </si>
  <si>
    <t>兑换图鉴龙之杖*1</t>
  </si>
  <si>
    <t>龙之杖</t>
  </si>
  <si>
    <t>兑换图鉴龙之剑*1</t>
  </si>
  <si>
    <t>龙之剑</t>
  </si>
  <si>
    <t>兑换图鉴神鉴·白*1</t>
  </si>
  <si>
    <t>神鉴·白</t>
  </si>
  <si>
    <t>兑换图鉴神鉴·绿*1</t>
  </si>
  <si>
    <t>神鉴·绿</t>
  </si>
  <si>
    <t>兑换图鉴神鉴·蓝*1</t>
  </si>
  <si>
    <t>神鉴·蓝</t>
  </si>
  <si>
    <t>兑换图鉴神鉴·紫*1</t>
  </si>
  <si>
    <t>神鉴·紫</t>
  </si>
  <si>
    <t>兑换图鉴神鉴·橙*1</t>
  </si>
  <si>
    <t>神鉴·橙</t>
  </si>
  <si>
    <t>兑换图鉴神鉴·红*1</t>
  </si>
  <si>
    <t>神鉴·红</t>
  </si>
  <si>
    <t>2000</t>
  </si>
  <si>
    <t>兑换冰咆哮专属自选包*1</t>
  </si>
  <si>
    <t>冰咆哮专属自选</t>
  </si>
  <si>
    <t>兑换8介技能自选包*1</t>
  </si>
  <si>
    <t>8阶技能自选</t>
  </si>
  <si>
    <t>1000</t>
  </si>
  <si>
    <t>兑换9介技能自选包*1</t>
  </si>
  <si>
    <t>9阶技能自选</t>
  </si>
  <si>
    <t>30000</t>
  </si>
  <si>
    <t>兑换特戒自选*1</t>
  </si>
  <si>
    <t>特戒自选</t>
  </si>
  <si>
    <t>50000</t>
  </si>
  <si>
    <t>兑换神技自选*1</t>
  </si>
  <si>
    <t>神技自选</t>
  </si>
  <si>
    <t>200000</t>
  </si>
  <si>
    <t>兑换法宝自选*1</t>
  </si>
  <si>
    <t>法宝自选</t>
  </si>
  <si>
    <t>150000</t>
  </si>
  <si>
    <t>兑换魂骨自选*1</t>
  </si>
  <si>
    <t>魂骨自选</t>
  </si>
  <si>
    <t>兑换极矿工礼包*1</t>
  </si>
  <si>
    <t>极矿工礼包</t>
  </si>
  <si>
    <t>兑换极法宝自选*1</t>
  </si>
  <si>
    <t>极法宝自选</t>
  </si>
  <si>
    <t>兑换改造石</t>
  </si>
  <si>
    <t>改造石</t>
  </si>
  <si>
    <t>兑换遗物粉尘*10</t>
  </si>
  <si>
    <t>遗物粉尘</t>
  </si>
  <si>
    <t>兑换天赋秘籍*1</t>
  </si>
  <si>
    <t>天赋秘籍</t>
  </si>
  <si>
    <t>兑换开孔石</t>
  </si>
  <si>
    <t>开孔石</t>
  </si>
  <si>
    <t>宝石集合包</t>
  </si>
  <si>
    <t>兑换低级法宝自选*1</t>
  </si>
  <si>
    <t>低级法宝自选</t>
  </si>
  <si>
    <t>极宝石集合包</t>
  </si>
  <si>
    <t>兑换时装精华</t>
  </si>
  <si>
    <t>时装精华</t>
  </si>
  <si>
    <t>超级书页</t>
  </si>
  <si>
    <t>行气丹*500</t>
  </si>
  <si>
    <t>行气丹</t>
  </si>
  <si>
    <t>炼神丹*500</t>
  </si>
  <si>
    <t>炼魂丹*500</t>
  </si>
  <si>
    <t>11技能自选</t>
  </si>
  <si>
    <t>兑换红宠自选</t>
  </si>
  <si>
    <t>红宠自选</t>
  </si>
  <si>
    <t>金色材料魂宠</t>
  </si>
  <si>
    <t>金色40宠物</t>
  </si>
  <si>
    <t>金色魂心</t>
  </si>
  <si>
    <t>暗金魂心</t>
  </si>
  <si>
    <t>金色兽魂</t>
  </si>
  <si>
    <t>兑换宠物口粮*100</t>
  </si>
  <si>
    <t>宠物口粮*100</t>
  </si>
  <si>
    <t>兑换坐骑兽粮*100</t>
  </si>
  <si>
    <t>坐骑兽粮*100</t>
  </si>
  <si>
    <t>粉色50仙宠</t>
  </si>
  <si>
    <t>暗金50坐骑</t>
  </si>
  <si>
    <t>兑换传奇精华</t>
  </si>
  <si>
    <t>传奇精华</t>
  </si>
  <si>
    <t>不朽精华</t>
  </si>
  <si>
    <t>不朽精华*1</t>
  </si>
  <si>
    <t>兑换红装精华*1</t>
  </si>
  <si>
    <t>红装精华*1</t>
  </si>
  <si>
    <t>兑换金装精华*1</t>
  </si>
  <si>
    <t>金装精华*1</t>
  </si>
  <si>
    <t>兑换暗金精华*1</t>
  </si>
  <si>
    <t>暗金精华*1</t>
  </si>
  <si>
    <t>混沌精华</t>
  </si>
  <si>
    <t>混沌精华*1</t>
  </si>
  <si>
    <t>虚无精华</t>
  </si>
  <si>
    <t>虚无精华*1</t>
  </si>
  <si>
    <t>仙鉴青龙</t>
  </si>
  <si>
    <t>仙鉴青龙*1</t>
  </si>
  <si>
    <t>仙鉴白虎</t>
  </si>
  <si>
    <t>仙鉴白虎*1</t>
  </si>
  <si>
    <t>仙鉴朱雀</t>
  </si>
  <si>
    <t>仙鉴朱雀*1</t>
  </si>
  <si>
    <t>仙鉴玄武</t>
  </si>
  <si>
    <t>仙鉴玄武*1</t>
  </si>
  <si>
    <t>仙鉴麒麟</t>
  </si>
  <si>
    <t>仙鉴麒麟*1</t>
  </si>
  <si>
    <t>兑换四格碎片*1000</t>
  </si>
  <si>
    <t>四格碎片</t>
  </si>
  <si>
    <t>兑换图鉴碎片*1000</t>
  </si>
  <si>
    <t>图鉴碎片</t>
  </si>
  <si>
    <t>兑换经验丹*100</t>
  </si>
  <si>
    <t>经验丹</t>
  </si>
  <si>
    <t>兑换魂环碎片*100w</t>
  </si>
  <si>
    <t>魂环碎片</t>
  </si>
  <si>
    <t>兑换精炼石*600w</t>
  </si>
  <si>
    <t>精炼石</t>
  </si>
  <si>
    <t>兑换书页1000个</t>
  </si>
  <si>
    <t>书页</t>
  </si>
  <si>
    <t>兑换专属之心*5</t>
  </si>
  <si>
    <t>专属之心</t>
  </si>
  <si>
    <t>兑换高级书页*20</t>
  </si>
  <si>
    <t>高级书页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</si>
</sst>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tabSelected="1" workbookViewId="0">
      <selection activeCell="G11" sqref="G11"/>
    </sheetView>
  </sheetViews>
  <sheetFormatPr defaultColWidth="9" defaultRowHeight="18" customHeight="1"/>
  <cols>
    <col min="1" max="4" width="9" style="1"/>
    <col min="5" max="5" width="15.3636363636364" style="1" customWidth="1"/>
    <col min="6" max="6" width="11.2545454545455" style="1" customWidth="1"/>
    <col min="7" max="7" width="12" style="1" customWidth="1"/>
    <col min="8" max="8" width="22.5" style="1" customWidth="1"/>
    <col min="9" max="9" width="15.1272727272727" style="1" customWidth="1"/>
    <col min="10" max="10" width="10.8727272727273" style="1" customWidth="1"/>
    <col min="11" max="11" width="8.5" style="1" customWidth="1"/>
    <col min="12" max="12" width="11.5" style="1" customWidth="1"/>
    <col min="13" max="16384" width="9" style="1"/>
  </cols>
  <sheetData>
    <row r="1" customHeight="1" spans="3:13">
      <c r="M1" s="1" t="s">
        <v>0</v>
      </c>
    </row>
    <row r="3" s="1" customFormat="1" customHeight="1" spans="3:13"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3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="1" customFormat="1" customHeight="1" spans="3:13"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="1" customFormat="1" customHeight="1" spans="3:13">
      <c r="C5" s="2" t="s">
        <v>11</v>
      </c>
      <c r="D5" s="2" t="s">
        <v>11</v>
      </c>
      <c r="E5" s="2" t="s">
        <v>11</v>
      </c>
      <c r="F5" s="3" t="s">
        <v>11</v>
      </c>
      <c r="G5" s="3" t="s">
        <v>11</v>
      </c>
      <c r="H5" s="3" t="s">
        <v>12</v>
      </c>
      <c r="I5" s="2" t="s">
        <v>12</v>
      </c>
      <c r="J5" s="2" t="s">
        <v>11</v>
      </c>
      <c r="K5" s="2" t="s">
        <v>11</v>
      </c>
      <c r="L5" s="2" t="s">
        <v>11</v>
      </c>
    </row>
    <row r="6" customHeight="1" spans="3:13">
      <c r="C6" s="1">
        <v>1</v>
      </c>
      <c r="D6" s="1">
        <v>0</v>
      </c>
      <c r="E6" s="1">
        <v>0</v>
      </c>
      <c r="F6" s="6" t="s">
        <v>13</v>
      </c>
      <c r="G6" s="1">
        <v>888</v>
      </c>
      <c r="H6" s="1" t="s">
        <v>14</v>
      </c>
      <c r="I6" s="1" t="s">
        <v>15</v>
      </c>
      <c r="J6" s="1">
        <v>9</v>
      </c>
      <c r="K6" s="1">
        <v>4003</v>
      </c>
      <c r="L6" s="1">
        <v>100</v>
      </c>
      <c r="M6" s="1">
        <f t="shared" ref="M6:M14" si="0">F6*G6</f>
        <v>266400</v>
      </c>
    </row>
    <row r="7" customHeight="1" spans="3:13">
      <c r="C7" s="1">
        <v>2</v>
      </c>
      <c r="D7" s="1">
        <v>0</v>
      </c>
      <c r="E7" s="1">
        <v>0</v>
      </c>
      <c r="F7" s="6" t="s">
        <v>13</v>
      </c>
      <c r="G7" s="1">
        <v>888</v>
      </c>
      <c r="H7" s="1" t="s">
        <v>16</v>
      </c>
      <c r="I7" s="1" t="s">
        <v>17</v>
      </c>
      <c r="J7" s="1">
        <v>5</v>
      </c>
      <c r="K7" s="1">
        <v>4004</v>
      </c>
      <c r="L7" s="1">
        <v>10</v>
      </c>
      <c r="M7" s="1">
        <f t="shared" si="0"/>
        <v>266400</v>
      </c>
    </row>
    <row r="8" s="1" customFormat="1" customHeight="1" spans="3:13">
      <c r="C8" s="1">
        <v>3</v>
      </c>
      <c r="D8" s="1">
        <v>0</v>
      </c>
      <c r="E8" s="1">
        <v>0</v>
      </c>
      <c r="F8" s="6" t="s">
        <v>13</v>
      </c>
      <c r="G8" s="1">
        <v>888</v>
      </c>
      <c r="H8" s="1" t="s">
        <v>18</v>
      </c>
      <c r="I8" s="1" t="s">
        <v>19</v>
      </c>
      <c r="J8" s="1">
        <v>9</v>
      </c>
      <c r="K8" s="1">
        <v>4013</v>
      </c>
      <c r="L8" s="1">
        <v>4</v>
      </c>
      <c r="M8" s="1">
        <f t="shared" si="0"/>
        <v>266400</v>
      </c>
    </row>
    <row r="9" customHeight="1" spans="3:13">
      <c r="C9" s="1">
        <v>4</v>
      </c>
      <c r="D9" s="1">
        <v>0</v>
      </c>
      <c r="E9" s="1">
        <v>0</v>
      </c>
      <c r="F9" s="6" t="s">
        <v>20</v>
      </c>
      <c r="G9" s="1">
        <v>88</v>
      </c>
      <c r="H9" s="1" t="s">
        <v>21</v>
      </c>
      <c r="I9" s="1" t="s">
        <v>22</v>
      </c>
      <c r="J9" s="1">
        <v>5</v>
      </c>
      <c r="K9" s="1">
        <v>4008</v>
      </c>
      <c r="L9" s="1">
        <v>10</v>
      </c>
      <c r="M9" s="1">
        <f t="shared" si="0"/>
        <v>44000</v>
      </c>
    </row>
    <row r="10" customHeight="1" spans="3:13">
      <c r="C10" s="1">
        <v>5</v>
      </c>
      <c r="D10" s="1">
        <v>0</v>
      </c>
      <c r="E10" s="1">
        <v>0</v>
      </c>
      <c r="F10" s="6" t="s">
        <v>13</v>
      </c>
      <c r="G10" s="1">
        <v>200</v>
      </c>
      <c r="H10" s="1" t="s">
        <v>23</v>
      </c>
      <c r="I10" s="1" t="s">
        <v>24</v>
      </c>
      <c r="J10" s="1">
        <v>4</v>
      </c>
      <c r="K10" s="1">
        <v>10</v>
      </c>
      <c r="L10" s="1">
        <v>1</v>
      </c>
      <c r="M10" s="1">
        <f t="shared" si="0"/>
        <v>60000</v>
      </c>
    </row>
    <row r="11" customHeight="1" spans="3:13">
      <c r="C11" s="1">
        <v>6</v>
      </c>
      <c r="D11" s="1">
        <v>0</v>
      </c>
      <c r="E11" s="1">
        <v>0</v>
      </c>
      <c r="F11" s="6" t="s">
        <v>13</v>
      </c>
      <c r="G11" s="1">
        <v>200</v>
      </c>
      <c r="H11" s="1" t="s">
        <v>25</v>
      </c>
      <c r="I11" s="1" t="s">
        <v>26</v>
      </c>
      <c r="J11" s="1">
        <v>4</v>
      </c>
      <c r="K11" s="1">
        <v>11</v>
      </c>
      <c r="L11" s="1">
        <v>1</v>
      </c>
      <c r="M11" s="1">
        <f t="shared" si="0"/>
        <v>60000</v>
      </c>
    </row>
    <row r="12" customHeight="1" spans="3:13">
      <c r="C12" s="1">
        <v>7</v>
      </c>
      <c r="D12" s="1">
        <v>0</v>
      </c>
      <c r="E12" s="1">
        <v>0</v>
      </c>
      <c r="F12" s="6" t="s">
        <v>13</v>
      </c>
      <c r="G12" s="1">
        <v>200</v>
      </c>
      <c r="H12" s="1" t="s">
        <v>27</v>
      </c>
      <c r="I12" s="1" t="s">
        <v>28</v>
      </c>
      <c r="J12" s="1">
        <v>4</v>
      </c>
      <c r="K12" s="1">
        <v>12</v>
      </c>
      <c r="L12" s="1">
        <v>1</v>
      </c>
      <c r="M12" s="1">
        <f t="shared" si="0"/>
        <v>60000</v>
      </c>
    </row>
    <row r="13" customHeight="1" spans="3:13">
      <c r="C13" s="1">
        <v>8</v>
      </c>
      <c r="D13" s="1">
        <v>0</v>
      </c>
      <c r="E13" s="1">
        <v>0</v>
      </c>
      <c r="F13" s="6" t="s">
        <v>20</v>
      </c>
      <c r="G13" s="1">
        <v>200</v>
      </c>
      <c r="H13" s="1" t="s">
        <v>29</v>
      </c>
      <c r="I13" s="1" t="s">
        <v>30</v>
      </c>
      <c r="J13" s="1">
        <v>4</v>
      </c>
      <c r="K13" s="4">
        <v>15</v>
      </c>
      <c r="L13" s="1">
        <v>1</v>
      </c>
      <c r="M13" s="1">
        <f t="shared" si="0"/>
        <v>100000</v>
      </c>
    </row>
    <row r="14" customHeight="1" spans="3:13">
      <c r="C14" s="1">
        <v>9</v>
      </c>
      <c r="D14" s="1">
        <v>0</v>
      </c>
      <c r="E14" s="1">
        <v>0</v>
      </c>
      <c r="F14" s="6" t="s">
        <v>20</v>
      </c>
      <c r="G14" s="1">
        <v>200</v>
      </c>
      <c r="H14" s="1" t="s">
        <v>31</v>
      </c>
      <c r="I14" s="1" t="s">
        <v>32</v>
      </c>
      <c r="J14" s="1">
        <v>4</v>
      </c>
      <c r="K14" s="4">
        <v>16</v>
      </c>
      <c r="L14" s="1">
        <v>1</v>
      </c>
      <c r="M14" s="1">
        <f t="shared" si="0"/>
        <v>100000</v>
      </c>
    </row>
    <row r="15" customHeight="1" spans="3:13">
      <c r="C15" s="1">
        <v>10</v>
      </c>
      <c r="D15" s="1">
        <v>0</v>
      </c>
      <c r="E15" s="1">
        <v>0</v>
      </c>
      <c r="F15" s="6" t="s">
        <v>20</v>
      </c>
      <c r="G15" s="1">
        <v>200</v>
      </c>
      <c r="H15" s="1" t="s">
        <v>33</v>
      </c>
      <c r="I15" s="1" t="s">
        <v>34</v>
      </c>
      <c r="J15" s="1">
        <v>4</v>
      </c>
      <c r="K15" s="4">
        <v>17</v>
      </c>
      <c r="L15" s="1">
        <v>1</v>
      </c>
      <c r="M15" s="1">
        <f t="shared" ref="M15:M46" si="1">F15*G15</f>
        <v>100000</v>
      </c>
    </row>
    <row r="16" customHeight="1" spans="3:13">
      <c r="C16" s="1">
        <v>11</v>
      </c>
      <c r="D16" s="1">
        <v>0</v>
      </c>
      <c r="E16" s="1">
        <v>0</v>
      </c>
      <c r="F16" s="6" t="s">
        <v>13</v>
      </c>
      <c r="G16" s="1">
        <v>100</v>
      </c>
      <c r="H16" s="1" t="s">
        <v>35</v>
      </c>
      <c r="I16" s="1" t="s">
        <v>36</v>
      </c>
      <c r="J16" s="1">
        <v>11</v>
      </c>
      <c r="K16" s="1">
        <v>1999995</v>
      </c>
      <c r="L16" s="1">
        <v>1</v>
      </c>
      <c r="M16" s="1">
        <f t="shared" si="1"/>
        <v>30000</v>
      </c>
    </row>
    <row r="17" customHeight="1" spans="3:13">
      <c r="C17" s="1">
        <v>12</v>
      </c>
      <c r="D17" s="1">
        <v>0</v>
      </c>
      <c r="E17" s="1">
        <v>0</v>
      </c>
      <c r="F17" s="6" t="s">
        <v>13</v>
      </c>
      <c r="G17" s="1">
        <v>100</v>
      </c>
      <c r="H17" s="1" t="s">
        <v>37</v>
      </c>
      <c r="I17" s="1" t="s">
        <v>38</v>
      </c>
      <c r="J17" s="1">
        <v>11</v>
      </c>
      <c r="K17" s="1">
        <v>1999996</v>
      </c>
      <c r="L17" s="1">
        <v>1</v>
      </c>
      <c r="M17" s="1">
        <f t="shared" si="1"/>
        <v>30000</v>
      </c>
    </row>
    <row r="18" customHeight="1" spans="3:13">
      <c r="C18" s="1">
        <v>13</v>
      </c>
      <c r="D18" s="1">
        <v>0</v>
      </c>
      <c r="E18" s="1">
        <v>0</v>
      </c>
      <c r="F18" s="6" t="s">
        <v>13</v>
      </c>
      <c r="G18" s="1">
        <v>100</v>
      </c>
      <c r="H18" s="1" t="s">
        <v>39</v>
      </c>
      <c r="I18" s="1" t="s">
        <v>40</v>
      </c>
      <c r="J18" s="1">
        <v>11</v>
      </c>
      <c r="K18" s="1">
        <v>1999997</v>
      </c>
      <c r="L18" s="1">
        <v>1</v>
      </c>
      <c r="M18" s="1">
        <f t="shared" si="1"/>
        <v>30000</v>
      </c>
    </row>
    <row r="19" customHeight="1" spans="3:13">
      <c r="C19" s="1">
        <v>14</v>
      </c>
      <c r="D19" s="1">
        <v>0</v>
      </c>
      <c r="E19" s="1">
        <v>0</v>
      </c>
      <c r="F19" s="6" t="s">
        <v>13</v>
      </c>
      <c r="G19" s="1">
        <v>100</v>
      </c>
      <c r="H19" s="1" t="s">
        <v>41</v>
      </c>
      <c r="I19" s="1" t="s">
        <v>42</v>
      </c>
      <c r="J19" s="1">
        <v>11</v>
      </c>
      <c r="K19" s="1">
        <v>1999994</v>
      </c>
      <c r="L19" s="1">
        <v>1</v>
      </c>
      <c r="M19" s="1">
        <f t="shared" si="1"/>
        <v>30000</v>
      </c>
    </row>
    <row r="20" customHeight="1" spans="3:13">
      <c r="C20" s="1">
        <v>15</v>
      </c>
      <c r="D20" s="1">
        <v>0</v>
      </c>
      <c r="E20" s="1">
        <v>0</v>
      </c>
      <c r="F20" s="6" t="s">
        <v>13</v>
      </c>
      <c r="G20" s="1">
        <v>100</v>
      </c>
      <c r="H20" s="1" t="s">
        <v>43</v>
      </c>
      <c r="I20" s="1" t="s">
        <v>44</v>
      </c>
      <c r="J20" s="1">
        <v>11</v>
      </c>
      <c r="K20" s="1">
        <v>1999993</v>
      </c>
      <c r="L20" s="1">
        <v>1</v>
      </c>
      <c r="M20" s="1">
        <f t="shared" si="1"/>
        <v>30000</v>
      </c>
    </row>
    <row r="21" customHeight="1" spans="3:13">
      <c r="C21" s="1">
        <v>16</v>
      </c>
      <c r="D21" s="1">
        <v>0</v>
      </c>
      <c r="E21" s="1">
        <v>0</v>
      </c>
      <c r="F21" s="6" t="s">
        <v>45</v>
      </c>
      <c r="G21" s="1">
        <v>100</v>
      </c>
      <c r="H21" s="1" t="s">
        <v>46</v>
      </c>
      <c r="I21" s="1" t="s">
        <v>47</v>
      </c>
      <c r="J21" s="1">
        <v>11</v>
      </c>
      <c r="K21" s="1">
        <v>1999989</v>
      </c>
      <c r="L21" s="1">
        <v>1</v>
      </c>
      <c r="M21" s="1">
        <f t="shared" si="1"/>
        <v>60000</v>
      </c>
    </row>
    <row r="22" customHeight="1" spans="3:13">
      <c r="C22" s="1">
        <v>17</v>
      </c>
      <c r="D22" s="1">
        <v>0</v>
      </c>
      <c r="E22" s="1">
        <v>0</v>
      </c>
      <c r="F22" s="6" t="s">
        <v>45</v>
      </c>
      <c r="G22" s="1">
        <v>100</v>
      </c>
      <c r="H22" s="1" t="s">
        <v>48</v>
      </c>
      <c r="I22" s="1" t="s">
        <v>49</v>
      </c>
      <c r="J22" s="1">
        <v>11</v>
      </c>
      <c r="K22" s="1">
        <v>1999990</v>
      </c>
      <c r="L22" s="1">
        <v>1</v>
      </c>
      <c r="M22" s="1">
        <f t="shared" si="1"/>
        <v>60000</v>
      </c>
    </row>
    <row r="23" customHeight="1" spans="3:13">
      <c r="C23" s="1">
        <v>18</v>
      </c>
      <c r="D23" s="1">
        <v>0</v>
      </c>
      <c r="E23" s="1">
        <v>0</v>
      </c>
      <c r="F23" s="6" t="s">
        <v>45</v>
      </c>
      <c r="G23" s="1">
        <v>100</v>
      </c>
      <c r="H23" s="1" t="s">
        <v>50</v>
      </c>
      <c r="I23" s="1" t="s">
        <v>51</v>
      </c>
      <c r="J23" s="1">
        <v>11</v>
      </c>
      <c r="K23" s="1">
        <v>1999991</v>
      </c>
      <c r="L23" s="1">
        <v>1</v>
      </c>
      <c r="M23" s="1">
        <f t="shared" si="1"/>
        <v>60000</v>
      </c>
    </row>
    <row r="24" customHeight="1" spans="3:13">
      <c r="C24" s="1">
        <v>19</v>
      </c>
      <c r="D24" s="1">
        <v>0</v>
      </c>
      <c r="E24" s="1">
        <v>0</v>
      </c>
      <c r="F24" s="6" t="s">
        <v>45</v>
      </c>
      <c r="G24" s="1">
        <v>100</v>
      </c>
      <c r="H24" s="1" t="s">
        <v>52</v>
      </c>
      <c r="I24" s="1" t="s">
        <v>53</v>
      </c>
      <c r="J24" s="1">
        <v>11</v>
      </c>
      <c r="K24" s="1">
        <v>1999992</v>
      </c>
      <c r="L24" s="1">
        <v>1</v>
      </c>
      <c r="M24" s="1">
        <f t="shared" si="1"/>
        <v>60000</v>
      </c>
    </row>
    <row r="25" customHeight="1" spans="3:13">
      <c r="C25" s="1">
        <v>20</v>
      </c>
      <c r="D25" s="1">
        <v>0</v>
      </c>
      <c r="E25" s="1">
        <v>0</v>
      </c>
      <c r="F25" s="1">
        <v>1000</v>
      </c>
      <c r="G25" s="1">
        <v>88</v>
      </c>
      <c r="H25" s="1" t="s">
        <v>54</v>
      </c>
      <c r="I25" s="1" t="s">
        <v>55</v>
      </c>
      <c r="J25" s="1">
        <v>11</v>
      </c>
      <c r="K25" s="1">
        <v>1999001</v>
      </c>
      <c r="L25" s="1">
        <v>1</v>
      </c>
      <c r="M25" s="1">
        <f t="shared" si="1"/>
        <v>88000</v>
      </c>
    </row>
    <row r="26" customHeight="1" spans="3:13">
      <c r="C26" s="1">
        <v>21</v>
      </c>
      <c r="D26" s="1">
        <v>0</v>
      </c>
      <c r="E26" s="1">
        <v>0</v>
      </c>
      <c r="F26" s="1">
        <v>2000</v>
      </c>
      <c r="G26" s="1">
        <v>77</v>
      </c>
      <c r="H26" s="1" t="s">
        <v>56</v>
      </c>
      <c r="I26" s="1" t="s">
        <v>57</v>
      </c>
      <c r="J26" s="1">
        <v>11</v>
      </c>
      <c r="K26" s="1">
        <v>1999002</v>
      </c>
      <c r="L26" s="1">
        <v>1</v>
      </c>
      <c r="M26" s="1">
        <f t="shared" si="1"/>
        <v>154000</v>
      </c>
    </row>
    <row r="27" customHeight="1" spans="3:13">
      <c r="C27" s="1">
        <v>22</v>
      </c>
      <c r="D27" s="1">
        <v>0</v>
      </c>
      <c r="E27" s="1">
        <v>0</v>
      </c>
      <c r="F27" s="1">
        <v>3000</v>
      </c>
      <c r="G27" s="1">
        <v>66</v>
      </c>
      <c r="H27" s="1" t="s">
        <v>58</v>
      </c>
      <c r="I27" s="1" t="s">
        <v>59</v>
      </c>
      <c r="J27" s="1">
        <v>11</v>
      </c>
      <c r="K27" s="1">
        <v>1999003</v>
      </c>
      <c r="L27" s="1">
        <v>1</v>
      </c>
      <c r="M27" s="1">
        <f t="shared" si="1"/>
        <v>198000</v>
      </c>
    </row>
    <row r="28" customHeight="1" spans="3:13">
      <c r="C28" s="1">
        <v>23</v>
      </c>
      <c r="D28" s="1">
        <v>0</v>
      </c>
      <c r="E28" s="1">
        <v>0</v>
      </c>
      <c r="F28" s="1">
        <v>4000</v>
      </c>
      <c r="G28" s="1">
        <v>55</v>
      </c>
      <c r="H28" s="1" t="s">
        <v>60</v>
      </c>
      <c r="I28" s="1" t="s">
        <v>61</v>
      </c>
      <c r="J28" s="1">
        <v>11</v>
      </c>
      <c r="K28" s="1">
        <v>1999004</v>
      </c>
      <c r="L28" s="1">
        <v>1</v>
      </c>
      <c r="M28" s="1">
        <f t="shared" si="1"/>
        <v>220000</v>
      </c>
    </row>
    <row r="29" customHeight="1" spans="3:13">
      <c r="C29" s="1">
        <v>24</v>
      </c>
      <c r="D29" s="1">
        <v>0</v>
      </c>
      <c r="E29" s="1">
        <v>0</v>
      </c>
      <c r="F29" s="1">
        <v>5000</v>
      </c>
      <c r="G29" s="1">
        <v>44</v>
      </c>
      <c r="H29" s="1" t="s">
        <v>62</v>
      </c>
      <c r="I29" s="1" t="s">
        <v>63</v>
      </c>
      <c r="J29" s="1">
        <v>11</v>
      </c>
      <c r="K29" s="1">
        <v>1999005</v>
      </c>
      <c r="L29" s="1">
        <v>1</v>
      </c>
      <c r="M29" s="1">
        <f t="shared" si="1"/>
        <v>220000</v>
      </c>
    </row>
    <row r="30" customHeight="1" spans="3:13">
      <c r="C30" s="1">
        <v>25</v>
      </c>
      <c r="D30" s="1">
        <v>0</v>
      </c>
      <c r="E30" s="1">
        <v>0</v>
      </c>
      <c r="F30" s="1">
        <v>6000</v>
      </c>
      <c r="G30" s="1">
        <v>33</v>
      </c>
      <c r="H30" s="1" t="s">
        <v>64</v>
      </c>
      <c r="I30" s="1" t="s">
        <v>65</v>
      </c>
      <c r="J30" s="1">
        <v>11</v>
      </c>
      <c r="K30" s="1">
        <v>1999006</v>
      </c>
      <c r="L30" s="1">
        <v>1</v>
      </c>
      <c r="M30" s="1">
        <f t="shared" si="1"/>
        <v>198000</v>
      </c>
    </row>
    <row r="31" customHeight="1" spans="3:13">
      <c r="C31" s="1">
        <v>26</v>
      </c>
      <c r="D31" s="1">
        <v>0</v>
      </c>
      <c r="E31" s="1">
        <v>0</v>
      </c>
      <c r="F31" s="6" t="s">
        <v>66</v>
      </c>
      <c r="G31" s="1">
        <v>1</v>
      </c>
      <c r="H31" s="1" t="s">
        <v>67</v>
      </c>
      <c r="I31" s="1" t="s">
        <v>68</v>
      </c>
      <c r="J31" s="1">
        <v>4</v>
      </c>
      <c r="K31" s="1">
        <v>13</v>
      </c>
      <c r="L31" s="1">
        <v>1</v>
      </c>
      <c r="M31" s="1">
        <f t="shared" si="1"/>
        <v>2000</v>
      </c>
    </row>
    <row r="32" customHeight="1" spans="3:13">
      <c r="C32" s="1">
        <v>27</v>
      </c>
      <c r="D32" s="1">
        <v>0</v>
      </c>
      <c r="E32" s="1">
        <v>0</v>
      </c>
      <c r="F32" s="6" t="s">
        <v>20</v>
      </c>
      <c r="G32" s="1">
        <v>1</v>
      </c>
      <c r="H32" s="1" t="s">
        <v>69</v>
      </c>
      <c r="I32" s="1" t="s">
        <v>70</v>
      </c>
      <c r="J32" s="1">
        <v>4</v>
      </c>
      <c r="K32" s="1">
        <v>8</v>
      </c>
      <c r="L32" s="1">
        <v>1</v>
      </c>
      <c r="M32" s="1">
        <f t="shared" si="1"/>
        <v>500</v>
      </c>
    </row>
    <row r="33" customHeight="1" spans="2:15">
      <c r="C33" s="1">
        <v>28</v>
      </c>
      <c r="D33" s="1">
        <v>0</v>
      </c>
      <c r="E33" s="1">
        <v>0</v>
      </c>
      <c r="F33" s="6" t="s">
        <v>71</v>
      </c>
      <c r="G33" s="1">
        <v>1</v>
      </c>
      <c r="H33" s="1" t="s">
        <v>72</v>
      </c>
      <c r="I33" s="1" t="s">
        <v>73</v>
      </c>
      <c r="J33" s="1">
        <v>4</v>
      </c>
      <c r="K33" s="1">
        <v>9</v>
      </c>
      <c r="L33" s="1">
        <v>1</v>
      </c>
      <c r="M33" s="1">
        <f t="shared" si="1"/>
        <v>1000</v>
      </c>
    </row>
    <row r="34" customHeight="1" spans="2:15">
      <c r="C34" s="1">
        <v>29</v>
      </c>
      <c r="D34" s="1">
        <v>0</v>
      </c>
      <c r="E34" s="1">
        <v>0</v>
      </c>
      <c r="F34" s="6" t="s">
        <v>74</v>
      </c>
      <c r="G34" s="1">
        <v>10</v>
      </c>
      <c r="H34" s="1" t="s">
        <v>75</v>
      </c>
      <c r="I34" s="1" t="s">
        <v>76</v>
      </c>
      <c r="J34" s="1">
        <v>4</v>
      </c>
      <c r="K34" s="1">
        <v>22</v>
      </c>
      <c r="L34" s="1">
        <v>1</v>
      </c>
      <c r="M34" s="1">
        <f t="shared" si="1"/>
        <v>300000</v>
      </c>
    </row>
    <row r="35" customHeight="1" spans="2:15">
      <c r="C35" s="1">
        <v>30</v>
      </c>
      <c r="D35" s="1">
        <v>0</v>
      </c>
      <c r="E35" s="1">
        <v>0</v>
      </c>
      <c r="F35" s="6" t="s">
        <v>77</v>
      </c>
      <c r="G35" s="1">
        <v>5</v>
      </c>
      <c r="H35" s="1" t="s">
        <v>78</v>
      </c>
      <c r="I35" s="1" t="s">
        <v>79</v>
      </c>
      <c r="J35" s="1">
        <v>4</v>
      </c>
      <c r="K35" s="1">
        <v>26</v>
      </c>
      <c r="L35" s="1">
        <v>1</v>
      </c>
      <c r="M35" s="1">
        <f t="shared" si="1"/>
        <v>250000</v>
      </c>
    </row>
    <row r="36" customHeight="1" spans="2:15">
      <c r="C36" s="1">
        <v>31</v>
      </c>
      <c r="D36" s="1">
        <v>0</v>
      </c>
      <c r="E36" s="1">
        <v>0</v>
      </c>
      <c r="F36" s="6" t="s">
        <v>80</v>
      </c>
      <c r="G36" s="1">
        <v>2</v>
      </c>
      <c r="H36" s="1" t="s">
        <v>81</v>
      </c>
      <c r="I36" s="1" t="s">
        <v>82</v>
      </c>
      <c r="J36" s="1">
        <v>4</v>
      </c>
      <c r="K36" s="1">
        <v>25</v>
      </c>
      <c r="L36" s="1">
        <v>1</v>
      </c>
      <c r="M36" s="1">
        <f t="shared" si="1"/>
        <v>400000</v>
      </c>
    </row>
    <row r="37" customHeight="1" spans="2:15">
      <c r="C37" s="1">
        <v>32</v>
      </c>
      <c r="D37" s="1">
        <v>0</v>
      </c>
      <c r="E37" s="1">
        <v>0</v>
      </c>
      <c r="F37" s="6" t="s">
        <v>83</v>
      </c>
      <c r="G37" s="1">
        <v>10</v>
      </c>
      <c r="H37" s="1" t="s">
        <v>84</v>
      </c>
      <c r="I37" s="1" t="s">
        <v>85</v>
      </c>
      <c r="J37" s="1">
        <v>4</v>
      </c>
      <c r="K37" s="1">
        <v>28</v>
      </c>
      <c r="L37" s="1">
        <v>1</v>
      </c>
      <c r="M37" s="1">
        <f t="shared" si="1"/>
        <v>1500000</v>
      </c>
    </row>
    <row r="38" customHeight="1" spans="2:15">
      <c r="C38" s="1">
        <v>33</v>
      </c>
      <c r="D38" s="1">
        <v>0</v>
      </c>
      <c r="E38" s="1">
        <v>0</v>
      </c>
      <c r="F38" s="1">
        <v>150000</v>
      </c>
      <c r="G38" s="1">
        <v>4</v>
      </c>
      <c r="H38" s="1" t="s">
        <v>86</v>
      </c>
      <c r="I38" s="1" t="s">
        <v>87</v>
      </c>
      <c r="J38" s="1">
        <v>4</v>
      </c>
      <c r="K38" s="1">
        <v>30</v>
      </c>
      <c r="L38" s="1">
        <v>1</v>
      </c>
      <c r="M38" s="1">
        <f t="shared" si="1"/>
        <v>600000</v>
      </c>
    </row>
    <row r="39" customHeight="1" spans="2:15">
      <c r="C39" s="1">
        <v>34</v>
      </c>
      <c r="D39" s="1">
        <v>0</v>
      </c>
      <c r="E39" s="1">
        <v>0</v>
      </c>
      <c r="F39" s="1">
        <v>300000</v>
      </c>
      <c r="G39" s="1">
        <v>2</v>
      </c>
      <c r="H39" s="1" t="s">
        <v>88</v>
      </c>
      <c r="I39" s="1" t="s">
        <v>89</v>
      </c>
      <c r="J39" s="1">
        <v>4</v>
      </c>
      <c r="K39" s="1">
        <v>31</v>
      </c>
      <c r="L39" s="1">
        <v>1</v>
      </c>
      <c r="M39" s="1">
        <f t="shared" si="1"/>
        <v>600000</v>
      </c>
    </row>
    <row r="40" customHeight="1" spans="2:15">
      <c r="C40" s="1">
        <v>35</v>
      </c>
      <c r="D40" s="1">
        <v>0</v>
      </c>
      <c r="E40" s="1">
        <v>0</v>
      </c>
      <c r="F40" s="1">
        <v>1000</v>
      </c>
      <c r="G40" s="1">
        <v>5000</v>
      </c>
      <c r="H40" s="1" t="s">
        <v>90</v>
      </c>
      <c r="I40" s="1" t="s">
        <v>91</v>
      </c>
      <c r="J40" s="1">
        <v>5</v>
      </c>
      <c r="K40" s="1">
        <v>4021</v>
      </c>
      <c r="L40" s="1">
        <v>1</v>
      </c>
      <c r="M40" s="1">
        <f t="shared" si="1"/>
        <v>5000000</v>
      </c>
    </row>
    <row r="41" customHeight="1" spans="2:15">
      <c r="C41" s="1">
        <v>36</v>
      </c>
      <c r="D41" s="1">
        <v>0</v>
      </c>
      <c r="E41" s="1">
        <v>0</v>
      </c>
      <c r="F41" s="1">
        <v>20000</v>
      </c>
      <c r="G41" s="1">
        <v>100</v>
      </c>
      <c r="H41" s="1" t="s">
        <v>92</v>
      </c>
      <c r="I41" s="1" t="s">
        <v>93</v>
      </c>
      <c r="J41" s="1">
        <v>5</v>
      </c>
      <c r="K41" s="1">
        <v>4018</v>
      </c>
      <c r="L41" s="1">
        <v>10</v>
      </c>
      <c r="M41" s="1">
        <f t="shared" si="1"/>
        <v>2000000</v>
      </c>
    </row>
    <row r="42" customHeight="1" spans="2:15">
      <c r="C42" s="1">
        <v>37</v>
      </c>
      <c r="D42" s="1">
        <v>0</v>
      </c>
      <c r="E42" s="1">
        <v>0</v>
      </c>
      <c r="F42" s="1">
        <v>10000</v>
      </c>
      <c r="G42" s="1">
        <v>100</v>
      </c>
      <c r="H42" s="1" t="s">
        <v>94</v>
      </c>
      <c r="I42" s="1" t="s">
        <v>95</v>
      </c>
      <c r="J42" s="1">
        <v>15</v>
      </c>
      <c r="K42" s="1">
        <v>4020</v>
      </c>
      <c r="L42" s="1">
        <v>1</v>
      </c>
      <c r="M42" s="1">
        <f t="shared" si="1"/>
        <v>1000000</v>
      </c>
    </row>
    <row r="43" s="1" customFormat="1" customHeight="1" spans="2:15">
      <c r="C43" s="1">
        <v>39</v>
      </c>
      <c r="D43" s="1">
        <v>0</v>
      </c>
      <c r="E43" s="1">
        <v>4</v>
      </c>
      <c r="F43" s="1">
        <v>200000</v>
      </c>
      <c r="G43" s="1">
        <v>10</v>
      </c>
      <c r="H43" s="1" t="s">
        <v>96</v>
      </c>
      <c r="I43" s="1" t="s">
        <v>97</v>
      </c>
      <c r="J43" s="1">
        <v>5</v>
      </c>
      <c r="K43" s="1">
        <v>4027</v>
      </c>
      <c r="L43" s="1">
        <v>1</v>
      </c>
      <c r="M43" s="1">
        <f t="shared" si="1"/>
        <v>2000000</v>
      </c>
    </row>
    <row r="44" customHeight="1" spans="2:15">
      <c r="C44" s="1">
        <v>40</v>
      </c>
      <c r="D44" s="1">
        <v>0</v>
      </c>
      <c r="E44" s="1">
        <v>4</v>
      </c>
      <c r="F44" s="1">
        <v>10000</v>
      </c>
      <c r="G44" s="1">
        <v>200</v>
      </c>
      <c r="H44" s="1" t="s">
        <v>98</v>
      </c>
      <c r="I44" s="1" t="s">
        <v>98</v>
      </c>
      <c r="J44" s="1">
        <v>4</v>
      </c>
      <c r="K44" s="4">
        <v>36</v>
      </c>
      <c r="L44" s="1">
        <v>1</v>
      </c>
      <c r="M44" s="1">
        <f t="shared" si="1"/>
        <v>2000000</v>
      </c>
    </row>
    <row r="45" customHeight="1" spans="2:15">
      <c r="C45" s="1">
        <v>41</v>
      </c>
      <c r="D45" s="1">
        <v>0</v>
      </c>
      <c r="E45" s="1">
        <v>0</v>
      </c>
      <c r="F45" s="1">
        <v>50000</v>
      </c>
      <c r="G45" s="1">
        <v>100</v>
      </c>
      <c r="H45" s="1" t="s">
        <v>99</v>
      </c>
      <c r="I45" s="1" t="s">
        <v>100</v>
      </c>
      <c r="J45" s="1">
        <v>4</v>
      </c>
      <c r="K45" s="1">
        <v>24</v>
      </c>
      <c r="L45" s="1">
        <v>1</v>
      </c>
      <c r="M45" s="1">
        <f t="shared" si="1"/>
        <v>5000000</v>
      </c>
    </row>
    <row r="46" customHeight="1" spans="2:15">
      <c r="C46" s="1">
        <v>42</v>
      </c>
      <c r="D46" s="1">
        <v>0</v>
      </c>
      <c r="E46" s="1">
        <v>4</v>
      </c>
      <c r="F46" s="1">
        <v>15000</v>
      </c>
      <c r="G46" s="1">
        <v>200</v>
      </c>
      <c r="H46" s="1" t="s">
        <v>101</v>
      </c>
      <c r="I46" s="1" t="s">
        <v>101</v>
      </c>
      <c r="J46" s="1">
        <v>4</v>
      </c>
      <c r="K46" s="4">
        <v>54</v>
      </c>
      <c r="L46" s="1">
        <v>1</v>
      </c>
      <c r="M46" s="1">
        <f t="shared" si="1"/>
        <v>3000000</v>
      </c>
    </row>
    <row r="47" customFormat="1" customHeight="1" spans="2: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1" customHeight="1" spans="2:15">
      <c r="B48" s="1"/>
      <c r="C48" s="1">
        <v>50</v>
      </c>
      <c r="D48" s="1">
        <v>0</v>
      </c>
      <c r="E48" s="1">
        <v>0</v>
      </c>
      <c r="F48" s="1">
        <v>100000</v>
      </c>
      <c r="G48" s="1">
        <v>10</v>
      </c>
      <c r="H48" s="1" t="s">
        <v>102</v>
      </c>
      <c r="I48" s="1" t="s">
        <v>103</v>
      </c>
      <c r="J48" s="1">
        <v>5</v>
      </c>
      <c r="K48" s="1">
        <v>4034</v>
      </c>
      <c r="L48" s="1">
        <v>1</v>
      </c>
      <c r="M48" s="1">
        <f t="shared" ref="M48:M52" si="2">F48*G48</f>
        <v>1000000</v>
      </c>
      <c r="N48" s="1"/>
      <c r="O48" s="1"/>
    </row>
    <row r="49" customFormat="1" customHeight="1" spans="1:15">
      <c r="B49" s="1"/>
      <c r="C49" s="1">
        <v>51</v>
      </c>
      <c r="D49" s="1">
        <v>0</v>
      </c>
      <c r="E49" s="1">
        <v>0</v>
      </c>
      <c r="F49" s="1">
        <v>150000</v>
      </c>
      <c r="G49" s="1">
        <v>5</v>
      </c>
      <c r="H49" s="1" t="s">
        <v>104</v>
      </c>
      <c r="I49" s="1" t="s">
        <v>104</v>
      </c>
      <c r="J49" s="1">
        <v>5</v>
      </c>
      <c r="K49" s="1">
        <v>4112</v>
      </c>
      <c r="L49" s="1">
        <v>1</v>
      </c>
      <c r="M49" s="1">
        <f t="shared" si="2"/>
        <v>750000</v>
      </c>
      <c r="N49" s="1"/>
      <c r="O49" s="1"/>
    </row>
    <row r="50" customFormat="1" customHeight="1" spans="1:15">
      <c r="A50" s="1"/>
      <c r="B50" s="1"/>
      <c r="C50" s="1">
        <v>52</v>
      </c>
      <c r="D50" s="1">
        <v>0</v>
      </c>
      <c r="E50" s="1">
        <v>10</v>
      </c>
      <c r="F50" s="1">
        <v>80000</v>
      </c>
      <c r="G50" s="1">
        <v>40</v>
      </c>
      <c r="H50" s="1" t="s">
        <v>105</v>
      </c>
      <c r="I50" s="1" t="s">
        <v>106</v>
      </c>
      <c r="J50" s="1">
        <v>5</v>
      </c>
      <c r="K50" s="1">
        <v>4033</v>
      </c>
      <c r="L50" s="1">
        <v>500</v>
      </c>
      <c r="M50" s="1">
        <f t="shared" si="2"/>
        <v>3200000</v>
      </c>
      <c r="N50" s="1"/>
      <c r="O50" s="1"/>
    </row>
    <row r="51" customFormat="1" customHeight="1" spans="1:15">
      <c r="A51" s="1"/>
      <c r="B51" s="1"/>
      <c r="C51" s="1">
        <v>53</v>
      </c>
      <c r="D51" s="1">
        <v>0</v>
      </c>
      <c r="E51" s="1">
        <v>20</v>
      </c>
      <c r="F51" s="1">
        <v>100000</v>
      </c>
      <c r="G51" s="1">
        <v>40</v>
      </c>
      <c r="H51" s="1" t="s">
        <v>107</v>
      </c>
      <c r="I51" s="1" t="s">
        <v>107</v>
      </c>
      <c r="J51" s="1">
        <v>5</v>
      </c>
      <c r="K51" s="1">
        <v>4040</v>
      </c>
      <c r="L51" s="1">
        <v>500</v>
      </c>
      <c r="M51" s="1">
        <f t="shared" si="2"/>
        <v>4000000</v>
      </c>
      <c r="N51" s="1"/>
      <c r="O51" s="1"/>
    </row>
    <row r="52" customFormat="1" customHeight="1" spans="1:15">
      <c r="A52" s="1"/>
      <c r="B52" s="1"/>
      <c r="C52" s="1">
        <v>54</v>
      </c>
      <c r="D52" s="1">
        <v>0</v>
      </c>
      <c r="E52" s="1">
        <v>20</v>
      </c>
      <c r="F52" s="1">
        <v>150000</v>
      </c>
      <c r="G52" s="1">
        <v>40</v>
      </c>
      <c r="H52" s="1" t="s">
        <v>108</v>
      </c>
      <c r="I52" s="1" t="s">
        <v>108</v>
      </c>
      <c r="J52" s="1">
        <v>5</v>
      </c>
      <c r="K52" s="1">
        <v>4050</v>
      </c>
      <c r="L52" s="1">
        <v>500</v>
      </c>
      <c r="M52" s="1">
        <f t="shared" si="2"/>
        <v>6000000</v>
      </c>
      <c r="N52" s="1"/>
      <c r="O52" s="1"/>
    </row>
    <row r="53" customFormat="1" customHeight="1" spans="1:15">
      <c r="B53" s="1"/>
      <c r="C53" s="1">
        <v>55</v>
      </c>
      <c r="D53" s="1">
        <v>0</v>
      </c>
      <c r="E53" s="1">
        <v>15</v>
      </c>
      <c r="F53" s="1">
        <v>500000</v>
      </c>
      <c r="G53" s="1">
        <v>3</v>
      </c>
      <c r="H53" s="1" t="s">
        <v>109</v>
      </c>
      <c r="I53" s="1" t="s">
        <v>109</v>
      </c>
      <c r="J53" s="1">
        <v>4</v>
      </c>
      <c r="K53" s="1">
        <v>29</v>
      </c>
      <c r="L53" s="1">
        <v>1</v>
      </c>
      <c r="M53" s="1">
        <f t="shared" ref="M53:M64" si="3">F53*G53</f>
        <v>1500000</v>
      </c>
      <c r="N53" s="1"/>
      <c r="O53" s="1"/>
    </row>
    <row r="55" s="1" customFormat="1" customHeight="1" spans="1:15">
      <c r="C55" s="1">
        <v>60</v>
      </c>
      <c r="D55" s="1">
        <v>0</v>
      </c>
      <c r="E55" s="1">
        <v>0</v>
      </c>
      <c r="F55" s="1">
        <v>208888</v>
      </c>
      <c r="G55" s="1">
        <v>2</v>
      </c>
      <c r="H55" s="1" t="s">
        <v>110</v>
      </c>
      <c r="I55" s="1" t="s">
        <v>111</v>
      </c>
      <c r="J55" s="1">
        <v>4</v>
      </c>
      <c r="K55" s="1">
        <v>204</v>
      </c>
      <c r="L55" s="1">
        <v>1</v>
      </c>
      <c r="M55" s="1">
        <f t="shared" si="3"/>
        <v>417776</v>
      </c>
    </row>
    <row r="56" s="1" customFormat="1" customHeight="1" spans="1:15">
      <c r="C56" s="1">
        <v>61</v>
      </c>
      <c r="D56" s="1">
        <v>0</v>
      </c>
      <c r="E56" s="1">
        <v>10</v>
      </c>
      <c r="F56" s="1">
        <v>800000</v>
      </c>
      <c r="G56" s="1">
        <v>2</v>
      </c>
      <c r="H56" s="1" t="s">
        <v>112</v>
      </c>
      <c r="I56" s="1" t="s">
        <v>112</v>
      </c>
      <c r="J56" s="1">
        <v>4</v>
      </c>
      <c r="K56" s="1">
        <v>205</v>
      </c>
      <c r="L56" s="1">
        <v>1</v>
      </c>
      <c r="M56" s="1">
        <f t="shared" si="3"/>
        <v>1600000</v>
      </c>
    </row>
    <row r="57" s="1" customFormat="1" customHeight="1" spans="1:15">
      <c r="C57" s="1">
        <v>62</v>
      </c>
      <c r="D57" s="1">
        <v>0</v>
      </c>
      <c r="E57" s="1">
        <v>10</v>
      </c>
      <c r="F57" s="1">
        <v>1000000</v>
      </c>
      <c r="G57" s="1">
        <v>1</v>
      </c>
      <c r="H57" s="1" t="s">
        <v>113</v>
      </c>
      <c r="I57" s="1" t="s">
        <v>112</v>
      </c>
      <c r="J57" s="1">
        <v>4</v>
      </c>
      <c r="K57" s="1">
        <v>207</v>
      </c>
      <c r="L57" s="1">
        <v>1</v>
      </c>
      <c r="M57" s="1">
        <f t="shared" si="3"/>
        <v>1000000</v>
      </c>
    </row>
    <row r="58" customFormat="1" customHeight="1" spans="1:15">
      <c r="A58" s="1"/>
      <c r="B58" s="1"/>
      <c r="C58" s="1">
        <v>63</v>
      </c>
      <c r="D58" s="1">
        <v>0</v>
      </c>
      <c r="E58" s="1">
        <v>10</v>
      </c>
      <c r="F58" s="1">
        <v>800000</v>
      </c>
      <c r="G58" s="1">
        <v>3</v>
      </c>
      <c r="H58" s="1" t="s">
        <v>114</v>
      </c>
      <c r="I58" s="1" t="s">
        <v>114</v>
      </c>
      <c r="J58" s="1">
        <v>5</v>
      </c>
      <c r="K58" s="1">
        <v>4025</v>
      </c>
      <c r="L58" s="1">
        <v>1</v>
      </c>
      <c r="M58" s="1">
        <f t="shared" si="3"/>
        <v>2400000</v>
      </c>
      <c r="N58" s="1"/>
      <c r="O58" s="1"/>
    </row>
    <row r="59" customFormat="1" customHeight="1" spans="1:15">
      <c r="A59" s="1"/>
      <c r="B59" s="1"/>
      <c r="C59" s="1">
        <v>64</v>
      </c>
      <c r="D59" s="1">
        <v>0</v>
      </c>
      <c r="E59" s="1">
        <v>15</v>
      </c>
      <c r="F59" s="1">
        <v>1500000</v>
      </c>
      <c r="G59" s="1">
        <v>1</v>
      </c>
      <c r="H59" s="1" t="s">
        <v>115</v>
      </c>
      <c r="I59" s="1" t="s">
        <v>115</v>
      </c>
      <c r="J59" s="1">
        <v>5</v>
      </c>
      <c r="K59" s="1">
        <v>4041</v>
      </c>
      <c r="L59" s="1">
        <v>1</v>
      </c>
      <c r="M59" s="1">
        <f t="shared" si="3"/>
        <v>1500000</v>
      </c>
      <c r="N59" s="1"/>
      <c r="O59" s="1"/>
    </row>
    <row r="60" s="1" customFormat="1" customHeight="1" spans="1:15">
      <c r="C60" s="1">
        <v>65</v>
      </c>
      <c r="D60" s="1">
        <v>0</v>
      </c>
      <c r="E60" s="1">
        <v>10</v>
      </c>
      <c r="F60" s="1">
        <v>500000</v>
      </c>
      <c r="G60" s="1">
        <v>1</v>
      </c>
      <c r="H60" s="1" t="s">
        <v>116</v>
      </c>
      <c r="I60" s="1" t="s">
        <v>116</v>
      </c>
      <c r="J60" s="1">
        <v>5</v>
      </c>
      <c r="K60" s="1">
        <v>4052</v>
      </c>
      <c r="L60" s="1">
        <v>1</v>
      </c>
      <c r="M60" s="1">
        <f t="shared" si="3"/>
        <v>500000</v>
      </c>
    </row>
    <row r="61" s="1" customFormat="1" customHeight="1" spans="1:15">
      <c r="C61" s="1">
        <v>66</v>
      </c>
      <c r="D61" s="1">
        <v>0</v>
      </c>
      <c r="E61" s="1">
        <v>0</v>
      </c>
      <c r="F61" s="1">
        <v>500</v>
      </c>
      <c r="G61" s="1">
        <v>10000</v>
      </c>
      <c r="H61" s="1" t="s">
        <v>117</v>
      </c>
      <c r="I61" s="1" t="s">
        <v>118</v>
      </c>
      <c r="J61" s="1">
        <v>5</v>
      </c>
      <c r="K61" s="1">
        <v>4022</v>
      </c>
      <c r="L61" s="1">
        <v>100</v>
      </c>
      <c r="M61" s="1">
        <f t="shared" si="3"/>
        <v>5000000</v>
      </c>
    </row>
    <row r="62" s="1" customFormat="1" customHeight="1" spans="1:15">
      <c r="C62" s="1">
        <v>67</v>
      </c>
      <c r="D62" s="1">
        <v>0</v>
      </c>
      <c r="E62" s="1">
        <v>10</v>
      </c>
      <c r="F62" s="1">
        <v>1000</v>
      </c>
      <c r="G62" s="1">
        <v>2000</v>
      </c>
      <c r="H62" s="1" t="s">
        <v>119</v>
      </c>
      <c r="I62" s="1" t="s">
        <v>120</v>
      </c>
      <c r="J62" s="1">
        <v>5</v>
      </c>
      <c r="K62" s="1">
        <v>4051</v>
      </c>
      <c r="L62" s="1">
        <v>100</v>
      </c>
      <c r="M62" s="1">
        <f t="shared" si="3"/>
        <v>2000000</v>
      </c>
    </row>
    <row r="63" s="1" customFormat="1" customHeight="1" spans="1:15">
      <c r="C63" s="1">
        <v>68</v>
      </c>
      <c r="D63" s="1">
        <v>0</v>
      </c>
      <c r="E63" s="1">
        <v>15</v>
      </c>
      <c r="F63" s="1">
        <v>3000000</v>
      </c>
      <c r="G63" s="1">
        <v>1</v>
      </c>
      <c r="H63" s="1" t="s">
        <v>121</v>
      </c>
      <c r="I63" s="1" t="s">
        <v>121</v>
      </c>
      <c r="J63" s="1">
        <v>4</v>
      </c>
      <c r="K63" s="1">
        <v>211</v>
      </c>
      <c r="L63" s="1">
        <v>1</v>
      </c>
      <c r="M63" s="1">
        <f t="shared" si="3"/>
        <v>3000000</v>
      </c>
    </row>
    <row r="64" s="1" customFormat="1" customHeight="1" spans="1:15">
      <c r="C64" s="1">
        <v>69</v>
      </c>
      <c r="D64" s="1">
        <v>0</v>
      </c>
      <c r="E64" s="1">
        <v>15</v>
      </c>
      <c r="F64" s="1">
        <v>3000000</v>
      </c>
      <c r="G64" s="1">
        <v>1</v>
      </c>
      <c r="H64" s="1" t="s">
        <v>122</v>
      </c>
      <c r="I64" s="1" t="s">
        <v>122</v>
      </c>
      <c r="J64" s="1">
        <v>4</v>
      </c>
      <c r="K64" s="1">
        <v>303</v>
      </c>
      <c r="L64" s="1">
        <v>1</v>
      </c>
      <c r="M64" s="1">
        <f t="shared" si="3"/>
        <v>3000000</v>
      </c>
    </row>
    <row r="65" customFormat="1" customHeight="1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1" customHeight="1" spans="1:15">
      <c r="A66" s="1"/>
      <c r="B66" s="1"/>
      <c r="C66" s="1">
        <v>71</v>
      </c>
      <c r="D66" s="1">
        <v>0</v>
      </c>
      <c r="E66" s="1">
        <v>10</v>
      </c>
      <c r="F66" s="1">
        <v>20000</v>
      </c>
      <c r="G66" s="1">
        <v>450</v>
      </c>
      <c r="H66" s="1" t="s">
        <v>123</v>
      </c>
      <c r="I66" s="1" t="s">
        <v>124</v>
      </c>
      <c r="J66" s="1">
        <v>5</v>
      </c>
      <c r="K66" s="1">
        <v>4035</v>
      </c>
      <c r="L66" s="1">
        <v>1</v>
      </c>
      <c r="M66" s="1">
        <f t="shared" ref="M66:M72" si="4">F66*G66</f>
        <v>9000000</v>
      </c>
      <c r="N66" s="1"/>
      <c r="O66" s="1"/>
    </row>
    <row r="67" s="1" customFormat="1" customHeight="1" spans="1:15">
      <c r="C67" s="1">
        <v>72</v>
      </c>
      <c r="D67" s="1">
        <v>0</v>
      </c>
      <c r="E67" s="1">
        <v>15</v>
      </c>
      <c r="F67" s="1">
        <v>30000</v>
      </c>
      <c r="G67" s="1">
        <v>450</v>
      </c>
      <c r="H67" s="1" t="s">
        <v>125</v>
      </c>
      <c r="I67" s="1" t="s">
        <v>126</v>
      </c>
      <c r="J67" s="1">
        <v>5</v>
      </c>
      <c r="K67" s="1">
        <v>4039</v>
      </c>
      <c r="L67" s="1">
        <v>1</v>
      </c>
      <c r="M67" s="1">
        <f t="shared" si="4"/>
        <v>13500000</v>
      </c>
    </row>
    <row r="68" customHeight="1" spans="1:15">
      <c r="C68" s="1">
        <v>73</v>
      </c>
      <c r="D68" s="1">
        <v>0</v>
      </c>
      <c r="E68" s="1">
        <v>0</v>
      </c>
      <c r="F68" s="1">
        <v>3000</v>
      </c>
      <c r="G68" s="1">
        <v>1000</v>
      </c>
      <c r="H68" s="1" t="s">
        <v>127</v>
      </c>
      <c r="I68" s="1" t="s">
        <v>128</v>
      </c>
      <c r="J68" s="1">
        <v>5</v>
      </c>
      <c r="K68" s="1">
        <v>4011</v>
      </c>
      <c r="L68" s="1">
        <v>1</v>
      </c>
      <c r="M68" s="1">
        <f t="shared" si="4"/>
        <v>3000000</v>
      </c>
    </row>
    <row r="69" customFormat="1" customHeight="1" spans="1:15">
      <c r="B69" s="1"/>
      <c r="C69" s="1">
        <v>74</v>
      </c>
      <c r="D69" s="1">
        <v>0</v>
      </c>
      <c r="E69" s="1">
        <v>1</v>
      </c>
      <c r="F69" s="1">
        <v>15000</v>
      </c>
      <c r="G69" s="1">
        <v>500</v>
      </c>
      <c r="H69" s="1" t="s">
        <v>129</v>
      </c>
      <c r="I69" s="1" t="s">
        <v>130</v>
      </c>
      <c r="J69" s="1">
        <v>5</v>
      </c>
      <c r="K69" s="1">
        <v>4019</v>
      </c>
      <c r="L69" s="1">
        <v>1</v>
      </c>
      <c r="M69" s="1">
        <f t="shared" si="4"/>
        <v>7500000</v>
      </c>
      <c r="N69" s="1">
        <v>1</v>
      </c>
      <c r="O69" s="1"/>
    </row>
    <row r="70" customFormat="1" customHeight="1" spans="1:15">
      <c r="A70" s="1"/>
      <c r="B70" s="1"/>
      <c r="C70" s="1">
        <v>75</v>
      </c>
      <c r="D70" s="1">
        <v>0</v>
      </c>
      <c r="E70" s="1">
        <v>6</v>
      </c>
      <c r="F70" s="1">
        <v>20000</v>
      </c>
      <c r="G70" s="1">
        <v>300</v>
      </c>
      <c r="H70" s="1" t="s">
        <v>131</v>
      </c>
      <c r="I70" s="1" t="s">
        <v>132</v>
      </c>
      <c r="J70" s="1">
        <v>5</v>
      </c>
      <c r="K70" s="1">
        <v>4026</v>
      </c>
      <c r="L70" s="1">
        <v>1</v>
      </c>
      <c r="M70" s="1">
        <f t="shared" si="4"/>
        <v>6000000</v>
      </c>
      <c r="N70" s="1">
        <v>1</v>
      </c>
      <c r="O70" s="1">
        <v>20</v>
      </c>
    </row>
    <row r="71" s="1" customFormat="1" customHeight="1" spans="1:15">
      <c r="C71" s="1">
        <v>76</v>
      </c>
      <c r="D71" s="1">
        <v>0</v>
      </c>
      <c r="E71" s="1">
        <v>20</v>
      </c>
      <c r="F71" s="1">
        <v>30000</v>
      </c>
      <c r="G71" s="1">
        <v>200</v>
      </c>
      <c r="H71" s="1" t="s">
        <v>133</v>
      </c>
      <c r="I71" s="1" t="s">
        <v>134</v>
      </c>
      <c r="J71" s="1">
        <v>5</v>
      </c>
      <c r="K71" s="1">
        <v>4038</v>
      </c>
      <c r="L71" s="1">
        <v>1</v>
      </c>
      <c r="M71" s="1">
        <f t="shared" si="4"/>
        <v>6000000</v>
      </c>
    </row>
    <row r="72" s="1" customFormat="1" customHeight="1" spans="1:15">
      <c r="C72" s="1">
        <v>77</v>
      </c>
      <c r="D72" s="1">
        <v>0</v>
      </c>
      <c r="E72" s="1">
        <v>20</v>
      </c>
      <c r="F72" s="1">
        <v>50000</v>
      </c>
      <c r="G72" s="1">
        <v>100</v>
      </c>
      <c r="H72" s="1" t="s">
        <v>135</v>
      </c>
      <c r="I72" s="1" t="s">
        <v>136</v>
      </c>
      <c r="J72" s="1">
        <v>5</v>
      </c>
      <c r="K72" s="1">
        <v>4046</v>
      </c>
      <c r="L72" s="1">
        <v>1</v>
      </c>
      <c r="M72" s="1">
        <f t="shared" si="4"/>
        <v>5000000</v>
      </c>
    </row>
    <row r="75" s="1" customFormat="1" customHeight="1" spans="1:15">
      <c r="C75" s="1">
        <v>80</v>
      </c>
      <c r="D75" s="1">
        <v>0</v>
      </c>
      <c r="E75" s="1">
        <v>15</v>
      </c>
      <c r="F75" s="1">
        <v>100000</v>
      </c>
      <c r="G75" s="1">
        <v>10</v>
      </c>
      <c r="H75" s="1" t="s">
        <v>137</v>
      </c>
      <c r="I75" s="1" t="s">
        <v>138</v>
      </c>
      <c r="J75" s="1">
        <v>11</v>
      </c>
      <c r="K75" s="1">
        <v>1998001</v>
      </c>
      <c r="L75" s="1">
        <v>1</v>
      </c>
      <c r="M75" s="1">
        <f>F75*G75</f>
        <v>1000000</v>
      </c>
    </row>
    <row r="76" customHeight="1" spans="1:15">
      <c r="C76" s="1">
        <v>81</v>
      </c>
      <c r="D76" s="1">
        <v>0</v>
      </c>
      <c r="E76" s="1">
        <v>15</v>
      </c>
      <c r="F76" s="1">
        <v>100000</v>
      </c>
      <c r="G76" s="1">
        <v>10</v>
      </c>
      <c r="H76" s="1" t="s">
        <v>139</v>
      </c>
      <c r="I76" s="1" t="s">
        <v>140</v>
      </c>
      <c r="J76" s="1">
        <v>11</v>
      </c>
      <c r="K76" s="1">
        <v>1998002</v>
      </c>
      <c r="L76" s="1">
        <v>1</v>
      </c>
      <c r="M76" s="1">
        <f>F76*G76</f>
        <v>1000000</v>
      </c>
    </row>
    <row r="77" customFormat="1" customHeight="1" spans="1:15">
      <c r="A77" s="1"/>
      <c r="B77" s="1"/>
      <c r="C77" s="1">
        <v>82</v>
      </c>
      <c r="D77" s="1">
        <v>0</v>
      </c>
      <c r="E77" s="1">
        <v>15</v>
      </c>
      <c r="F77" s="1">
        <v>100000</v>
      </c>
      <c r="G77" s="1">
        <v>10</v>
      </c>
      <c r="H77" s="1" t="s">
        <v>141</v>
      </c>
      <c r="I77" s="1" t="s">
        <v>142</v>
      </c>
      <c r="J77" s="1">
        <v>11</v>
      </c>
      <c r="K77" s="1">
        <v>1998003</v>
      </c>
      <c r="L77" s="1">
        <v>1</v>
      </c>
      <c r="M77" s="1">
        <f>F77*G77</f>
        <v>1000000</v>
      </c>
      <c r="N77" s="1"/>
      <c r="O77" s="1"/>
    </row>
    <row r="78" customFormat="1" customHeight="1" spans="1:15">
      <c r="A78" s="1"/>
      <c r="B78" s="1"/>
      <c r="C78" s="1">
        <v>83</v>
      </c>
      <c r="D78" s="1">
        <v>0</v>
      </c>
      <c r="E78" s="1">
        <v>15</v>
      </c>
      <c r="F78" s="1">
        <v>100000</v>
      </c>
      <c r="G78" s="1">
        <v>10</v>
      </c>
      <c r="H78" s="1" t="s">
        <v>143</v>
      </c>
      <c r="I78" s="1" t="s">
        <v>144</v>
      </c>
      <c r="J78" s="1">
        <v>11</v>
      </c>
      <c r="K78" s="1">
        <v>1998004</v>
      </c>
      <c r="L78" s="1">
        <v>1</v>
      </c>
      <c r="M78" s="1">
        <f>F78*G78</f>
        <v>1000000</v>
      </c>
      <c r="N78" s="1"/>
      <c r="O78" s="1"/>
    </row>
    <row r="79" customFormat="1" customHeight="1" spans="1:15">
      <c r="A79" s="1"/>
      <c r="B79" s="1"/>
      <c r="C79" s="1">
        <v>84</v>
      </c>
      <c r="D79" s="1">
        <v>0</v>
      </c>
      <c r="E79" s="1">
        <v>15</v>
      </c>
      <c r="F79" s="1">
        <v>100000</v>
      </c>
      <c r="G79" s="1">
        <v>10</v>
      </c>
      <c r="H79" s="1" t="s">
        <v>145</v>
      </c>
      <c r="I79" s="1" t="s">
        <v>146</v>
      </c>
      <c r="J79" s="1">
        <v>11</v>
      </c>
      <c r="K79" s="1">
        <v>1998005</v>
      </c>
      <c r="L79" s="1">
        <v>1</v>
      </c>
      <c r="M79" s="1">
        <f>F79*G79</f>
        <v>1000000</v>
      </c>
      <c r="N79" s="1"/>
      <c r="O79" s="1"/>
    </row>
    <row r="80" s="1" customFormat="1" customHeight="1" spans="1:15">
      <c r="A80"/>
      <c r="B80"/>
    </row>
    <row r="81" customFormat="1" customHeight="1" spans="1:1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1" customHeight="1" spans="1:15">
      <c r="B82" s="1"/>
      <c r="C82" s="1">
        <v>102</v>
      </c>
      <c r="D82" s="1">
        <v>1</v>
      </c>
      <c r="E82" s="1">
        <v>0</v>
      </c>
      <c r="F82" s="1">
        <v>100</v>
      </c>
      <c r="G82" s="1">
        <f t="shared" ref="G82:G86" si="5">N82*O82</f>
        <v>300</v>
      </c>
      <c r="H82" s="1" t="s">
        <v>147</v>
      </c>
      <c r="I82" s="1" t="s">
        <v>148</v>
      </c>
      <c r="J82" s="1">
        <v>5</v>
      </c>
      <c r="K82" s="1">
        <v>4007</v>
      </c>
      <c r="L82" s="1">
        <v>1000</v>
      </c>
      <c r="M82" s="1">
        <f>F82*G82</f>
        <v>30000</v>
      </c>
      <c r="N82" s="1">
        <v>1</v>
      </c>
      <c r="O82" s="1">
        <v>300</v>
      </c>
    </row>
    <row r="83" customFormat="1" customHeight="1" spans="1:15">
      <c r="B83" s="1"/>
      <c r="C83" s="1">
        <v>103</v>
      </c>
      <c r="D83" s="1">
        <v>1</v>
      </c>
      <c r="E83" s="1">
        <v>0</v>
      </c>
      <c r="F83" s="1">
        <v>100</v>
      </c>
      <c r="G83" s="1">
        <f t="shared" si="5"/>
        <v>500</v>
      </c>
      <c r="H83" s="1" t="s">
        <v>149</v>
      </c>
      <c r="I83" s="1" t="s">
        <v>150</v>
      </c>
      <c r="J83" s="1">
        <v>5</v>
      </c>
      <c r="K83" s="1">
        <v>4101</v>
      </c>
      <c r="L83" s="1">
        <v>1000</v>
      </c>
      <c r="M83" s="1">
        <f>F83*G83</f>
        <v>50000</v>
      </c>
      <c r="N83" s="1">
        <v>1</v>
      </c>
      <c r="O83" s="1">
        <v>500</v>
      </c>
    </row>
    <row r="84" customFormat="1" customHeight="1" spans="1:15">
      <c r="B84" s="1"/>
      <c r="C84" s="1">
        <v>104</v>
      </c>
      <c r="D84" s="1">
        <v>1</v>
      </c>
      <c r="E84" s="1">
        <v>0</v>
      </c>
      <c r="F84" s="1">
        <v>1000</v>
      </c>
      <c r="G84" s="1">
        <f t="shared" si="5"/>
        <v>40</v>
      </c>
      <c r="H84" s="1" t="s">
        <v>151</v>
      </c>
      <c r="I84" s="1" t="s">
        <v>152</v>
      </c>
      <c r="J84" s="1">
        <v>15</v>
      </c>
      <c r="K84" s="1">
        <v>4014</v>
      </c>
      <c r="L84" s="1">
        <v>100</v>
      </c>
      <c r="M84" s="1">
        <f>F84*G84</f>
        <v>40000</v>
      </c>
      <c r="N84" s="1">
        <v>1</v>
      </c>
      <c r="O84" s="1">
        <v>40</v>
      </c>
    </row>
    <row r="85" customFormat="1" customHeight="1" spans="1:15">
      <c r="A85" s="1"/>
      <c r="B85" s="1"/>
      <c r="C85" s="1">
        <v>106</v>
      </c>
      <c r="D85" s="1">
        <v>1</v>
      </c>
      <c r="E85" s="1">
        <v>0</v>
      </c>
      <c r="F85" s="1">
        <v>500</v>
      </c>
      <c r="G85" s="1">
        <f t="shared" si="5"/>
        <v>40</v>
      </c>
      <c r="H85" s="1" t="s">
        <v>153</v>
      </c>
      <c r="I85" s="1" t="s">
        <v>154</v>
      </c>
      <c r="J85" s="1">
        <v>5</v>
      </c>
      <c r="K85" s="1">
        <v>4001</v>
      </c>
      <c r="L85" s="1">
        <v>1000000</v>
      </c>
      <c r="M85" s="1">
        <f>F85*G85</f>
        <v>20000</v>
      </c>
      <c r="N85" s="1">
        <v>1</v>
      </c>
      <c r="O85" s="1">
        <v>40</v>
      </c>
    </row>
    <row r="86" customFormat="1" customHeight="1" spans="1:15">
      <c r="A86" s="1"/>
      <c r="B86" s="1"/>
      <c r="C86" s="1">
        <v>107</v>
      </c>
      <c r="D86" s="1">
        <v>1</v>
      </c>
      <c r="E86" s="1">
        <v>0</v>
      </c>
      <c r="F86" s="1">
        <v>500</v>
      </c>
      <c r="G86" s="1">
        <f t="shared" si="5"/>
        <v>40</v>
      </c>
      <c r="H86" s="1" t="s">
        <v>155</v>
      </c>
      <c r="I86" s="1" t="s">
        <v>156</v>
      </c>
      <c r="J86" s="1">
        <v>5</v>
      </c>
      <c r="K86" s="1">
        <v>4002</v>
      </c>
      <c r="L86" s="1">
        <v>6000000</v>
      </c>
      <c r="M86" s="1">
        <f>F86*G86</f>
        <v>20000</v>
      </c>
      <c r="N86" s="1">
        <v>1</v>
      </c>
      <c r="O86" s="1">
        <v>40</v>
      </c>
    </row>
    <row r="88" customFormat="1" customHeight="1" spans="1:15">
      <c r="A88" s="1"/>
      <c r="B8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="1" customFormat="1" customHeight="1" spans="1:15">
      <c r="C89" s="1">
        <v>201</v>
      </c>
      <c r="D89" s="1">
        <v>2</v>
      </c>
      <c r="E89" s="1">
        <v>0</v>
      </c>
      <c r="F89" s="5">
        <v>200</v>
      </c>
      <c r="G89" s="1">
        <f t="shared" ref="G89:G93" si="6">N89*O89</f>
        <v>300</v>
      </c>
      <c r="H89" s="1" t="s">
        <v>147</v>
      </c>
      <c r="I89" s="1" t="s">
        <v>148</v>
      </c>
      <c r="J89" s="1">
        <v>5</v>
      </c>
      <c r="K89" s="1">
        <v>4007</v>
      </c>
      <c r="L89" s="1">
        <v>1000</v>
      </c>
      <c r="M89" s="1">
        <f>F89*G89</f>
        <v>60000</v>
      </c>
      <c r="N89" s="1">
        <v>1</v>
      </c>
      <c r="O89" s="1">
        <v>300</v>
      </c>
    </row>
    <row r="90" s="1" customFormat="1" customHeight="1" spans="1:15">
      <c r="C90" s="1">
        <v>202</v>
      </c>
      <c r="D90" s="1">
        <v>2</v>
      </c>
      <c r="E90" s="1">
        <v>0</v>
      </c>
      <c r="F90" s="5">
        <v>200</v>
      </c>
      <c r="G90" s="1">
        <f t="shared" si="6"/>
        <v>500</v>
      </c>
      <c r="H90" s="1" t="s">
        <v>149</v>
      </c>
      <c r="I90" s="1" t="s">
        <v>150</v>
      </c>
      <c r="J90" s="1">
        <v>5</v>
      </c>
      <c r="K90" s="1">
        <v>4101</v>
      </c>
      <c r="L90" s="1">
        <v>1000</v>
      </c>
      <c r="M90" s="1">
        <f>F90*G90</f>
        <v>100000</v>
      </c>
      <c r="N90" s="1">
        <v>1</v>
      </c>
      <c r="O90" s="1">
        <v>500</v>
      </c>
    </row>
    <row r="91" s="1" customFormat="1" customHeight="1" spans="1:15">
      <c r="C91" s="1">
        <v>203</v>
      </c>
      <c r="D91" s="1">
        <v>2</v>
      </c>
      <c r="E91" s="1">
        <v>0</v>
      </c>
      <c r="F91" s="5">
        <v>2000</v>
      </c>
      <c r="G91" s="1">
        <f t="shared" si="6"/>
        <v>40</v>
      </c>
      <c r="H91" s="1" t="s">
        <v>151</v>
      </c>
      <c r="I91" s="1" t="s">
        <v>152</v>
      </c>
      <c r="J91" s="1">
        <v>15</v>
      </c>
      <c r="K91" s="1">
        <v>4014</v>
      </c>
      <c r="L91" s="1">
        <v>100</v>
      </c>
      <c r="M91" s="1">
        <f>F91*G91</f>
        <v>80000</v>
      </c>
      <c r="N91" s="1">
        <v>1</v>
      </c>
      <c r="O91" s="1">
        <v>40</v>
      </c>
    </row>
    <row r="92" s="1" customFormat="1" customHeight="1" spans="1:15">
      <c r="C92" s="1">
        <v>205</v>
      </c>
      <c r="D92" s="1">
        <v>2</v>
      </c>
      <c r="E92" s="1">
        <v>0</v>
      </c>
      <c r="F92" s="5">
        <v>1000</v>
      </c>
      <c r="G92" s="1">
        <f t="shared" si="6"/>
        <v>40</v>
      </c>
      <c r="H92" s="1" t="s">
        <v>153</v>
      </c>
      <c r="I92" s="1" t="s">
        <v>154</v>
      </c>
      <c r="J92" s="1">
        <v>5</v>
      </c>
      <c r="K92" s="1">
        <v>4001</v>
      </c>
      <c r="L92" s="1">
        <v>1000000</v>
      </c>
      <c r="M92" s="1">
        <f>F92*G92</f>
        <v>40000</v>
      </c>
      <c r="N92" s="1">
        <v>1</v>
      </c>
      <c r="O92" s="1">
        <v>40</v>
      </c>
    </row>
    <row r="93" s="1" customFormat="1" customHeight="1" spans="1:15">
      <c r="C93" s="1">
        <v>206</v>
      </c>
      <c r="D93" s="1">
        <v>2</v>
      </c>
      <c r="E93" s="1">
        <v>0</v>
      </c>
      <c r="F93" s="5">
        <v>1000</v>
      </c>
      <c r="G93" s="1">
        <f t="shared" si="6"/>
        <v>40</v>
      </c>
      <c r="H93" s="1" t="s">
        <v>155</v>
      </c>
      <c r="I93" s="1" t="s">
        <v>156</v>
      </c>
      <c r="J93" s="1">
        <v>5</v>
      </c>
      <c r="K93" s="1">
        <v>4002</v>
      </c>
      <c r="L93" s="1">
        <v>6000000</v>
      </c>
      <c r="M93" s="1">
        <f>F93*G93</f>
        <v>40000</v>
      </c>
      <c r="N93" s="1">
        <v>1</v>
      </c>
      <c r="O93" s="1">
        <v>40</v>
      </c>
    </row>
    <row r="94" customFormat="1" customHeight="1" spans="1:15">
      <c r="A94" s="1"/>
      <c r="B9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="1" customFormat="1" customHeight="1" spans="1:15">
      <c r="C95" s="1">
        <v>211</v>
      </c>
      <c r="D95" s="1">
        <v>3</v>
      </c>
      <c r="E95" s="1">
        <v>0</v>
      </c>
      <c r="F95" s="1">
        <v>400</v>
      </c>
      <c r="G95" s="1">
        <f t="shared" ref="G95:G99" si="7">N95*O95</f>
        <v>300</v>
      </c>
      <c r="H95" s="1" t="s">
        <v>147</v>
      </c>
      <c r="I95" s="1" t="s">
        <v>148</v>
      </c>
      <c r="J95" s="1">
        <v>5</v>
      </c>
      <c r="K95" s="1">
        <v>4007</v>
      </c>
      <c r="L95" s="1">
        <v>1000</v>
      </c>
      <c r="M95" s="1">
        <f>F95*G95</f>
        <v>120000</v>
      </c>
      <c r="N95" s="1">
        <v>1</v>
      </c>
      <c r="O95" s="1">
        <v>300</v>
      </c>
    </row>
    <row r="96" s="1" customFormat="1" customHeight="1" spans="1:15">
      <c r="C96" s="1">
        <v>212</v>
      </c>
      <c r="D96" s="1">
        <v>3</v>
      </c>
      <c r="E96" s="1">
        <v>0</v>
      </c>
      <c r="F96" s="1">
        <v>400</v>
      </c>
      <c r="G96" s="1">
        <f t="shared" si="7"/>
        <v>500</v>
      </c>
      <c r="H96" s="1" t="s">
        <v>149</v>
      </c>
      <c r="I96" s="1" t="s">
        <v>150</v>
      </c>
      <c r="J96" s="1">
        <v>5</v>
      </c>
      <c r="K96" s="1">
        <v>4101</v>
      </c>
      <c r="L96" s="1">
        <v>1000</v>
      </c>
      <c r="M96" s="1">
        <f>F96*G96</f>
        <v>200000</v>
      </c>
      <c r="N96" s="1">
        <v>1</v>
      </c>
      <c r="O96" s="1">
        <v>500</v>
      </c>
    </row>
    <row r="97" s="1" customFormat="1" customHeight="1" spans="1:15">
      <c r="C97" s="1">
        <v>213</v>
      </c>
      <c r="D97" s="1">
        <v>3</v>
      </c>
      <c r="E97" s="1">
        <v>0</v>
      </c>
      <c r="F97" s="1">
        <v>4000</v>
      </c>
      <c r="G97" s="1">
        <f t="shared" si="7"/>
        <v>40</v>
      </c>
      <c r="H97" s="1" t="s">
        <v>151</v>
      </c>
      <c r="I97" s="1" t="s">
        <v>152</v>
      </c>
      <c r="J97" s="1">
        <v>15</v>
      </c>
      <c r="K97" s="1">
        <v>4014</v>
      </c>
      <c r="L97" s="1">
        <v>100</v>
      </c>
      <c r="M97" s="1">
        <f>F97*G97</f>
        <v>160000</v>
      </c>
      <c r="N97" s="1">
        <v>1</v>
      </c>
      <c r="O97" s="1">
        <v>40</v>
      </c>
    </row>
    <row r="98" s="1" customFormat="1" customHeight="1" spans="1:15">
      <c r="C98" s="1">
        <v>215</v>
      </c>
      <c r="D98" s="1">
        <v>3</v>
      </c>
      <c r="E98" s="1">
        <v>0</v>
      </c>
      <c r="F98" s="1">
        <v>2000</v>
      </c>
      <c r="G98" s="1">
        <f t="shared" si="7"/>
        <v>40</v>
      </c>
      <c r="H98" s="1" t="s">
        <v>153</v>
      </c>
      <c r="I98" s="1" t="s">
        <v>154</v>
      </c>
      <c r="J98" s="1">
        <v>5</v>
      </c>
      <c r="K98" s="1">
        <v>4001</v>
      </c>
      <c r="L98" s="1">
        <v>1000000</v>
      </c>
      <c r="M98" s="1">
        <f>F98*G98</f>
        <v>80000</v>
      </c>
      <c r="N98" s="1">
        <v>1</v>
      </c>
      <c r="O98" s="1">
        <v>40</v>
      </c>
    </row>
    <row r="99" s="1" customFormat="1" customHeight="1" spans="1:15">
      <c r="C99" s="1">
        <v>216</v>
      </c>
      <c r="D99" s="1">
        <v>3</v>
      </c>
      <c r="E99" s="1">
        <v>0</v>
      </c>
      <c r="F99" s="1">
        <v>2000</v>
      </c>
      <c r="G99" s="1">
        <f t="shared" si="7"/>
        <v>40</v>
      </c>
      <c r="H99" s="1" t="s">
        <v>155</v>
      </c>
      <c r="I99" s="1" t="s">
        <v>156</v>
      </c>
      <c r="J99" s="1">
        <v>5</v>
      </c>
      <c r="K99" s="1">
        <v>4002</v>
      </c>
      <c r="L99" s="1">
        <v>6000000</v>
      </c>
      <c r="M99" s="1">
        <f>F99*G99</f>
        <v>80000</v>
      </c>
      <c r="N99" s="1">
        <v>1</v>
      </c>
      <c r="O99" s="1">
        <v>40</v>
      </c>
    </row>
    <row r="100" customFormat="1" customHeight="1" spans="1:15">
      <c r="A100" s="1"/>
      <c r="B10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="1" customFormat="1" customHeight="1" spans="1:15">
      <c r="C101" s="1">
        <v>221</v>
      </c>
      <c r="D101" s="1">
        <v>4</v>
      </c>
      <c r="E101" s="1">
        <v>0</v>
      </c>
      <c r="F101" s="5">
        <v>600</v>
      </c>
      <c r="G101" s="1">
        <f t="shared" ref="G101:G105" si="8">N101*O101</f>
        <v>300</v>
      </c>
      <c r="H101" s="1" t="s">
        <v>147</v>
      </c>
      <c r="I101" s="1" t="s">
        <v>148</v>
      </c>
      <c r="J101" s="1">
        <v>5</v>
      </c>
      <c r="K101" s="1">
        <v>4007</v>
      </c>
      <c r="L101" s="1">
        <v>1000</v>
      </c>
      <c r="M101" s="1">
        <f>F101*G101</f>
        <v>180000</v>
      </c>
      <c r="N101" s="1">
        <v>1</v>
      </c>
      <c r="O101" s="1">
        <v>300</v>
      </c>
    </row>
    <row r="102" s="1" customFormat="1" customHeight="1" spans="1:15">
      <c r="C102" s="1">
        <v>222</v>
      </c>
      <c r="D102" s="1">
        <v>4</v>
      </c>
      <c r="E102" s="1">
        <v>0</v>
      </c>
      <c r="F102" s="5">
        <v>600</v>
      </c>
      <c r="G102" s="1">
        <f t="shared" si="8"/>
        <v>500</v>
      </c>
      <c r="H102" s="1" t="s">
        <v>149</v>
      </c>
      <c r="I102" s="1" t="s">
        <v>150</v>
      </c>
      <c r="J102" s="1">
        <v>5</v>
      </c>
      <c r="K102" s="1">
        <v>4101</v>
      </c>
      <c r="L102" s="1">
        <v>1000</v>
      </c>
      <c r="M102" s="1">
        <f>F102*G102</f>
        <v>300000</v>
      </c>
      <c r="N102" s="1">
        <v>1</v>
      </c>
      <c r="O102" s="1">
        <v>500</v>
      </c>
    </row>
    <row r="103" s="1" customFormat="1" customHeight="1" spans="1:15">
      <c r="C103" s="1">
        <v>223</v>
      </c>
      <c r="D103" s="1">
        <v>4</v>
      </c>
      <c r="E103" s="1">
        <v>0</v>
      </c>
      <c r="F103" s="5">
        <v>6000</v>
      </c>
      <c r="G103" s="1">
        <f t="shared" si="8"/>
        <v>40</v>
      </c>
      <c r="H103" s="1" t="s">
        <v>151</v>
      </c>
      <c r="I103" s="1" t="s">
        <v>152</v>
      </c>
      <c r="J103" s="1">
        <v>15</v>
      </c>
      <c r="K103" s="1">
        <v>4014</v>
      </c>
      <c r="L103" s="1">
        <v>100</v>
      </c>
      <c r="M103" s="1">
        <f>F103*G103</f>
        <v>240000</v>
      </c>
      <c r="N103" s="1">
        <v>1</v>
      </c>
      <c r="O103" s="1">
        <v>40</v>
      </c>
    </row>
    <row r="104" s="1" customFormat="1" customHeight="1" spans="1:15">
      <c r="C104" s="1">
        <v>225</v>
      </c>
      <c r="D104" s="1">
        <v>4</v>
      </c>
      <c r="E104" s="1">
        <v>0</v>
      </c>
      <c r="F104" s="5">
        <v>3000</v>
      </c>
      <c r="G104" s="1">
        <f t="shared" si="8"/>
        <v>40</v>
      </c>
      <c r="H104" s="1" t="s">
        <v>153</v>
      </c>
      <c r="I104" s="1" t="s">
        <v>154</v>
      </c>
      <c r="J104" s="1">
        <v>5</v>
      </c>
      <c r="K104" s="1">
        <v>4001</v>
      </c>
      <c r="L104" s="1">
        <v>1000000</v>
      </c>
      <c r="M104" s="1">
        <f>F104*G104</f>
        <v>120000</v>
      </c>
      <c r="N104" s="1">
        <v>1</v>
      </c>
      <c r="O104" s="1">
        <v>40</v>
      </c>
    </row>
    <row r="105" s="1" customFormat="1" customHeight="1" spans="1:15">
      <c r="C105" s="1">
        <v>226</v>
      </c>
      <c r="D105" s="1">
        <v>4</v>
      </c>
      <c r="E105" s="1">
        <v>0</v>
      </c>
      <c r="F105" s="5">
        <v>3000</v>
      </c>
      <c r="G105" s="1">
        <f t="shared" si="8"/>
        <v>40</v>
      </c>
      <c r="H105" s="1" t="s">
        <v>155</v>
      </c>
      <c r="I105" s="1" t="s">
        <v>156</v>
      </c>
      <c r="J105" s="1">
        <v>5</v>
      </c>
      <c r="K105" s="1">
        <v>4002</v>
      </c>
      <c r="L105" s="1">
        <v>6000000</v>
      </c>
      <c r="M105" s="1">
        <f>F105*G105</f>
        <v>120000</v>
      </c>
      <c r="N105" s="1">
        <v>1</v>
      </c>
      <c r="O105" s="1">
        <v>40</v>
      </c>
    </row>
    <row r="106" customFormat="1" customHeight="1" spans="1:15">
      <c r="A106" s="1"/>
      <c r="B10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="1" customFormat="1" customHeight="1" spans="1:15">
      <c r="C107" s="1">
        <v>231</v>
      </c>
      <c r="D107" s="1">
        <v>5</v>
      </c>
      <c r="E107" s="1">
        <v>0</v>
      </c>
      <c r="F107" s="1">
        <v>800</v>
      </c>
      <c r="G107" s="1">
        <f t="shared" ref="G107:G111" si="9">N107*O107</f>
        <v>1200</v>
      </c>
      <c r="H107" s="1" t="s">
        <v>147</v>
      </c>
      <c r="I107" s="1" t="s">
        <v>148</v>
      </c>
      <c r="J107" s="1">
        <v>5</v>
      </c>
      <c r="K107" s="1">
        <v>4007</v>
      </c>
      <c r="L107" s="1">
        <v>1000</v>
      </c>
      <c r="M107" s="1">
        <f>F107*G107</f>
        <v>960000</v>
      </c>
      <c r="N107" s="1">
        <v>4</v>
      </c>
      <c r="O107" s="1">
        <v>300</v>
      </c>
    </row>
    <row r="108" s="1" customFormat="1" customHeight="1" spans="1:15">
      <c r="C108" s="1">
        <v>232</v>
      </c>
      <c r="D108" s="1">
        <v>5</v>
      </c>
      <c r="E108" s="1">
        <v>0</v>
      </c>
      <c r="F108" s="1">
        <v>800</v>
      </c>
      <c r="G108" s="1">
        <f t="shared" si="9"/>
        <v>2000</v>
      </c>
      <c r="H108" s="1" t="s">
        <v>149</v>
      </c>
      <c r="I108" s="1" t="s">
        <v>150</v>
      </c>
      <c r="J108" s="1">
        <v>5</v>
      </c>
      <c r="K108" s="1">
        <v>4101</v>
      </c>
      <c r="L108" s="1">
        <v>1000</v>
      </c>
      <c r="M108" s="1">
        <f>F108*G108</f>
        <v>1600000</v>
      </c>
      <c r="N108" s="1">
        <v>4</v>
      </c>
      <c r="O108" s="1">
        <v>500</v>
      </c>
    </row>
    <row r="109" s="1" customFormat="1" customHeight="1" spans="1:15">
      <c r="C109" s="1">
        <v>233</v>
      </c>
      <c r="D109" s="1">
        <v>5</v>
      </c>
      <c r="E109" s="1">
        <v>0</v>
      </c>
      <c r="F109" s="1">
        <v>8000</v>
      </c>
      <c r="G109" s="1">
        <f t="shared" si="9"/>
        <v>160</v>
      </c>
      <c r="H109" s="1" t="s">
        <v>151</v>
      </c>
      <c r="I109" s="1" t="s">
        <v>152</v>
      </c>
      <c r="J109" s="1">
        <v>15</v>
      </c>
      <c r="K109" s="1">
        <v>4014</v>
      </c>
      <c r="L109" s="1">
        <v>100</v>
      </c>
      <c r="M109" s="1">
        <f>F109*G109</f>
        <v>1280000</v>
      </c>
      <c r="N109" s="1">
        <v>4</v>
      </c>
      <c r="O109" s="1">
        <v>40</v>
      </c>
    </row>
    <row r="110" s="1" customFormat="1" customHeight="1" spans="1:15">
      <c r="C110" s="1">
        <v>235</v>
      </c>
      <c r="D110" s="1">
        <v>5</v>
      </c>
      <c r="E110" s="1">
        <v>0</v>
      </c>
      <c r="F110" s="1">
        <v>4000</v>
      </c>
      <c r="G110" s="1">
        <f t="shared" si="9"/>
        <v>160</v>
      </c>
      <c r="H110" s="1" t="s">
        <v>153</v>
      </c>
      <c r="I110" s="1" t="s">
        <v>154</v>
      </c>
      <c r="J110" s="1">
        <v>5</v>
      </c>
      <c r="K110" s="1">
        <v>4001</v>
      </c>
      <c r="L110" s="1">
        <v>1000000</v>
      </c>
      <c r="M110" s="1">
        <f>F110*G110</f>
        <v>640000</v>
      </c>
      <c r="N110" s="1">
        <v>4</v>
      </c>
      <c r="O110" s="1">
        <v>40</v>
      </c>
    </row>
    <row r="111" s="1" customFormat="1" customHeight="1" spans="1:15">
      <c r="C111" s="1">
        <v>236</v>
      </c>
      <c r="D111" s="1">
        <v>5</v>
      </c>
      <c r="E111" s="1">
        <v>0</v>
      </c>
      <c r="F111" s="1">
        <v>4000</v>
      </c>
      <c r="G111" s="1">
        <f t="shared" si="9"/>
        <v>160</v>
      </c>
      <c r="H111" s="1" t="s">
        <v>155</v>
      </c>
      <c r="I111" s="1" t="s">
        <v>156</v>
      </c>
      <c r="J111" s="1">
        <v>5</v>
      </c>
      <c r="K111" s="1">
        <v>4002</v>
      </c>
      <c r="L111" s="1">
        <v>6000000</v>
      </c>
      <c r="M111" s="1">
        <f>F111*G111</f>
        <v>640000</v>
      </c>
      <c r="N111" s="1">
        <v>4</v>
      </c>
      <c r="O111" s="1">
        <v>40</v>
      </c>
    </row>
    <row r="112" customFormat="1" customHeight="1" spans="1:15">
      <c r="A112" s="1"/>
      <c r="B11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/>
      <c r="O112" s="1"/>
    </row>
    <row r="113" s="1" customFormat="1" customHeight="1" spans="1:15">
      <c r="C113" s="1">
        <v>999</v>
      </c>
      <c r="D113" s="1">
        <v>0</v>
      </c>
      <c r="E113" s="1">
        <v>0</v>
      </c>
      <c r="F113" s="1">
        <v>1000</v>
      </c>
      <c r="G113" s="1">
        <v>100</v>
      </c>
      <c r="H113" s="1" t="s">
        <v>157</v>
      </c>
      <c r="I113" s="1" t="s">
        <v>158</v>
      </c>
      <c r="J113" s="1">
        <v>5</v>
      </c>
      <c r="K113" s="1">
        <v>4006</v>
      </c>
      <c r="L113" s="1">
        <v>1000</v>
      </c>
      <c r="M113" s="1">
        <f t="shared" ref="M113:M115" si="10">F113*G113</f>
        <v>100000</v>
      </c>
      <c r="O113" s="1">
        <v>40</v>
      </c>
    </row>
    <row r="114" s="1" customFormat="1" customHeight="1" spans="1:15">
      <c r="C114" s="1">
        <v>1000</v>
      </c>
      <c r="D114" s="1">
        <v>0</v>
      </c>
      <c r="E114" s="1">
        <v>0</v>
      </c>
      <c r="F114" s="1">
        <v>1000</v>
      </c>
      <c r="G114" s="1">
        <v>2000</v>
      </c>
      <c r="H114" s="1" t="s">
        <v>159</v>
      </c>
      <c r="I114" s="1" t="s">
        <v>160</v>
      </c>
      <c r="J114" s="1">
        <v>5</v>
      </c>
      <c r="K114" s="1">
        <v>4010</v>
      </c>
      <c r="L114" s="1">
        <v>5</v>
      </c>
      <c r="M114" s="1">
        <f t="shared" si="10"/>
        <v>2000000</v>
      </c>
      <c r="O114" s="1">
        <v>5</v>
      </c>
    </row>
    <row r="115" s="1" customFormat="1" customHeight="1" spans="1:15">
      <c r="C115" s="1">
        <v>1001</v>
      </c>
      <c r="D115" s="1">
        <v>0</v>
      </c>
      <c r="E115" s="1">
        <v>0</v>
      </c>
      <c r="F115" s="1">
        <v>2000</v>
      </c>
      <c r="G115" s="1">
        <v>100</v>
      </c>
      <c r="H115" s="1" t="s">
        <v>161</v>
      </c>
      <c r="I115" s="1" t="s">
        <v>162</v>
      </c>
      <c r="J115" s="1">
        <v>5</v>
      </c>
      <c r="K115" s="1">
        <v>4102</v>
      </c>
      <c r="L115" s="1">
        <v>20</v>
      </c>
      <c r="M115" s="1">
        <f t="shared" si="10"/>
        <v>200000</v>
      </c>
    </row>
    <row r="116" s="1" customFormat="1" customHeight="1" spans="1:15">
      <c r="A11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/>
    </row>
    <row r="121" customFormat="1" customHeight="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</sheetData>
  <dataValidations count="1">
    <dataValidation type="custom" allowBlank="1" showErrorMessage="1" errorTitle="拒绝重复输入" error="当前输入的内容，与本区域的其他单元格内容重复。" sqref="F3:H5" errorStyle="warning">
      <formula1>COUNTIF($C:$C,F3)&lt;2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2026-09-30T02:33:49Z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
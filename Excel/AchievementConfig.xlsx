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广告次数
2 真实广告次数
3 强化等级
4 精练等级
5 人物等级
6 BOSS之家挑战次数
8 守卫龙城层数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增加属性
2 减少词条上限
3 回收精炼石增加
4 魂环碎片掉落增加
5 减少闯关寻怪时间
6 技能出战栏</t>
        </r>
      </text>
    </comment>
  </commentList>
</comments>
</file>

<file path=xl/sharedStrings.xml><?xml version="1.0" encoding="utf-8"?>
<sst xmlns="http://schemas.openxmlformats.org/spreadsheetml/2006/main" count="4066" uniqueCount="1567">
  <si>
    <t>#</t>
  </si>
  <si>
    <t>_id</t>
  </si>
  <si>
    <t>Name</t>
  </si>
  <si>
    <t>Type</t>
  </si>
  <si>
    <t>Condition</t>
  </si>
  <si>
    <t>RewardType</t>
  </si>
  <si>
    <t>AttrId</t>
  </si>
  <si>
    <t>AttrValue</t>
  </si>
  <si>
    <t>Memo</t>
  </si>
  <si>
    <t>Id</t>
  </si>
  <si>
    <t>int</t>
  </si>
  <si>
    <t>string</t>
  </si>
  <si>
    <t>long</t>
  </si>
  <si>
    <t>支持1</t>
  </si>
  <si>
    <t>观看广告{0}次</t>
  </si>
  <si>
    <t>攻击</t>
  </si>
  <si>
    <t>支持2</t>
  </si>
  <si>
    <t>时间-1</t>
  </si>
  <si>
    <t>支持3</t>
  </si>
  <si>
    <t>防御</t>
  </si>
  <si>
    <t>支持4</t>
  </si>
  <si>
    <t>血量</t>
  </si>
  <si>
    <t>支持5</t>
  </si>
  <si>
    <t>支持6</t>
  </si>
  <si>
    <t>暴击</t>
  </si>
  <si>
    <t>支持7</t>
  </si>
  <si>
    <t>套装-1</t>
  </si>
  <si>
    <t>支持8</t>
  </si>
  <si>
    <t>抗暴</t>
  </si>
  <si>
    <t>支持9</t>
  </si>
  <si>
    <t>爆伤减免</t>
  </si>
  <si>
    <t>支持10</t>
  </si>
  <si>
    <t>支持11</t>
  </si>
  <si>
    <t>幸运</t>
  </si>
  <si>
    <t>支持12</t>
  </si>
  <si>
    <t>支持13</t>
  </si>
  <si>
    <t>支持14</t>
  </si>
  <si>
    <t>支持15</t>
  </si>
  <si>
    <t>支持16</t>
  </si>
  <si>
    <t>支持17</t>
  </si>
  <si>
    <t>爆伤</t>
  </si>
  <si>
    <t>支持18</t>
  </si>
  <si>
    <t>支持19</t>
  </si>
  <si>
    <t>支持20</t>
  </si>
  <si>
    <t>支持21</t>
  </si>
  <si>
    <t>支持22</t>
  </si>
  <si>
    <t>支持23</t>
  </si>
  <si>
    <t>支持24</t>
  </si>
  <si>
    <t>支持25</t>
  </si>
  <si>
    <t>支持26</t>
  </si>
  <si>
    <t>支持27</t>
  </si>
  <si>
    <t>支持28</t>
  </si>
  <si>
    <t>支持29</t>
  </si>
  <si>
    <t>支持30</t>
  </si>
  <si>
    <t>支持31</t>
  </si>
  <si>
    <t>支持32</t>
  </si>
  <si>
    <t>支持33</t>
  </si>
  <si>
    <t>支持34</t>
  </si>
  <si>
    <t>支持35</t>
  </si>
  <si>
    <t>支持36</t>
  </si>
  <si>
    <t>支持37</t>
  </si>
  <si>
    <t>支持38</t>
  </si>
  <si>
    <t>伤害加成</t>
  </si>
  <si>
    <t>支持39</t>
  </si>
  <si>
    <t>支持40</t>
  </si>
  <si>
    <t>支持41</t>
  </si>
  <si>
    <t>支持42</t>
  </si>
  <si>
    <t>支持43</t>
  </si>
  <si>
    <t>支持44</t>
  </si>
  <si>
    <t>支持45</t>
  </si>
  <si>
    <t>支持46</t>
  </si>
  <si>
    <t>支持47</t>
  </si>
  <si>
    <t>支持48</t>
  </si>
  <si>
    <t>支持49</t>
  </si>
  <si>
    <t>支持50</t>
  </si>
  <si>
    <t>支持51</t>
  </si>
  <si>
    <t>支持52</t>
  </si>
  <si>
    <t>支持53</t>
  </si>
  <si>
    <t>支持54</t>
  </si>
  <si>
    <t>支持55</t>
  </si>
  <si>
    <t>支持56</t>
  </si>
  <si>
    <t>支持57</t>
  </si>
  <si>
    <t>支持58</t>
  </si>
  <si>
    <t>支持59</t>
  </si>
  <si>
    <t>支持60</t>
  </si>
  <si>
    <t>支持61</t>
  </si>
  <si>
    <t>支持62</t>
  </si>
  <si>
    <t>支持63</t>
  </si>
  <si>
    <t>支持64</t>
  </si>
  <si>
    <t>支持65</t>
  </si>
  <si>
    <t>支持66</t>
  </si>
  <si>
    <t>支持67</t>
  </si>
  <si>
    <t>支持68</t>
  </si>
  <si>
    <t>支持69</t>
  </si>
  <si>
    <t>支持70</t>
  </si>
  <si>
    <t>支持71</t>
  </si>
  <si>
    <t>支持72</t>
  </si>
  <si>
    <t>支持73</t>
  </si>
  <si>
    <t>支持74</t>
  </si>
  <si>
    <t>支持75</t>
  </si>
  <si>
    <t>支持76</t>
  </si>
  <si>
    <t>支持77</t>
  </si>
  <si>
    <t>支持78</t>
  </si>
  <si>
    <t>支持79</t>
  </si>
  <si>
    <t>支持80</t>
  </si>
  <si>
    <t>支持81</t>
  </si>
  <si>
    <t>支持82</t>
  </si>
  <si>
    <t>支持83</t>
  </si>
  <si>
    <t>支持84</t>
  </si>
  <si>
    <t>支持85</t>
  </si>
  <si>
    <t>支持86</t>
  </si>
  <si>
    <t>支持87</t>
  </si>
  <si>
    <t>支持88</t>
  </si>
  <si>
    <t>支持89</t>
  </si>
  <si>
    <t>支持90</t>
  </si>
  <si>
    <t>支持91</t>
  </si>
  <si>
    <t>支持92</t>
  </si>
  <si>
    <t>支持93</t>
  </si>
  <si>
    <t>伤害减免</t>
  </si>
  <si>
    <t>支持94</t>
  </si>
  <si>
    <t>支持95</t>
  </si>
  <si>
    <t>支持96</t>
  </si>
  <si>
    <t>支持97</t>
  </si>
  <si>
    <t>支持98</t>
  </si>
  <si>
    <t>支持99</t>
  </si>
  <si>
    <t>支持100</t>
  </si>
  <si>
    <t>支持101</t>
  </si>
  <si>
    <t>支持102</t>
  </si>
  <si>
    <t>支持103</t>
  </si>
  <si>
    <t>支持104</t>
  </si>
  <si>
    <t>支持105</t>
  </si>
  <si>
    <t>支持106</t>
  </si>
  <si>
    <t>支持107</t>
  </si>
  <si>
    <t>支持108</t>
  </si>
  <si>
    <t>支持109</t>
  </si>
  <si>
    <t>支持110</t>
  </si>
  <si>
    <t>支持111</t>
  </si>
  <si>
    <t>支持112</t>
  </si>
  <si>
    <t>支持113</t>
  </si>
  <si>
    <t>支持114</t>
  </si>
  <si>
    <t>支持115</t>
  </si>
  <si>
    <t>支持116</t>
  </si>
  <si>
    <t>支持117</t>
  </si>
  <si>
    <t>支持118</t>
  </si>
  <si>
    <t>支持119</t>
  </si>
  <si>
    <t>支持120</t>
  </si>
  <si>
    <t>支持121</t>
  </si>
  <si>
    <t>支持122</t>
  </si>
  <si>
    <t>支持123</t>
  </si>
  <si>
    <t>支持124</t>
  </si>
  <si>
    <t>支持125</t>
  </si>
  <si>
    <t>支持126</t>
  </si>
  <si>
    <t>支持127</t>
  </si>
  <si>
    <t>支持128</t>
  </si>
  <si>
    <t>支持129</t>
  </si>
  <si>
    <t>支持130</t>
  </si>
  <si>
    <t>支持131</t>
  </si>
  <si>
    <t>支持132</t>
  </si>
  <si>
    <t>支持133</t>
  </si>
  <si>
    <t>支持134</t>
  </si>
  <si>
    <t>支持135</t>
  </si>
  <si>
    <t>支持136</t>
  </si>
  <si>
    <t>支持137</t>
  </si>
  <si>
    <t>支持138</t>
  </si>
  <si>
    <t>支持139</t>
  </si>
  <si>
    <t>支持140</t>
  </si>
  <si>
    <t>支持141</t>
  </si>
  <si>
    <t>支持142</t>
  </si>
  <si>
    <t>支持143</t>
  </si>
  <si>
    <t>支持144</t>
  </si>
  <si>
    <t>支持145</t>
  </si>
  <si>
    <t>支持146</t>
  </si>
  <si>
    <t>支持147</t>
  </si>
  <si>
    <t>支持148</t>
  </si>
  <si>
    <t>支持149</t>
  </si>
  <si>
    <t>支持150</t>
  </si>
  <si>
    <t>支持151</t>
  </si>
  <si>
    <t>支持152</t>
  </si>
  <si>
    <t>支持153</t>
  </si>
  <si>
    <t>支持154</t>
  </si>
  <si>
    <t>支持155</t>
  </si>
  <si>
    <t>支持156</t>
  </si>
  <si>
    <t>支持157</t>
  </si>
  <si>
    <t>支持158</t>
  </si>
  <si>
    <t>支持159</t>
  </si>
  <si>
    <t>支持160</t>
  </si>
  <si>
    <t>支持161</t>
  </si>
  <si>
    <t>支持162</t>
  </si>
  <si>
    <t>支持163</t>
  </si>
  <si>
    <t>支持164</t>
  </si>
  <si>
    <t>支持165</t>
  </si>
  <si>
    <t>支持166</t>
  </si>
  <si>
    <t>支持167</t>
  </si>
  <si>
    <t>支持168</t>
  </si>
  <si>
    <t>支持169</t>
  </si>
  <si>
    <t>支持170</t>
  </si>
  <si>
    <t>支持171</t>
  </si>
  <si>
    <t>支持172</t>
  </si>
  <si>
    <t>支持173</t>
  </si>
  <si>
    <t>支持174</t>
  </si>
  <si>
    <t>支持175</t>
  </si>
  <si>
    <t>支持176</t>
  </si>
  <si>
    <t>支持177</t>
  </si>
  <si>
    <t>支持178</t>
  </si>
  <si>
    <t>支持179</t>
  </si>
  <si>
    <t>支持180</t>
  </si>
  <si>
    <t>支持181</t>
  </si>
  <si>
    <t>支持182</t>
  </si>
  <si>
    <t>支持183</t>
  </si>
  <si>
    <t>支持184</t>
  </si>
  <si>
    <t>支持185</t>
  </si>
  <si>
    <t>支持186</t>
  </si>
  <si>
    <t>支持187</t>
  </si>
  <si>
    <t>支持188</t>
  </si>
  <si>
    <t>支持189</t>
  </si>
  <si>
    <t>支持190</t>
  </si>
  <si>
    <t>支持191</t>
  </si>
  <si>
    <t>支持192</t>
  </si>
  <si>
    <t>支持193</t>
  </si>
  <si>
    <t>支持194</t>
  </si>
  <si>
    <t>支持195</t>
  </si>
  <si>
    <t>支持196</t>
  </si>
  <si>
    <t>支持197</t>
  </si>
  <si>
    <t>支持198</t>
  </si>
  <si>
    <t>支持199</t>
  </si>
  <si>
    <t>支持200</t>
  </si>
  <si>
    <t>支持201</t>
  </si>
  <si>
    <t>支持202</t>
  </si>
  <si>
    <t>支持203</t>
  </si>
  <si>
    <t>支持204</t>
  </si>
  <si>
    <t>支持205</t>
  </si>
  <si>
    <t>支持206</t>
  </si>
  <si>
    <t>支持207</t>
  </si>
  <si>
    <t>支持208</t>
  </si>
  <si>
    <t>支持209</t>
  </si>
  <si>
    <t>支持210</t>
  </si>
  <si>
    <t>物伤加成</t>
  </si>
  <si>
    <t>支持211</t>
  </si>
  <si>
    <t>法伤加成</t>
  </si>
  <si>
    <t>支持212</t>
  </si>
  <si>
    <t>道伤加成</t>
  </si>
  <si>
    <t>支持213</t>
  </si>
  <si>
    <t>支持214</t>
  </si>
  <si>
    <t>支持215</t>
  </si>
  <si>
    <t>支持216</t>
  </si>
  <si>
    <t>支持217</t>
  </si>
  <si>
    <t>支持218</t>
  </si>
  <si>
    <t>支持219</t>
  </si>
  <si>
    <t>支持220</t>
  </si>
  <si>
    <t>支持221</t>
  </si>
  <si>
    <t>支持222</t>
  </si>
  <si>
    <t>支持223</t>
  </si>
  <si>
    <t>支持224</t>
  </si>
  <si>
    <t>支持225</t>
  </si>
  <si>
    <t>支持226</t>
  </si>
  <si>
    <t>支持227</t>
  </si>
  <si>
    <t>支持228</t>
  </si>
  <si>
    <t>支持229</t>
  </si>
  <si>
    <t>支持230</t>
  </si>
  <si>
    <t>支持231</t>
  </si>
  <si>
    <t>支持232</t>
  </si>
  <si>
    <t>支持233</t>
  </si>
  <si>
    <t>支持234</t>
  </si>
  <si>
    <t>支持235</t>
  </si>
  <si>
    <t>支持236</t>
  </si>
  <si>
    <t>支持237</t>
  </si>
  <si>
    <t>支持238</t>
  </si>
  <si>
    <t>支持239</t>
  </si>
  <si>
    <t>支持240</t>
  </si>
  <si>
    <t>支持241</t>
  </si>
  <si>
    <t>支持242</t>
  </si>
  <si>
    <t>支持243</t>
  </si>
  <si>
    <t>支持244</t>
  </si>
  <si>
    <t>支持245</t>
  </si>
  <si>
    <t>支持246</t>
  </si>
  <si>
    <t>支持247</t>
  </si>
  <si>
    <t>支持248</t>
  </si>
  <si>
    <t>支持249</t>
  </si>
  <si>
    <t>支持250</t>
  </si>
  <si>
    <t>支持251</t>
  </si>
  <si>
    <t>支持252</t>
  </si>
  <si>
    <t>支持253</t>
  </si>
  <si>
    <t>支持254</t>
  </si>
  <si>
    <t>支持255</t>
  </si>
  <si>
    <t>支持256</t>
  </si>
  <si>
    <t>支持257</t>
  </si>
  <si>
    <t>支持258</t>
  </si>
  <si>
    <t>支持259</t>
  </si>
  <si>
    <t>支持260</t>
  </si>
  <si>
    <t>支持261</t>
  </si>
  <si>
    <t>支持262</t>
  </si>
  <si>
    <t>支持263</t>
  </si>
  <si>
    <t>支持264</t>
  </si>
  <si>
    <t>支持265</t>
  </si>
  <si>
    <t>支持266</t>
  </si>
  <si>
    <t>支持267</t>
  </si>
  <si>
    <t>支持268</t>
  </si>
  <si>
    <t>支持269</t>
  </si>
  <si>
    <t>支持270</t>
  </si>
  <si>
    <t>支持271</t>
  </si>
  <si>
    <t>支持272</t>
  </si>
  <si>
    <t>支持273</t>
  </si>
  <si>
    <t>支持274</t>
  </si>
  <si>
    <t>支持275</t>
  </si>
  <si>
    <t>支持276</t>
  </si>
  <si>
    <t>支持277</t>
  </si>
  <si>
    <t>支持278</t>
  </si>
  <si>
    <t>支持279</t>
  </si>
  <si>
    <t>支持280</t>
  </si>
  <si>
    <t>支持281</t>
  </si>
  <si>
    <t>支持282</t>
  </si>
  <si>
    <t>支持283</t>
  </si>
  <si>
    <t>支持284</t>
  </si>
  <si>
    <t>支持285</t>
  </si>
  <si>
    <t>支持286</t>
  </si>
  <si>
    <t>支持287</t>
  </si>
  <si>
    <t>支持288</t>
  </si>
  <si>
    <t>支持289</t>
  </si>
  <si>
    <t>支持290</t>
  </si>
  <si>
    <t>支持291</t>
  </si>
  <si>
    <t>支持292</t>
  </si>
  <si>
    <t>支持293</t>
  </si>
  <si>
    <t>支持294</t>
  </si>
  <si>
    <t>支持295</t>
  </si>
  <si>
    <t>支持296</t>
  </si>
  <si>
    <t>支持297</t>
  </si>
  <si>
    <t>支持298</t>
  </si>
  <si>
    <t>支持299</t>
  </si>
  <si>
    <t>支持300</t>
  </si>
  <si>
    <t>支持301</t>
  </si>
  <si>
    <t>支持302</t>
  </si>
  <si>
    <t>支持303</t>
  </si>
  <si>
    <t>支持304</t>
  </si>
  <si>
    <t>支持305</t>
  </si>
  <si>
    <t>支持306</t>
  </si>
  <si>
    <t>支持307</t>
  </si>
  <si>
    <t>支持308</t>
  </si>
  <si>
    <t>支持309</t>
  </si>
  <si>
    <t>支持310</t>
  </si>
  <si>
    <t>支持311</t>
  </si>
  <si>
    <t>支持312</t>
  </si>
  <si>
    <t>支持313</t>
  </si>
  <si>
    <t>支持314</t>
  </si>
  <si>
    <t>支持315</t>
  </si>
  <si>
    <t>支持316</t>
  </si>
  <si>
    <t>支持317</t>
  </si>
  <si>
    <t>支持318</t>
  </si>
  <si>
    <t>支持319</t>
  </si>
  <si>
    <t>支持320</t>
  </si>
  <si>
    <t>支持321</t>
  </si>
  <si>
    <t>支持322</t>
  </si>
  <si>
    <t>支持323</t>
  </si>
  <si>
    <t>支持324</t>
  </si>
  <si>
    <t>支持325</t>
  </si>
  <si>
    <t>支持326</t>
  </si>
  <si>
    <t>支持327</t>
  </si>
  <si>
    <t>支持328</t>
  </si>
  <si>
    <t>支持329</t>
  </si>
  <si>
    <t>支持330</t>
  </si>
  <si>
    <t>支持331</t>
  </si>
  <si>
    <t>支持332</t>
  </si>
  <si>
    <t>支持333</t>
  </si>
  <si>
    <t>支持334</t>
  </si>
  <si>
    <t>支持335</t>
  </si>
  <si>
    <t>支持336</t>
  </si>
  <si>
    <t>支持337</t>
  </si>
  <si>
    <t>支持338</t>
  </si>
  <si>
    <t>支持339</t>
  </si>
  <si>
    <t>支持340</t>
  </si>
  <si>
    <t>支持341</t>
  </si>
  <si>
    <t>支持342</t>
  </si>
  <si>
    <t>支持343</t>
  </si>
  <si>
    <t>支持344</t>
  </si>
  <si>
    <t>支持345</t>
  </si>
  <si>
    <t>支持346</t>
  </si>
  <si>
    <t>支持347</t>
  </si>
  <si>
    <t>支持348</t>
  </si>
  <si>
    <t>支持349</t>
  </si>
  <si>
    <t>支持350</t>
  </si>
  <si>
    <t>支持351</t>
  </si>
  <si>
    <t>支持352</t>
  </si>
  <si>
    <t>支持353</t>
  </si>
  <si>
    <t>支持354</t>
  </si>
  <si>
    <t>支持355</t>
  </si>
  <si>
    <t>支持356</t>
  </si>
  <si>
    <t>支持357</t>
  </si>
  <si>
    <t>支持358</t>
  </si>
  <si>
    <t>支持359</t>
  </si>
  <si>
    <t>支持360</t>
  </si>
  <si>
    <t>支持361</t>
  </si>
  <si>
    <t>支持362</t>
  </si>
  <si>
    <t>支持363</t>
  </si>
  <si>
    <t>支持364</t>
  </si>
  <si>
    <t>支持365</t>
  </si>
  <si>
    <t>支持366</t>
  </si>
  <si>
    <t>支持367</t>
  </si>
  <si>
    <t>支持368</t>
  </si>
  <si>
    <t>支持369</t>
  </si>
  <si>
    <t>支持370</t>
  </si>
  <si>
    <t>支持371</t>
  </si>
  <si>
    <t>支持372</t>
  </si>
  <si>
    <t>支持373</t>
  </si>
  <si>
    <t>支持374</t>
  </si>
  <si>
    <t>支持375</t>
  </si>
  <si>
    <t>支持376</t>
  </si>
  <si>
    <t>支持377</t>
  </si>
  <si>
    <t>支持378</t>
  </si>
  <si>
    <t>支持379</t>
  </si>
  <si>
    <t>支持380</t>
  </si>
  <si>
    <t>支持381</t>
  </si>
  <si>
    <t>支持382</t>
  </si>
  <si>
    <t>支持383</t>
  </si>
  <si>
    <t>支持384</t>
  </si>
  <si>
    <t>支持385</t>
  </si>
  <si>
    <t>支持386</t>
  </si>
  <si>
    <t>支持387</t>
  </si>
  <si>
    <t>支持388</t>
  </si>
  <si>
    <t>支持389</t>
  </si>
  <si>
    <t>支持390</t>
  </si>
  <si>
    <t>支持391</t>
  </si>
  <si>
    <t>支持392</t>
  </si>
  <si>
    <t>支持393</t>
  </si>
  <si>
    <t>支持394</t>
  </si>
  <si>
    <t>支持395</t>
  </si>
  <si>
    <t>支持396</t>
  </si>
  <si>
    <t>支持397</t>
  </si>
  <si>
    <t>支持398</t>
  </si>
  <si>
    <t>支持399</t>
  </si>
  <si>
    <t>支持400</t>
  </si>
  <si>
    <t>支持401</t>
  </si>
  <si>
    <t>支持402</t>
  </si>
  <si>
    <t>支持403</t>
  </si>
  <si>
    <t>支持404</t>
  </si>
  <si>
    <t>支持405</t>
  </si>
  <si>
    <t>支持406</t>
  </si>
  <si>
    <t>支持407</t>
  </si>
  <si>
    <t>支持408</t>
  </si>
  <si>
    <t>支持409</t>
  </si>
  <si>
    <t>支持410</t>
  </si>
  <si>
    <t>支持411</t>
  </si>
  <si>
    <t>支持412</t>
  </si>
  <si>
    <t>支持413</t>
  </si>
  <si>
    <t>支持414</t>
  </si>
  <si>
    <t>支持415</t>
  </si>
  <si>
    <t>支持416</t>
  </si>
  <si>
    <t>支持417</t>
  </si>
  <si>
    <t>支持418</t>
  </si>
  <si>
    <t>支持419</t>
  </si>
  <si>
    <t>支持420</t>
  </si>
  <si>
    <t>支持421</t>
  </si>
  <si>
    <t>支持422</t>
  </si>
  <si>
    <t>支持423</t>
  </si>
  <si>
    <t>支持424</t>
  </si>
  <si>
    <t>支持425</t>
  </si>
  <si>
    <t>支持426</t>
  </si>
  <si>
    <t>支持427</t>
  </si>
  <si>
    <t>支持428</t>
  </si>
  <si>
    <t>支持429</t>
  </si>
  <si>
    <t>支持430</t>
  </si>
  <si>
    <t>支持431</t>
  </si>
  <si>
    <t>支持432</t>
  </si>
  <si>
    <t>支持433</t>
  </si>
  <si>
    <t>支持434</t>
  </si>
  <si>
    <t>支持435</t>
  </si>
  <si>
    <t>支持436</t>
  </si>
  <si>
    <t>支持437</t>
  </si>
  <si>
    <t>支持438</t>
  </si>
  <si>
    <t>支持439</t>
  </si>
  <si>
    <t>支持440</t>
  </si>
  <si>
    <t>支持441</t>
  </si>
  <si>
    <t>支持442</t>
  </si>
  <si>
    <t>支持443</t>
  </si>
  <si>
    <t>支持444</t>
  </si>
  <si>
    <t>支持445</t>
  </si>
  <si>
    <t>支持446</t>
  </si>
  <si>
    <t>支持447</t>
  </si>
  <si>
    <t>支持448</t>
  </si>
  <si>
    <t>支持449</t>
  </si>
  <si>
    <t>支持450</t>
  </si>
  <si>
    <t>支持451</t>
  </si>
  <si>
    <t>支持452</t>
  </si>
  <si>
    <t>支持453</t>
  </si>
  <si>
    <t>支持454</t>
  </si>
  <si>
    <t>支持455</t>
  </si>
  <si>
    <t>支持456</t>
  </si>
  <si>
    <t>支持457</t>
  </si>
  <si>
    <t>支持458</t>
  </si>
  <si>
    <t>支持459</t>
  </si>
  <si>
    <t>支持460</t>
  </si>
  <si>
    <t>支持461</t>
  </si>
  <si>
    <t>支持462</t>
  </si>
  <si>
    <t>支持463</t>
  </si>
  <si>
    <t>支持464</t>
  </si>
  <si>
    <t>支持465</t>
  </si>
  <si>
    <t>支持466</t>
  </si>
  <si>
    <t>支持467</t>
  </si>
  <si>
    <t>支持468</t>
  </si>
  <si>
    <t>支持469</t>
  </si>
  <si>
    <t>支持470</t>
  </si>
  <si>
    <t>支持471</t>
  </si>
  <si>
    <t>支持472</t>
  </si>
  <si>
    <t>支持473</t>
  </si>
  <si>
    <t>支持474</t>
  </si>
  <si>
    <t>支持475</t>
  </si>
  <si>
    <t>支持476</t>
  </si>
  <si>
    <t>支持477</t>
  </si>
  <si>
    <t>支持478</t>
  </si>
  <si>
    <t>支持479</t>
  </si>
  <si>
    <t>支持480</t>
  </si>
  <si>
    <t>支持481</t>
  </si>
  <si>
    <t>支持482</t>
  </si>
  <si>
    <t>支持483</t>
  </si>
  <si>
    <t>支持484</t>
  </si>
  <si>
    <t>支持485</t>
  </si>
  <si>
    <t>支持486</t>
  </si>
  <si>
    <t>支持487</t>
  </si>
  <si>
    <t>支持488</t>
  </si>
  <si>
    <t>支持489</t>
  </si>
  <si>
    <t>支持490</t>
  </si>
  <si>
    <t>支持491</t>
  </si>
  <si>
    <t>支持492</t>
  </si>
  <si>
    <t>支持493</t>
  </si>
  <si>
    <t>支持494</t>
  </si>
  <si>
    <t>支持495</t>
  </si>
  <si>
    <t>支持496</t>
  </si>
  <si>
    <t>支持497</t>
  </si>
  <si>
    <t>支持498</t>
  </si>
  <si>
    <t>支持499</t>
  </si>
  <si>
    <t>支持500</t>
  </si>
  <si>
    <t>支持501</t>
  </si>
  <si>
    <t>支持502</t>
  </si>
  <si>
    <t>支持503</t>
  </si>
  <si>
    <t>支持504</t>
  </si>
  <si>
    <t>支持505</t>
  </si>
  <si>
    <t>支持506</t>
  </si>
  <si>
    <t>支持507</t>
  </si>
  <si>
    <t>支持508</t>
  </si>
  <si>
    <t>支持509</t>
  </si>
  <si>
    <t>支持510</t>
  </si>
  <si>
    <t>发电1</t>
  </si>
  <si>
    <t>观看真实广告{0}次</t>
  </si>
  <si>
    <t>发电2</t>
  </si>
  <si>
    <t>发电3</t>
  </si>
  <si>
    <t>发电4</t>
  </si>
  <si>
    <t>经验加成</t>
  </si>
  <si>
    <t>发电5</t>
  </si>
  <si>
    <t>爆率加成</t>
  </si>
  <si>
    <t>发电6</t>
  </si>
  <si>
    <t>金币加成</t>
  </si>
  <si>
    <t>发电7</t>
  </si>
  <si>
    <t>品质加成</t>
  </si>
  <si>
    <t>发电8</t>
  </si>
  <si>
    <t>物攻加成</t>
  </si>
  <si>
    <t>发电9</t>
  </si>
  <si>
    <t>魔法加成</t>
  </si>
  <si>
    <t>发电10</t>
  </si>
  <si>
    <t>道术加成</t>
  </si>
  <si>
    <t>发电11</t>
  </si>
  <si>
    <t>发电12</t>
  </si>
  <si>
    <t>发电13</t>
  </si>
  <si>
    <t>发电14</t>
  </si>
  <si>
    <t>发电15</t>
  </si>
  <si>
    <t>发电16</t>
  </si>
  <si>
    <t>发电17</t>
  </si>
  <si>
    <t>发电18</t>
  </si>
  <si>
    <t>发电19</t>
  </si>
  <si>
    <t>发电20</t>
  </si>
  <si>
    <t>发电21</t>
  </si>
  <si>
    <t>发电22</t>
  </si>
  <si>
    <t>发电23</t>
  </si>
  <si>
    <t>发电24</t>
  </si>
  <si>
    <t>发电25</t>
  </si>
  <si>
    <t>发电26</t>
  </si>
  <si>
    <t>发电27</t>
  </si>
  <si>
    <t>发电28</t>
  </si>
  <si>
    <t>发电29</t>
  </si>
  <si>
    <t>发电30</t>
  </si>
  <si>
    <t>发电31</t>
  </si>
  <si>
    <t>发电32</t>
  </si>
  <si>
    <t>发电33</t>
  </si>
  <si>
    <t>发电34</t>
  </si>
  <si>
    <t>发电35</t>
  </si>
  <si>
    <t>发电36</t>
  </si>
  <si>
    <t>发电37</t>
  </si>
  <si>
    <t>发电38</t>
  </si>
  <si>
    <t>发电39</t>
  </si>
  <si>
    <t>发电40</t>
  </si>
  <si>
    <t>发电41</t>
  </si>
  <si>
    <t>发电42</t>
  </si>
  <si>
    <t>发电43</t>
  </si>
  <si>
    <t>发电44</t>
  </si>
  <si>
    <t>发电45</t>
  </si>
  <si>
    <t>发电46</t>
  </si>
  <si>
    <t>发电47</t>
  </si>
  <si>
    <t>发电48</t>
  </si>
  <si>
    <t>发电49</t>
  </si>
  <si>
    <t>发电50</t>
  </si>
  <si>
    <t>发电51</t>
  </si>
  <si>
    <t>发电52</t>
  </si>
  <si>
    <t>发电53</t>
  </si>
  <si>
    <t>发电54</t>
  </si>
  <si>
    <t>发电55</t>
  </si>
  <si>
    <t>发电56</t>
  </si>
  <si>
    <t>发电57</t>
  </si>
  <si>
    <t>发电58</t>
  </si>
  <si>
    <t>发电59</t>
  </si>
  <si>
    <t>发电60</t>
  </si>
  <si>
    <t>发电61</t>
  </si>
  <si>
    <t>发电62</t>
  </si>
  <si>
    <t>发电63</t>
  </si>
  <si>
    <t>发电64</t>
  </si>
  <si>
    <t>发电65</t>
  </si>
  <si>
    <t>发电66</t>
  </si>
  <si>
    <t>发电67</t>
  </si>
  <si>
    <t>发电68</t>
  </si>
  <si>
    <t>发电69</t>
  </si>
  <si>
    <t>发电70</t>
  </si>
  <si>
    <t>发电71</t>
  </si>
  <si>
    <t>发电72</t>
  </si>
  <si>
    <t>发电73</t>
  </si>
  <si>
    <t>发电74</t>
  </si>
  <si>
    <t>发电75</t>
  </si>
  <si>
    <t>发电76</t>
  </si>
  <si>
    <t>发电77</t>
  </si>
  <si>
    <t>发电78</t>
  </si>
  <si>
    <t>发电79</t>
  </si>
  <si>
    <t>发电80</t>
  </si>
  <si>
    <t>发电81</t>
  </si>
  <si>
    <t>发电82</t>
  </si>
  <si>
    <t>发电83</t>
  </si>
  <si>
    <t>发电84</t>
  </si>
  <si>
    <t>发电85</t>
  </si>
  <si>
    <t>发电86</t>
  </si>
  <si>
    <t>发电87</t>
  </si>
  <si>
    <t>发电88</t>
  </si>
  <si>
    <t>发电89</t>
  </si>
  <si>
    <t>发电90</t>
  </si>
  <si>
    <t>发电91</t>
  </si>
  <si>
    <t>发电92</t>
  </si>
  <si>
    <t>发电93</t>
  </si>
  <si>
    <t>发电94</t>
  </si>
  <si>
    <t>发电95</t>
  </si>
  <si>
    <t>发电96</t>
  </si>
  <si>
    <t>发电97</t>
  </si>
  <si>
    <t>发电98</t>
  </si>
  <si>
    <t>发电99</t>
  </si>
  <si>
    <t>发电100</t>
  </si>
  <si>
    <t>发电101</t>
  </si>
  <si>
    <t>发电102</t>
  </si>
  <si>
    <t>发电103</t>
  </si>
  <si>
    <t>发电104</t>
  </si>
  <si>
    <t>发电105</t>
  </si>
  <si>
    <t>发电106</t>
  </si>
  <si>
    <t>发电107</t>
  </si>
  <si>
    <t>发电108</t>
  </si>
  <si>
    <t>发电109</t>
  </si>
  <si>
    <t>发电110</t>
  </si>
  <si>
    <t>发电111</t>
  </si>
  <si>
    <t>发电112</t>
  </si>
  <si>
    <t>发电113</t>
  </si>
  <si>
    <t>发电114</t>
  </si>
  <si>
    <t>发电115</t>
  </si>
  <si>
    <t>发电116</t>
  </si>
  <si>
    <t>发电117</t>
  </si>
  <si>
    <t>发电118</t>
  </si>
  <si>
    <t>发电119</t>
  </si>
  <si>
    <t>发电120</t>
  </si>
  <si>
    <t>发电121</t>
  </si>
  <si>
    <t>发电122</t>
  </si>
  <si>
    <t>发电123</t>
  </si>
  <si>
    <t>发电124</t>
  </si>
  <si>
    <t>发电125</t>
  </si>
  <si>
    <t>发电126</t>
  </si>
  <si>
    <t>发电127</t>
  </si>
  <si>
    <t>发电128</t>
  </si>
  <si>
    <t>发电129</t>
  </si>
  <si>
    <t>发电130</t>
  </si>
  <si>
    <t>发电131</t>
  </si>
  <si>
    <t>发电132</t>
  </si>
  <si>
    <t>发电133</t>
  </si>
  <si>
    <t>发电134</t>
  </si>
  <si>
    <t>发电135</t>
  </si>
  <si>
    <t>发电136</t>
  </si>
  <si>
    <t>发电137</t>
  </si>
  <si>
    <t>发电138</t>
  </si>
  <si>
    <t>发电139</t>
  </si>
  <si>
    <t>发电140</t>
  </si>
  <si>
    <t>发电141</t>
  </si>
  <si>
    <t>发电142</t>
  </si>
  <si>
    <t>发电143</t>
  </si>
  <si>
    <t>发电144</t>
  </si>
  <si>
    <t>发电145</t>
  </si>
  <si>
    <t>发电146</t>
  </si>
  <si>
    <t>发电147</t>
  </si>
  <si>
    <t>发电148</t>
  </si>
  <si>
    <t>发电149</t>
  </si>
  <si>
    <t>发电150</t>
  </si>
  <si>
    <t>发电151</t>
  </si>
  <si>
    <t>发电152</t>
  </si>
  <si>
    <t>发电153</t>
  </si>
  <si>
    <t>发电154</t>
  </si>
  <si>
    <t>发电155</t>
  </si>
  <si>
    <t>发电156</t>
  </si>
  <si>
    <t>发电157</t>
  </si>
  <si>
    <t>发电158</t>
  </si>
  <si>
    <t>发电159</t>
  </si>
  <si>
    <t>发电160</t>
  </si>
  <si>
    <t>发电161</t>
  </si>
  <si>
    <t>发电162</t>
  </si>
  <si>
    <t>发电163</t>
  </si>
  <si>
    <t>发电164</t>
  </si>
  <si>
    <t>发电165</t>
  </si>
  <si>
    <t>发电166</t>
  </si>
  <si>
    <t>发电167</t>
  </si>
  <si>
    <t>发电168</t>
  </si>
  <si>
    <t>发电169</t>
  </si>
  <si>
    <t>发电170</t>
  </si>
  <si>
    <t>发电171</t>
  </si>
  <si>
    <t>发电172</t>
  </si>
  <si>
    <t>发电173</t>
  </si>
  <si>
    <t>发电174</t>
  </si>
  <si>
    <t>发电175</t>
  </si>
  <si>
    <t>发电176</t>
  </si>
  <si>
    <t>发电177</t>
  </si>
  <si>
    <t>发电178</t>
  </si>
  <si>
    <t>发电179</t>
  </si>
  <si>
    <t>发电180</t>
  </si>
  <si>
    <t>发电181</t>
  </si>
  <si>
    <t>发电182</t>
  </si>
  <si>
    <t>发电183</t>
  </si>
  <si>
    <t>发电184</t>
  </si>
  <si>
    <t>发电185</t>
  </si>
  <si>
    <t>发电186</t>
  </si>
  <si>
    <t>发电187</t>
  </si>
  <si>
    <t>发电188</t>
  </si>
  <si>
    <t>发电189</t>
  </si>
  <si>
    <t>发电190</t>
  </si>
  <si>
    <t>发电191</t>
  </si>
  <si>
    <t>发电192</t>
  </si>
  <si>
    <t>发电193</t>
  </si>
  <si>
    <t>发电194</t>
  </si>
  <si>
    <t>发电195</t>
  </si>
  <si>
    <t>发电196</t>
  </si>
  <si>
    <t>发电197</t>
  </si>
  <si>
    <t>发电198</t>
  </si>
  <si>
    <t>发电199</t>
  </si>
  <si>
    <t>发电200</t>
  </si>
  <si>
    <t>发电201</t>
  </si>
  <si>
    <t>发电202</t>
  </si>
  <si>
    <t>发电203</t>
  </si>
  <si>
    <t>发电204</t>
  </si>
  <si>
    <t>发电205</t>
  </si>
  <si>
    <t>发电206</t>
  </si>
  <si>
    <t>发电207</t>
  </si>
  <si>
    <t>发电208</t>
  </si>
  <si>
    <t>发电209</t>
  </si>
  <si>
    <t>发电210</t>
  </si>
  <si>
    <t>发电211</t>
  </si>
  <si>
    <t>发电212</t>
  </si>
  <si>
    <t>发电213</t>
  </si>
  <si>
    <t>物攻倍率</t>
  </si>
  <si>
    <t>发电214</t>
  </si>
  <si>
    <t>法攻倍率</t>
  </si>
  <si>
    <t>发电215</t>
  </si>
  <si>
    <t>道攻倍率</t>
  </si>
  <si>
    <t>发电216</t>
  </si>
  <si>
    <t>发电217</t>
  </si>
  <si>
    <t>发电218</t>
  </si>
  <si>
    <t>发电219</t>
  </si>
  <si>
    <t>发电220</t>
  </si>
  <si>
    <t>发电221</t>
  </si>
  <si>
    <t>发电222</t>
  </si>
  <si>
    <t>发电223</t>
  </si>
  <si>
    <t>发电224</t>
  </si>
  <si>
    <t>发电225</t>
  </si>
  <si>
    <t>发电226</t>
  </si>
  <si>
    <t>发电227</t>
  </si>
  <si>
    <t>发电228</t>
  </si>
  <si>
    <t>发电229</t>
  </si>
  <si>
    <t>发电230</t>
  </si>
  <si>
    <t>发电231</t>
  </si>
  <si>
    <t>发电232</t>
  </si>
  <si>
    <t>发电233</t>
  </si>
  <si>
    <t>发电234</t>
  </si>
  <si>
    <t>发电235</t>
  </si>
  <si>
    <t>发电236</t>
  </si>
  <si>
    <t>发电237</t>
  </si>
  <si>
    <t>发电238</t>
  </si>
  <si>
    <t>发电239</t>
  </si>
  <si>
    <t>发电240</t>
  </si>
  <si>
    <t>发电241</t>
  </si>
  <si>
    <t>发电242</t>
  </si>
  <si>
    <t>发电243</t>
  </si>
  <si>
    <t>发电244</t>
  </si>
  <si>
    <t>发电245</t>
  </si>
  <si>
    <t>发电246</t>
  </si>
  <si>
    <t>发电247</t>
  </si>
  <si>
    <t>发电248</t>
  </si>
  <si>
    <t>发电249</t>
  </si>
  <si>
    <t>发电250</t>
  </si>
  <si>
    <t>发电251</t>
  </si>
  <si>
    <t>发电252</t>
  </si>
  <si>
    <t>发电253</t>
  </si>
  <si>
    <t>发电254</t>
  </si>
  <si>
    <t>发电255</t>
  </si>
  <si>
    <t>发电256</t>
  </si>
  <si>
    <t>发电257</t>
  </si>
  <si>
    <t>发电258</t>
  </si>
  <si>
    <t>发电259</t>
  </si>
  <si>
    <t>发电260</t>
  </si>
  <si>
    <t>发电261</t>
  </si>
  <si>
    <t>发电262</t>
  </si>
  <si>
    <t>发电263</t>
  </si>
  <si>
    <t>发电264</t>
  </si>
  <si>
    <t>发电265</t>
  </si>
  <si>
    <t>发电266</t>
  </si>
  <si>
    <t>发电267</t>
  </si>
  <si>
    <t>发电268</t>
  </si>
  <si>
    <t>发电269</t>
  </si>
  <si>
    <t>发电270</t>
  </si>
  <si>
    <t>发电271</t>
  </si>
  <si>
    <t>发电272</t>
  </si>
  <si>
    <t>发电273</t>
  </si>
  <si>
    <t>发电274</t>
  </si>
  <si>
    <t>发电275</t>
  </si>
  <si>
    <t>发电276</t>
  </si>
  <si>
    <t>发电277</t>
  </si>
  <si>
    <t>发电278</t>
  </si>
  <si>
    <t>发电279</t>
  </si>
  <si>
    <t>发电280</t>
  </si>
  <si>
    <t>发电281</t>
  </si>
  <si>
    <t>发电282</t>
  </si>
  <si>
    <t>发电283</t>
  </si>
  <si>
    <t>发电284</t>
  </si>
  <si>
    <t>发电285</t>
  </si>
  <si>
    <t>发电286</t>
  </si>
  <si>
    <t>发电287</t>
  </si>
  <si>
    <t>发电288</t>
  </si>
  <si>
    <t>发电289</t>
  </si>
  <si>
    <t>发电290</t>
  </si>
  <si>
    <t>发电291</t>
  </si>
  <si>
    <t>发电292</t>
  </si>
  <si>
    <t>发电293</t>
  </si>
  <si>
    <t>发电294</t>
  </si>
  <si>
    <t>发电295</t>
  </si>
  <si>
    <t>发电296</t>
  </si>
  <si>
    <t>发电297</t>
  </si>
  <si>
    <t>发电298</t>
  </si>
  <si>
    <t>发电299</t>
  </si>
  <si>
    <t>发电300</t>
  </si>
  <si>
    <t>发电301</t>
  </si>
  <si>
    <t>发电302</t>
  </si>
  <si>
    <t>发电303</t>
  </si>
  <si>
    <t>发电304</t>
  </si>
  <si>
    <t>发电305</t>
  </si>
  <si>
    <t>发电306</t>
  </si>
  <si>
    <t>发电307</t>
  </si>
  <si>
    <t>发电308</t>
  </si>
  <si>
    <t>发电309</t>
  </si>
  <si>
    <t>发电310</t>
  </si>
  <si>
    <t>发电311</t>
  </si>
  <si>
    <t>发电312</t>
  </si>
  <si>
    <t>发电313</t>
  </si>
  <si>
    <t>发电314</t>
  </si>
  <si>
    <t>发电315</t>
  </si>
  <si>
    <t>发电316</t>
  </si>
  <si>
    <t>发电317</t>
  </si>
  <si>
    <t>发电318</t>
  </si>
  <si>
    <t>发电319</t>
  </si>
  <si>
    <t>发电320</t>
  </si>
  <si>
    <t>发电321</t>
  </si>
  <si>
    <t>发电322</t>
  </si>
  <si>
    <t>发电323</t>
  </si>
  <si>
    <t>发电324</t>
  </si>
  <si>
    <t>发电325</t>
  </si>
  <si>
    <t>发电326</t>
  </si>
  <si>
    <t>发电327</t>
  </si>
  <si>
    <t>发电328</t>
  </si>
  <si>
    <t>发电329</t>
  </si>
  <si>
    <t>发电330</t>
  </si>
  <si>
    <t>发电331</t>
  </si>
  <si>
    <t>发电332</t>
  </si>
  <si>
    <t>发电333</t>
  </si>
  <si>
    <t>发电334</t>
  </si>
  <si>
    <t>发电335</t>
  </si>
  <si>
    <t>发电336</t>
  </si>
  <si>
    <t>发电337</t>
  </si>
  <si>
    <t>发电338</t>
  </si>
  <si>
    <t>发电339</t>
  </si>
  <si>
    <t>发电340</t>
  </si>
  <si>
    <t>发电341</t>
  </si>
  <si>
    <t>发电342</t>
  </si>
  <si>
    <t>发电343</t>
  </si>
  <si>
    <t>发电344</t>
  </si>
  <si>
    <t>发电345</t>
  </si>
  <si>
    <t>发电346</t>
  </si>
  <si>
    <t>发电347</t>
  </si>
  <si>
    <t>发电348</t>
  </si>
  <si>
    <t>发电349</t>
  </si>
  <si>
    <t>发电350</t>
  </si>
  <si>
    <t>发电351</t>
  </si>
  <si>
    <t>发电352</t>
  </si>
  <si>
    <t>发电353</t>
  </si>
  <si>
    <t>发电354</t>
  </si>
  <si>
    <t>发电355</t>
  </si>
  <si>
    <t>发电356</t>
  </si>
  <si>
    <t>发电357</t>
  </si>
  <si>
    <t>发电358</t>
  </si>
  <si>
    <t>发电359</t>
  </si>
  <si>
    <t>发电360</t>
  </si>
  <si>
    <t>发电361</t>
  </si>
  <si>
    <t>发电362</t>
  </si>
  <si>
    <t>发电363</t>
  </si>
  <si>
    <t>发电364</t>
  </si>
  <si>
    <t>发电365</t>
  </si>
  <si>
    <t>发电366</t>
  </si>
  <si>
    <t>发电367</t>
  </si>
  <si>
    <t>发电368</t>
  </si>
  <si>
    <t>发电369</t>
  </si>
  <si>
    <t>发电370</t>
  </si>
  <si>
    <t>发电371</t>
  </si>
  <si>
    <t>发电372</t>
  </si>
  <si>
    <t>发电373</t>
  </si>
  <si>
    <t>发电374</t>
  </si>
  <si>
    <t>发电375</t>
  </si>
  <si>
    <t>发电376</t>
  </si>
  <si>
    <t>发电377</t>
  </si>
  <si>
    <t>发电378</t>
  </si>
  <si>
    <t>发电379</t>
  </si>
  <si>
    <t>发电380</t>
  </si>
  <si>
    <t>发电381</t>
  </si>
  <si>
    <t>发电382</t>
  </si>
  <si>
    <t>发电383</t>
  </si>
  <si>
    <t>发电384</t>
  </si>
  <si>
    <t>发电385</t>
  </si>
  <si>
    <t>发电386</t>
  </si>
  <si>
    <t>发电387</t>
  </si>
  <si>
    <t>发电388</t>
  </si>
  <si>
    <t>发电389</t>
  </si>
  <si>
    <t>发电390</t>
  </si>
  <si>
    <t>发电391</t>
  </si>
  <si>
    <t>发电392</t>
  </si>
  <si>
    <t>发电393</t>
  </si>
  <si>
    <t>发电394</t>
  </si>
  <si>
    <t>发电395</t>
  </si>
  <si>
    <t>发电396</t>
  </si>
  <si>
    <t>发电397</t>
  </si>
  <si>
    <t>发电398</t>
  </si>
  <si>
    <t>发电399</t>
  </si>
  <si>
    <t>发电400</t>
  </si>
  <si>
    <t>发电401</t>
  </si>
  <si>
    <t>发电402</t>
  </si>
  <si>
    <t>发电403</t>
  </si>
  <si>
    <t>发电404</t>
  </si>
  <si>
    <t>发电405</t>
  </si>
  <si>
    <t>发电406</t>
  </si>
  <si>
    <t>发电407</t>
  </si>
  <si>
    <t>发电408</t>
  </si>
  <si>
    <t>发电409</t>
  </si>
  <si>
    <t>发电410</t>
  </si>
  <si>
    <t>发电411</t>
  </si>
  <si>
    <t>发电412</t>
  </si>
  <si>
    <t>发电413</t>
  </si>
  <si>
    <t>发电414</t>
  </si>
  <si>
    <t>发电415</t>
  </si>
  <si>
    <t>发电416</t>
  </si>
  <si>
    <t>发电417</t>
  </si>
  <si>
    <t>发电418</t>
  </si>
  <si>
    <t>发电419</t>
  </si>
  <si>
    <t>发电420</t>
  </si>
  <si>
    <t>发电421</t>
  </si>
  <si>
    <t>发电422</t>
  </si>
  <si>
    <t>发电423</t>
  </si>
  <si>
    <t>发电424</t>
  </si>
  <si>
    <t>发电425</t>
  </si>
  <si>
    <t>发电426</t>
  </si>
  <si>
    <t>发电427</t>
  </si>
  <si>
    <t>发电428</t>
  </si>
  <si>
    <t>发电429</t>
  </si>
  <si>
    <t>发电430</t>
  </si>
  <si>
    <t>发电431</t>
  </si>
  <si>
    <t>发电432</t>
  </si>
  <si>
    <t>发电433</t>
  </si>
  <si>
    <t>发电434</t>
  </si>
  <si>
    <t>发电435</t>
  </si>
  <si>
    <t>发电436</t>
  </si>
  <si>
    <t>发电437</t>
  </si>
  <si>
    <t>发电438</t>
  </si>
  <si>
    <t>发电439</t>
  </si>
  <si>
    <t>发电440</t>
  </si>
  <si>
    <t>发电441</t>
  </si>
  <si>
    <t>发电442</t>
  </si>
  <si>
    <t>发电443</t>
  </si>
  <si>
    <t>发电444</t>
  </si>
  <si>
    <t>发电445</t>
  </si>
  <si>
    <t>发电446</t>
  </si>
  <si>
    <t>发电447</t>
  </si>
  <si>
    <t>发电448</t>
  </si>
  <si>
    <t>发电449</t>
  </si>
  <si>
    <t>发电450</t>
  </si>
  <si>
    <t>发电451</t>
  </si>
  <si>
    <t>发电452</t>
  </si>
  <si>
    <t>发电453</t>
  </si>
  <si>
    <t>发电454</t>
  </si>
  <si>
    <t>发电455</t>
  </si>
  <si>
    <t>发电456</t>
  </si>
  <si>
    <t>发电457</t>
  </si>
  <si>
    <t>发电458</t>
  </si>
  <si>
    <t>发电459</t>
  </si>
  <si>
    <t>发电460</t>
  </si>
  <si>
    <t>发电461</t>
  </si>
  <si>
    <t>发电462</t>
  </si>
  <si>
    <t>发电463</t>
  </si>
  <si>
    <t>发电464</t>
  </si>
  <si>
    <t>发电465</t>
  </si>
  <si>
    <t>发电466</t>
  </si>
  <si>
    <t>发电467</t>
  </si>
  <si>
    <t>发电468</t>
  </si>
  <si>
    <t>发电469</t>
  </si>
  <si>
    <t>发电470</t>
  </si>
  <si>
    <t>发电471</t>
  </si>
  <si>
    <t>发电472</t>
  </si>
  <si>
    <t>发电473</t>
  </si>
  <si>
    <t>发电474</t>
  </si>
  <si>
    <t>发电475</t>
  </si>
  <si>
    <t>发电476</t>
  </si>
  <si>
    <t>发电477</t>
  </si>
  <si>
    <t>发电478</t>
  </si>
  <si>
    <t>发电479</t>
  </si>
  <si>
    <t>发电480</t>
  </si>
  <si>
    <t>发电481</t>
  </si>
  <si>
    <t>发电482</t>
  </si>
  <si>
    <t>发电483</t>
  </si>
  <si>
    <t>发电484</t>
  </si>
  <si>
    <t>发电485</t>
  </si>
  <si>
    <t>发电486</t>
  </si>
  <si>
    <t>发电487</t>
  </si>
  <si>
    <t>发电488</t>
  </si>
  <si>
    <t>发电489</t>
  </si>
  <si>
    <t>发电490</t>
  </si>
  <si>
    <t>发电491</t>
  </si>
  <si>
    <t>发电492</t>
  </si>
  <si>
    <t>发电493</t>
  </si>
  <si>
    <t>发电494</t>
  </si>
  <si>
    <t>发电495</t>
  </si>
  <si>
    <t>发电496</t>
  </si>
  <si>
    <t>发电497</t>
  </si>
  <si>
    <t>发电498</t>
  </si>
  <si>
    <t>发电499</t>
  </si>
  <si>
    <t>发电500</t>
  </si>
  <si>
    <t>发电501</t>
  </si>
  <si>
    <t>发电502</t>
  </si>
  <si>
    <t>发电503</t>
  </si>
  <si>
    <t>发电504</t>
  </si>
  <si>
    <t>发电505</t>
  </si>
  <si>
    <t>发电506</t>
  </si>
  <si>
    <t>发电507</t>
  </si>
  <si>
    <t>发电508</t>
  </si>
  <si>
    <t>发电509</t>
  </si>
  <si>
    <t>发电510</t>
  </si>
  <si>
    <t>发电511</t>
  </si>
  <si>
    <t>发电512</t>
  </si>
  <si>
    <t>发电513</t>
  </si>
  <si>
    <t>发电514</t>
  </si>
  <si>
    <t>发电515</t>
  </si>
  <si>
    <t>强化1</t>
  </si>
  <si>
    <t>总强化达到{0}级</t>
  </si>
  <si>
    <t>强化2</t>
  </si>
  <si>
    <t>强化3</t>
  </si>
  <si>
    <t>强化4</t>
  </si>
  <si>
    <t>强化5</t>
  </si>
  <si>
    <t>强化6</t>
  </si>
  <si>
    <t>强化7</t>
  </si>
  <si>
    <t>强化8</t>
  </si>
  <si>
    <t>强化9</t>
  </si>
  <si>
    <t>强化10</t>
  </si>
  <si>
    <t>强化11</t>
  </si>
  <si>
    <t>强化12</t>
  </si>
  <si>
    <t>强化13</t>
  </si>
  <si>
    <t>强化14</t>
  </si>
  <si>
    <t>强化15</t>
  </si>
  <si>
    <t>强化16</t>
  </si>
  <si>
    <t>强化17</t>
  </si>
  <si>
    <t>强化18</t>
  </si>
  <si>
    <t>强化19</t>
  </si>
  <si>
    <t>强化20</t>
  </si>
  <si>
    <t>强化21</t>
  </si>
  <si>
    <t>强化22</t>
  </si>
  <si>
    <t>强化23</t>
  </si>
  <si>
    <t>强化24</t>
  </si>
  <si>
    <t>强化25</t>
  </si>
  <si>
    <t>强化26</t>
  </si>
  <si>
    <t>强化27</t>
  </si>
  <si>
    <t>强化28</t>
  </si>
  <si>
    <t>强化29</t>
  </si>
  <si>
    <t>强化30</t>
  </si>
  <si>
    <t>强化31</t>
  </si>
  <si>
    <t>强化32</t>
  </si>
  <si>
    <t>强化33</t>
  </si>
  <si>
    <t>强化34</t>
  </si>
  <si>
    <t>强化35</t>
  </si>
  <si>
    <t>强化36</t>
  </si>
  <si>
    <t>强化37</t>
  </si>
  <si>
    <t>强化38</t>
  </si>
  <si>
    <t>精炼1</t>
  </si>
  <si>
    <t>总精炼达到{0}级</t>
  </si>
  <si>
    <t>精炼2</t>
  </si>
  <si>
    <t>精炼3</t>
  </si>
  <si>
    <t>精炼4</t>
  </si>
  <si>
    <t>精炼5</t>
  </si>
  <si>
    <t>精炼6</t>
  </si>
  <si>
    <t>精炼7</t>
  </si>
  <si>
    <t>精炼8</t>
  </si>
  <si>
    <t>精炼9</t>
  </si>
  <si>
    <t>精炼10</t>
  </si>
  <si>
    <t>精炼11</t>
  </si>
  <si>
    <t>精炼12</t>
  </si>
  <si>
    <t>精炼13</t>
  </si>
  <si>
    <t>精炼14</t>
  </si>
  <si>
    <t>精炼15</t>
  </si>
  <si>
    <t>精炼16</t>
  </si>
  <si>
    <t>精炼17</t>
  </si>
  <si>
    <t>精炼18</t>
  </si>
  <si>
    <t>精炼19</t>
  </si>
  <si>
    <t>精炼20</t>
  </si>
  <si>
    <t>精炼21</t>
  </si>
  <si>
    <t>精炼22</t>
  </si>
  <si>
    <t>精炼23</t>
  </si>
  <si>
    <t>精炼24</t>
  </si>
  <si>
    <t>精炼25</t>
  </si>
  <si>
    <t>等级1</t>
  </si>
  <si>
    <t>人物达到{0}级</t>
  </si>
  <si>
    <t>等级2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</si>
  <si>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</si>
  <si>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</si>
  <si>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</si>
  <si>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</si>
  <si>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</si>
  <si>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</si>
  <si>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</si>
  <si>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</si>
  <si>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等级11</t>
  </si>
  <si>
    <t>等级12</t>
  </si>
  <si>
    <t>等级13</t>
  </si>
  <si>
    <t>等级14</t>
  </si>
  <si>
    <t>等级15</t>
  </si>
  <si>
    <t>等级16</t>
  </si>
  <si>
    <t>等级17</t>
  </si>
  <si>
    <t>等级18</t>
  </si>
  <si>
    <t>等级19</t>
  </si>
  <si>
    <t>等级20</t>
  </si>
  <si>
    <t>等级21</t>
  </si>
  <si>
    <t>等级22</t>
  </si>
  <si>
    <t>等级23</t>
  </si>
  <si>
    <t>等级24</t>
  </si>
  <si>
    <t>等级25</t>
  </si>
  <si>
    <t>等级26</t>
  </si>
  <si>
    <t>等级27</t>
  </si>
  <si>
    <t>等级28</t>
  </si>
  <si>
    <t>等级29</t>
  </si>
  <si>
    <t>等级30</t>
  </si>
  <si>
    <t>等级31</t>
  </si>
  <si>
    <t>等级32</t>
  </si>
  <si>
    <t>等级33</t>
  </si>
  <si>
    <t>等级34</t>
  </si>
  <si>
    <t>等级35</t>
  </si>
  <si>
    <t>等级36</t>
  </si>
  <si>
    <t>等级37</t>
  </si>
  <si>
    <t>等级38</t>
  </si>
  <si>
    <t>等级39</t>
  </si>
  <si>
    <t>等级40</t>
  </si>
  <si>
    <t>等级41</t>
  </si>
  <si>
    <t>等级42</t>
  </si>
  <si>
    <t>等级43</t>
  </si>
  <si>
    <t>等级44</t>
  </si>
  <si>
    <t>等级45</t>
  </si>
  <si>
    <t>等级46</t>
  </si>
  <si>
    <t>等级47</t>
  </si>
  <si>
    <t>等级48</t>
  </si>
  <si>
    <t>等级49</t>
  </si>
  <si>
    <t>等级50</t>
  </si>
  <si>
    <t>等级51</t>
  </si>
  <si>
    <t>等级52</t>
  </si>
  <si>
    <t>等级53</t>
  </si>
  <si>
    <t>等级54</t>
  </si>
  <si>
    <t>等级55</t>
  </si>
  <si>
    <t>BOSS之家1</t>
  </si>
  <si>
    <t>挑战BOSS之家{0}次</t>
  </si>
  <si>
    <t>BOSS之家2</t>
  </si>
  <si>
    <t>BOSS之家3</t>
  </si>
  <si>
    <t>BOSS之家4</t>
  </si>
  <si>
    <t>BOSS之家5</t>
  </si>
  <si>
    <t>BOSS之家6</t>
  </si>
  <si>
    <t>BOSS之家7</t>
  </si>
  <si>
    <t>BOSS之家8</t>
  </si>
  <si>
    <t>BOSS之家9</t>
  </si>
  <si>
    <t>BOSS之家10</t>
  </si>
  <si>
    <t>BOSS之家11</t>
  </si>
  <si>
    <t>BOSS之家12</t>
  </si>
  <si>
    <t>BOSS之家13</t>
  </si>
  <si>
    <t>BOSS之家14</t>
  </si>
  <si>
    <t>BOSS之家15</t>
  </si>
  <si>
    <t>BOSS之家16</t>
  </si>
  <si>
    <t>BOSS之家17</t>
  </si>
  <si>
    <t>BOSS之家18</t>
  </si>
  <si>
    <t>BOSS之家19</t>
  </si>
  <si>
    <t>BOSS之家20</t>
  </si>
  <si>
    <t>BOSS之家21</t>
  </si>
  <si>
    <t>BOSS之家22</t>
  </si>
  <si>
    <t>BOSS之家23</t>
  </si>
  <si>
    <t>BOSS之家24</t>
  </si>
  <si>
    <t>BOSS之家25</t>
  </si>
  <si>
    <t>BOSS之家26</t>
  </si>
  <si>
    <t>BOSS之家27</t>
  </si>
  <si>
    <t>BOSS之家28</t>
  </si>
  <si>
    <t>BOSS之家29</t>
  </si>
  <si>
    <t>BOSS之家30</t>
  </si>
  <si>
    <t>BOSS之家31</t>
  </si>
  <si>
    <t>BOSS之家32</t>
  </si>
  <si>
    <t>BOSS之家33</t>
  </si>
  <si>
    <t>BOSS之家34</t>
  </si>
  <si>
    <t>BOSS之家35</t>
  </si>
  <si>
    <t>BOSS之家36</t>
  </si>
  <si>
    <t>BOSS之家37</t>
  </si>
  <si>
    <t>BOSS之家38</t>
  </si>
  <si>
    <t>BOSS之家39</t>
  </si>
  <si>
    <t>BOSS之家40</t>
  </si>
  <si>
    <t>BOSS之家41</t>
  </si>
  <si>
    <t>BOSS之家42</t>
  </si>
  <si>
    <t>BOSS之家43</t>
  </si>
  <si>
    <t>BOSS之家44</t>
  </si>
  <si>
    <t>BOSS之家45</t>
  </si>
  <si>
    <t>BOSS之家46</t>
  </si>
  <si>
    <t>BOSS之家47</t>
  </si>
  <si>
    <t>BOSS之家48</t>
  </si>
  <si>
    <t>BOSS之家49</t>
  </si>
  <si>
    <t>BOSS之家50</t>
  </si>
  <si>
    <t>BOSS之家51</t>
  </si>
  <si>
    <t>BOSS之家52</t>
  </si>
  <si>
    <t>BOSS之家53</t>
  </si>
  <si>
    <t>BOSS之家54</t>
  </si>
  <si>
    <t>BOSS之家55</t>
  </si>
  <si>
    <t>BOSS之家56</t>
  </si>
  <si>
    <t>BOSS之家57</t>
  </si>
  <si>
    <t>BOSS之家58</t>
  </si>
  <si>
    <t>BOSS之家59</t>
  </si>
  <si>
    <t>BOSS之家60</t>
  </si>
  <si>
    <t>BOSS之家61</t>
  </si>
  <si>
    <t>BOSS之家62</t>
  </si>
  <si>
    <t>BOSS之家63</t>
  </si>
  <si>
    <t>BOSS之家64</t>
  </si>
  <si>
    <t>BOSS之家65</t>
  </si>
  <si>
    <t>BOSS之家66</t>
  </si>
  <si>
    <t>BOSS之家67</t>
  </si>
  <si>
    <t>BOSS之家68</t>
  </si>
  <si>
    <t>BOSS之家69</t>
  </si>
  <si>
    <t>BOSS之家70</t>
  </si>
  <si>
    <t>BOSS之家71</t>
  </si>
  <si>
    <t>BOSS之家72</t>
  </si>
  <si>
    <t>BOSS之家73</t>
  </si>
  <si>
    <t>BOSS之家74</t>
  </si>
  <si>
    <t>BOSS之家75</t>
  </si>
  <si>
    <t>BOSS之家76</t>
  </si>
  <si>
    <t>BOSS之家77</t>
  </si>
  <si>
    <t>BOSS之家78</t>
  </si>
  <si>
    <t>BOSS之家79</t>
  </si>
  <si>
    <t>BOSS之家80</t>
  </si>
  <si>
    <t>BOSS之家81</t>
  </si>
  <si>
    <t>BOSS之家82</t>
  </si>
  <si>
    <t>BOSS之家83</t>
  </si>
  <si>
    <t>BOSS之家84</t>
  </si>
  <si>
    <t>BOSS之家85</t>
  </si>
  <si>
    <t>BOSS之家86</t>
  </si>
  <si>
    <t>BOSS之家87</t>
  </si>
  <si>
    <t>BOSS之家88</t>
  </si>
  <si>
    <t>BOSS之家89</t>
  </si>
  <si>
    <t>BOSS之家90</t>
  </si>
  <si>
    <t>BOSS之家91</t>
  </si>
  <si>
    <t>BOSS之家92</t>
  </si>
  <si>
    <t>BOSS之家93</t>
  </si>
  <si>
    <t>BOSS之家94</t>
  </si>
  <si>
    <t>BOSS之家95</t>
  </si>
  <si>
    <t>BOSS之家96</t>
  </si>
  <si>
    <t>BOSS之家97</t>
  </si>
  <si>
    <t>BOSS之家98</t>
  </si>
  <si>
    <t>BOSS之家99</t>
  </si>
  <si>
    <t>BOSS之家100</t>
  </si>
  <si>
    <t>小试牛刀</t>
  </si>
  <si>
    <t>守卫龙城通过{0}层数</t>
  </si>
  <si>
    <t>金币加成100%</t>
  </si>
  <si>
    <t>初露锋芒</t>
  </si>
  <si>
    <t>装备爆率加成100%</t>
  </si>
  <si>
    <t>武林新秀</t>
  </si>
  <si>
    <t>暴击率+10%</t>
  </si>
  <si>
    <t>声名鹊起</t>
  </si>
  <si>
    <t>爆伤增加50%</t>
  </si>
  <si>
    <t>过关斩将</t>
  </si>
  <si>
    <t>无视防御30%</t>
  </si>
  <si>
    <t>独孤求败</t>
  </si>
  <si>
    <t>幸运+10</t>
  </si>
  <si>
    <t>武林至尊</t>
  </si>
  <si>
    <t>伤害加成+30%</t>
  </si>
  <si>
    <t>天下无敌</t>
  </si>
  <si>
    <t>初露锋芒1</t>
  </si>
  <si>
    <t>守卫龙城通过困难40层数</t>
  </si>
  <si>
    <t>武林新秀1</t>
  </si>
  <si>
    <t>守卫龙城通过困难50层数</t>
  </si>
  <si>
    <t>爆率加成100%</t>
  </si>
  <si>
    <t>声名鹊起1</t>
  </si>
  <si>
    <t>守卫龙城通过困难60层数</t>
  </si>
  <si>
    <t>品质加成100%</t>
  </si>
  <si>
    <t>过关斩将1</t>
  </si>
  <si>
    <t>守卫龙城通过困难70层数</t>
  </si>
  <si>
    <t>幸运+15</t>
  </si>
  <si>
    <t>独孤求败1</t>
  </si>
  <si>
    <t>守卫龙城通过困难80层数</t>
  </si>
  <si>
    <t>武林至尊1</t>
  </si>
  <si>
    <t>守卫龙城通过困难90层数</t>
  </si>
  <si>
    <t>伤害减免+30%</t>
  </si>
  <si>
    <t>天下无敌1</t>
  </si>
  <si>
    <t>守卫龙城通过困难100层数</t>
  </si>
  <si>
    <t>技能栏+1</t>
  </si>
  <si>
    <t>初出茅庐2</t>
  </si>
  <si>
    <t>守卫龙城通过噩梦20层数</t>
  </si>
  <si>
    <t>小试牛刀2</t>
  </si>
  <si>
    <t>守卫龙城通过噩梦30层数</t>
  </si>
  <si>
    <t>法功倍率</t>
  </si>
  <si>
    <t>初露锋芒2</t>
  </si>
  <si>
    <t>守卫龙城通过噩梦40层数</t>
  </si>
  <si>
    <t>道术倍率</t>
  </si>
  <si>
    <t>武林新秀2</t>
  </si>
  <si>
    <t>守卫龙城通过噩梦50层数</t>
  </si>
  <si>
    <t>生命倍率</t>
  </si>
  <si>
    <t>声名鹊起2</t>
  </si>
  <si>
    <t>守卫龙城通过噩梦60层数</t>
  </si>
  <si>
    <t>防御倍率</t>
  </si>
  <si>
    <t>过关斩将2</t>
  </si>
  <si>
    <t>守卫龙城通过噩梦70层数</t>
  </si>
  <si>
    <t>攻击倍率</t>
  </si>
  <si>
    <t>独孤求败2</t>
  </si>
  <si>
    <t>守卫龙城通过噩梦80层数</t>
  </si>
  <si>
    <t>增伤倍率</t>
  </si>
  <si>
    <t>武林至尊2</t>
  </si>
  <si>
    <t>守卫龙城通过噩梦90层数</t>
  </si>
  <si>
    <t>减伤倍率</t>
  </si>
  <si>
    <t>天下无敌2</t>
  </si>
  <si>
    <t>守卫龙城通过噩梦100层数</t>
  </si>
  <si>
    <t>初出茅庐3</t>
  </si>
  <si>
    <t>守卫龙城通过地狱20层数</t>
  </si>
  <si>
    <t>小试牛刀3</t>
  </si>
  <si>
    <t>守卫龙城通过地狱30层数</t>
  </si>
  <si>
    <t>初露锋芒3</t>
  </si>
  <si>
    <t>守卫龙城通过地狱40层数</t>
  </si>
  <si>
    <t>武林新秀3</t>
  </si>
  <si>
    <t>守卫龙城通过地狱50层数</t>
  </si>
  <si>
    <t>声名鹊起3</t>
  </si>
  <si>
    <t>守卫龙城通过地狱60层数</t>
  </si>
  <si>
    <t>过关斩将3</t>
  </si>
  <si>
    <t>守卫龙城通过地狱70层数</t>
  </si>
  <si>
    <t>独孤求败3</t>
  </si>
  <si>
    <t>守卫龙城通过地狱80层数</t>
  </si>
  <si>
    <t>武林至尊3</t>
  </si>
  <si>
    <t>守卫龙城通过地狱90层数</t>
  </si>
  <si>
    <t>天下无敌3</t>
  </si>
  <si>
    <t>守卫龙城通过地狱100层数</t>
  </si>
  <si>
    <t>初出茅庐4</t>
  </si>
  <si>
    <t>小试牛刀4</t>
  </si>
  <si>
    <t>初露锋芒4</t>
  </si>
  <si>
    <t>武林新秀4</t>
  </si>
  <si>
    <t>声名鹊起4</t>
  </si>
  <si>
    <t>过关斩将4</t>
  </si>
  <si>
    <t>独孤求败4</t>
  </si>
  <si>
    <t>武林至尊4</t>
  </si>
  <si>
    <t>天下无敌4</t>
  </si>
  <si>
    <t>攀登者1</t>
  </si>
  <si>
    <t>无尽挑战通过{0}层</t>
  </si>
  <si>
    <t>攀登者2</t>
  </si>
  <si>
    <t>攀登者3</t>
  </si>
  <si>
    <t>攀登者4</t>
  </si>
  <si>
    <t>攀登者5</t>
  </si>
  <si>
    <t>攀登者6</t>
  </si>
  <si>
    <t>攀登者7</t>
  </si>
  <si>
    <t>攀登者8</t>
  </si>
  <si>
    <t>攀登者9</t>
  </si>
  <si>
    <t>攀登者10</t>
  </si>
  <si>
    <t>攀登者11</t>
  </si>
  <si>
    <t>攀登者12</t>
  </si>
  <si>
    <t>攀登者13</t>
  </si>
  <si>
    <t>攀登者14</t>
  </si>
  <si>
    <t>攀登者15</t>
  </si>
  <si>
    <t>攀登者16</t>
  </si>
  <si>
    <t>攀登者17</t>
  </si>
  <si>
    <t>攀登者18</t>
  </si>
  <si>
    <t>攀登者19</t>
  </si>
  <si>
    <t>攀登者20</t>
  </si>
  <si>
    <t>攀登者21</t>
  </si>
  <si>
    <t>攀登者22</t>
  </si>
  <si>
    <t>攀登者23</t>
  </si>
  <si>
    <t>攀登者24</t>
  </si>
  <si>
    <t>攀登者25</t>
  </si>
  <si>
    <t>攀登者26</t>
  </si>
  <si>
    <t>攀登者27</t>
  </si>
  <si>
    <t>攀登者28</t>
  </si>
  <si>
    <t>攀登者29</t>
  </si>
  <si>
    <t>攀登者30</t>
  </si>
  <si>
    <t>攀登者31</t>
  </si>
  <si>
    <t>攀登者32</t>
  </si>
  <si>
    <t>攀登者33</t>
  </si>
  <si>
    <t>攀登者34</t>
  </si>
  <si>
    <t>攀登者35</t>
  </si>
  <si>
    <t>攀登者36</t>
  </si>
  <si>
    <t>攀登者37</t>
  </si>
  <si>
    <t>攀登者38</t>
  </si>
  <si>
    <t>攀登者39</t>
  </si>
  <si>
    <t>攀登者40</t>
  </si>
  <si>
    <t>攀登者41</t>
  </si>
  <si>
    <t>攀登者42</t>
  </si>
  <si>
    <t>攀登者43</t>
  </si>
  <si>
    <t>攀登者44</t>
  </si>
  <si>
    <t>攀登者45</t>
  </si>
  <si>
    <t>攀登者46</t>
  </si>
  <si>
    <t>攀登者47</t>
  </si>
  <si>
    <t>攀登者48</t>
  </si>
  <si>
    <t>攀登者49</t>
  </si>
  <si>
    <t>攀登者50</t>
  </si>
  <si>
    <t>攀登者51</t>
  </si>
  <si>
    <t>攀登者52</t>
  </si>
  <si>
    <t>攀登者53</t>
  </si>
  <si>
    <t>攀登者54</t>
  </si>
  <si>
    <t>攀登者55</t>
  </si>
  <si>
    <t>攀登者56</t>
  </si>
  <si>
    <t>攀登者57</t>
  </si>
  <si>
    <t>攀登者58</t>
  </si>
  <si>
    <t>攀登者59</t>
  </si>
  <si>
    <t>攀登者60</t>
  </si>
  <si>
    <t>攀登者61</t>
  </si>
  <si>
    <t>攀登者62</t>
  </si>
  <si>
    <t>攀登者63</t>
  </si>
  <si>
    <t>攀登者64</t>
  </si>
  <si>
    <t>攀登者65</t>
  </si>
  <si>
    <t>攀登者66</t>
  </si>
  <si>
    <t>攀登者67</t>
  </si>
  <si>
    <t>攀登者68</t>
  </si>
  <si>
    <t>攀登者69</t>
  </si>
  <si>
    <t>攀登者70</t>
  </si>
  <si>
    <t>攀登者71</t>
  </si>
  <si>
    <t>攀登者72</t>
  </si>
  <si>
    <t>攀登者73</t>
  </si>
  <si>
    <t>攀登者74</t>
  </si>
  <si>
    <t>攀登者75</t>
  </si>
  <si>
    <t>攀登者76</t>
  </si>
  <si>
    <t>攀登者77</t>
  </si>
  <si>
    <t>攀登者78</t>
  </si>
  <si>
    <t>攀登者79</t>
  </si>
  <si>
    <t>攀登者80</t>
  </si>
  <si>
    <t>攀登者81</t>
  </si>
  <si>
    <t>攀登者82</t>
  </si>
  <si>
    <t>攀登者83</t>
  </si>
  <si>
    <t>攀登者84</t>
  </si>
  <si>
    <t>攀登者85</t>
  </si>
  <si>
    <t>攀登者86</t>
  </si>
  <si>
    <t>攀登者87</t>
  </si>
  <si>
    <t>攀登者88</t>
  </si>
  <si>
    <t>攀登者89</t>
  </si>
  <si>
    <t>攀登者90</t>
  </si>
  <si>
    <t>攀登者91</t>
  </si>
  <si>
    <t>攀登者92</t>
  </si>
  <si>
    <t>攀登者93</t>
  </si>
  <si>
    <t>攀登者94</t>
  </si>
  <si>
    <t>攀登者95</t>
  </si>
  <si>
    <t>攀登者96</t>
  </si>
  <si>
    <t>攀登者97</t>
  </si>
  <si>
    <t>攀登者98</t>
  </si>
  <si>
    <t>攀登者99</t>
  </si>
  <si>
    <t>攀登者100</t>
  </si>
  <si>
    <t>攀登者101</t>
  </si>
  <si>
    <t>攀登者102</t>
  </si>
  <si>
    <t>攀登者103</t>
  </si>
  <si>
    <t>攀登者104</t>
  </si>
  <si>
    <t>攀登者105</t>
  </si>
  <si>
    <t>攀登者106</t>
  </si>
  <si>
    <t>攀登者107</t>
  </si>
  <si>
    <t>攀登者108</t>
  </si>
  <si>
    <t>攀登者109</t>
  </si>
  <si>
    <t>攀登者110</t>
  </si>
  <si>
    <t>攀登者111</t>
  </si>
  <si>
    <t>攀登者112</t>
  </si>
  <si>
    <t>攀登者113</t>
  </si>
  <si>
    <t>攀登者114</t>
  </si>
  <si>
    <t>攀登者115</t>
  </si>
  <si>
    <t>攀登者116</t>
  </si>
  <si>
    <t>攀登者117</t>
  </si>
  <si>
    <t>攀登者118</t>
  </si>
  <si>
    <t>攀登者119</t>
  </si>
  <si>
    <t>攀登者120</t>
  </si>
  <si>
    <t>攀登者121</t>
  </si>
  <si>
    <t>攀登者122</t>
  </si>
  <si>
    <t>攀登者123</t>
  </si>
  <si>
    <t>攀登者124</t>
  </si>
  <si>
    <t>攀登者125</t>
  </si>
  <si>
    <t>攀登者126</t>
  </si>
  <si>
    <t>攀登者127</t>
  </si>
  <si>
    <t>攀登者128</t>
  </si>
  <si>
    <t>攀登者129</t>
  </si>
  <si>
    <t>攀登者130</t>
  </si>
  <si>
    <t>攀登者131</t>
  </si>
  <si>
    <t>攀登者132</t>
  </si>
  <si>
    <t>攀登者133</t>
  </si>
  <si>
    <t>攀登者134</t>
  </si>
  <si>
    <t>攀登者135</t>
  </si>
  <si>
    <t>攀登者136</t>
  </si>
  <si>
    <t>攀登者137</t>
  </si>
  <si>
    <t>攀登者138</t>
  </si>
  <si>
    <t>攀登者139</t>
  </si>
  <si>
    <t>攀登者140</t>
  </si>
  <si>
    <t>攀登者141</t>
  </si>
  <si>
    <t>攀登者142</t>
  </si>
  <si>
    <t>攀登者143</t>
  </si>
  <si>
    <t>攀登者144</t>
  </si>
  <si>
    <t>攀登者145</t>
  </si>
  <si>
    <t>攀登者146</t>
  </si>
  <si>
    <t>攀登者147</t>
  </si>
  <si>
    <t>攀登者148</t>
  </si>
  <si>
    <t>攀登者149</t>
  </si>
  <si>
    <t>攀登者150</t>
  </si>
  <si>
    <t>攀登者151</t>
  </si>
  <si>
    <t>攀登者152</t>
  </si>
  <si>
    <t>攀登者153</t>
  </si>
  <si>
    <t>攀登者154</t>
  </si>
  <si>
    <t>攀登者155</t>
  </si>
  <si>
    <t>攀登者156</t>
  </si>
  <si>
    <t>攀登者157</t>
  </si>
  <si>
    <t>攀登者158</t>
  </si>
  <si>
    <t>攀登者159</t>
  </si>
  <si>
    <t>攀登者160</t>
  </si>
  <si>
    <t>攀登者161</t>
  </si>
  <si>
    <t>攀登者162</t>
  </si>
  <si>
    <t>攀登者163</t>
  </si>
  <si>
    <t>攀登者164</t>
  </si>
  <si>
    <t>攀登者165</t>
  </si>
  <si>
    <t>攀登者166</t>
  </si>
  <si>
    <t>攀登者167</t>
  </si>
  <si>
    <t>攀登者168</t>
  </si>
  <si>
    <t>攀登者169</t>
  </si>
  <si>
    <t>攀登者170</t>
  </si>
  <si>
    <t>攀登者171</t>
  </si>
  <si>
    <t>攀登者172</t>
  </si>
  <si>
    <t>攀登者173</t>
  </si>
  <si>
    <t>攀登者174</t>
  </si>
  <si>
    <t>攀登者175</t>
  </si>
  <si>
    <t>攀登者176</t>
  </si>
  <si>
    <t>攀登者177</t>
  </si>
  <si>
    <t>攀登者178</t>
  </si>
  <si>
    <t>攀登者179</t>
  </si>
  <si>
    <t>攀登者180</t>
  </si>
  <si>
    <t>攀登者181</t>
  </si>
  <si>
    <t>攀登者182</t>
  </si>
  <si>
    <t>攀登者183</t>
  </si>
  <si>
    <t>攀登者184</t>
  </si>
  <si>
    <t>攀登者185</t>
  </si>
  <si>
    <t>攀登者186</t>
  </si>
  <si>
    <t>攀登者187</t>
  </si>
  <si>
    <t>攀登者188</t>
  </si>
  <si>
    <t>攀登者189</t>
  </si>
  <si>
    <t>攀登者190</t>
  </si>
  <si>
    <t>攀登者191</t>
  </si>
  <si>
    <t>攀登者192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</si>
</sst>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color theme="1"/>
      <name val="等线"/>
      <charset val="134"/>
    </font>
    <font>
      <sz val="10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Fill="1"/>
    <xf numFmtId="0" fontId="3" fillId="0" borderId="0" xfId="0" applyFont="1"/>
    <xf numFmtId="0" fontId="2" fillId="0" borderId="0" xfId="0" applyFont="1"/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517"/>
  <sheetViews>
    <sheetView tabSelected="1" topLeftCell="A484" workbookViewId="0">
      <selection activeCell="M514" sqref="M514"/>
    </sheetView>
  </sheetViews>
  <sheetFormatPr defaultColWidth="9" defaultRowHeight="16" customHeight="1"/>
  <cols>
    <col min="1" max="3" width="9" style="7"/>
    <col min="4" max="4" width="12.25" style="7" customWidth="1"/>
    <col min="5" max="5" width="11.875" style="7" customWidth="1"/>
    <col min="6" max="7" width="10.75" style="7" customWidth="1"/>
    <col min="8" max="8" width="10.875" style="7" customWidth="1"/>
    <col min="9" max="9" width="13" style="7" customWidth="1"/>
    <col min="10" max="10" width="21.625" style="7" customWidth="1"/>
    <col min="11" max="11" width="14.25" style="7" customWidth="1"/>
    <col min="12" max="16384" width="9" style="7"/>
  </cols>
  <sheetData>
    <row r="2" customHeight="1" spans="11:11">
      <c r="K2" s="7" t="s">
        <v>0</v>
      </c>
    </row>
    <row r="3" customHeight="1" spans="3:11"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/>
    </row>
    <row r="4" customHeight="1" spans="3:11">
      <c r="C4" s="8" t="s">
        <v>9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/>
    </row>
    <row r="5" customHeight="1" spans="3:11">
      <c r="C5" s="8" t="s">
        <v>10</v>
      </c>
      <c r="D5" s="8" t="s">
        <v>11</v>
      </c>
      <c r="E5" s="8" t="s">
        <v>10</v>
      </c>
      <c r="F5" s="8" t="s">
        <v>12</v>
      </c>
      <c r="G5" s="8" t="s">
        <v>10</v>
      </c>
      <c r="H5" s="8" t="s">
        <v>10</v>
      </c>
      <c r="I5" s="8" t="s">
        <v>10</v>
      </c>
      <c r="J5" s="8" t="s">
        <v>11</v>
      </c>
      <c r="K5" s="8"/>
    </row>
    <row r="6" customHeight="1" spans="3:11">
      <c r="C6" s="7">
        <v>1001</v>
      </c>
      <c r="D6" s="7" t="s">
        <v>13</v>
      </c>
      <c r="E6" s="7">
        <v>1</v>
      </c>
      <c r="F6" s="7">
        <f t="shared" ref="F6:F69" si="0">(C6-1000)*24</f>
        <v>24</v>
      </c>
      <c r="G6" s="7">
        <v>1</v>
      </c>
      <c r="H6" s="7">
        <v>14</v>
      </c>
      <c r="I6" s="7">
        <v>5</v>
      </c>
      <c r="J6" s="7" t="s">
        <v>14</v>
      </c>
      <c r="K6" s="7" t="s">
        <v>15</v>
      </c>
    </row>
    <row r="7" s="1" customFormat="1" customHeight="1" spans="3:11">
      <c r="C7" s="1">
        <v>1002</v>
      </c>
      <c r="D7" s="1" t="s">
        <v>16</v>
      </c>
      <c r="E7" s="1">
        <v>1</v>
      </c>
      <c r="F7" s="1">
        <f t="shared" si="0"/>
        <v>48</v>
      </c>
      <c r="G7" s="1">
        <v>5</v>
      </c>
      <c r="H7" s="1">
        <v>0</v>
      </c>
      <c r="I7" s="1">
        <v>1</v>
      </c>
      <c r="J7" s="1" t="s">
        <v>14</v>
      </c>
      <c r="K7" s="1" t="s">
        <v>17</v>
      </c>
    </row>
    <row r="8" customHeight="1" spans="3:11">
      <c r="C8" s="7">
        <v>1003</v>
      </c>
      <c r="D8" s="7" t="s">
        <v>18</v>
      </c>
      <c r="E8" s="7">
        <v>1</v>
      </c>
      <c r="F8" s="7">
        <f t="shared" si="0"/>
        <v>72</v>
      </c>
      <c r="G8" s="7">
        <v>1</v>
      </c>
      <c r="H8" s="7">
        <v>15</v>
      </c>
      <c r="I8" s="7">
        <v>5</v>
      </c>
      <c r="J8" s="7" t="s">
        <v>14</v>
      </c>
      <c r="K8" s="7" t="s">
        <v>19</v>
      </c>
    </row>
    <row r="9" customHeight="1" spans="3:11">
      <c r="C9" s="7">
        <v>1004</v>
      </c>
      <c r="D9" s="7" t="s">
        <v>20</v>
      </c>
      <c r="E9" s="7">
        <v>1</v>
      </c>
      <c r="F9" s="7">
        <f t="shared" si="0"/>
        <v>96</v>
      </c>
      <c r="G9" s="7">
        <v>1</v>
      </c>
      <c r="H9" s="7">
        <v>16</v>
      </c>
      <c r="I9" s="7">
        <v>5</v>
      </c>
      <c r="J9" s="7" t="s">
        <v>14</v>
      </c>
      <c r="K9" s="7" t="s">
        <v>21</v>
      </c>
    </row>
    <row r="10" s="2" customFormat="1" customHeight="1" spans="3:11">
      <c r="C10" s="2">
        <v>1005</v>
      </c>
      <c r="D10" s="2" t="s">
        <v>22</v>
      </c>
      <c r="E10" s="2">
        <v>1</v>
      </c>
      <c r="F10" s="2">
        <f t="shared" si="0"/>
        <v>120</v>
      </c>
      <c r="G10" s="2">
        <v>5</v>
      </c>
      <c r="H10" s="2">
        <v>0</v>
      </c>
      <c r="I10" s="2">
        <v>1</v>
      </c>
      <c r="J10" s="2" t="s">
        <v>14</v>
      </c>
      <c r="K10" s="1" t="s">
        <v>17</v>
      </c>
    </row>
    <row r="11" customHeight="1" spans="3:11">
      <c r="C11" s="7">
        <v>1006</v>
      </c>
      <c r="D11" s="7" t="s">
        <v>23</v>
      </c>
      <c r="E11" s="7">
        <v>1</v>
      </c>
      <c r="F11" s="7">
        <f t="shared" si="0"/>
        <v>144</v>
      </c>
      <c r="G11" s="7">
        <v>1</v>
      </c>
      <c r="H11" s="7">
        <v>8</v>
      </c>
      <c r="I11" s="7">
        <v>1</v>
      </c>
      <c r="J11" s="7" t="s">
        <v>14</v>
      </c>
      <c r="K11" s="7" t="s">
        <v>24</v>
      </c>
    </row>
    <row r="12" s="3" customFormat="1" customHeight="1" spans="3:11">
      <c r="C12" s="3">
        <v>1007</v>
      </c>
      <c r="D12" s="3" t="s">
        <v>25</v>
      </c>
      <c r="E12" s="3">
        <v>1</v>
      </c>
      <c r="F12" s="3">
        <f t="shared" si="0"/>
        <v>168</v>
      </c>
      <c r="G12" s="3">
        <v>2</v>
      </c>
      <c r="H12" s="3">
        <v>0</v>
      </c>
      <c r="I12" s="3">
        <v>1</v>
      </c>
      <c r="J12" s="3" t="s">
        <v>14</v>
      </c>
      <c r="K12" s="3" t="s">
        <v>26</v>
      </c>
    </row>
    <row r="13" customHeight="1" spans="3:11">
      <c r="C13" s="7">
        <v>1008</v>
      </c>
      <c r="D13" s="7" t="s">
        <v>27</v>
      </c>
      <c r="E13" s="7">
        <v>1</v>
      </c>
      <c r="F13" s="7">
        <f t="shared" si="0"/>
        <v>192</v>
      </c>
      <c r="G13" s="7">
        <v>1</v>
      </c>
      <c r="H13" s="7">
        <v>10</v>
      </c>
      <c r="I13" s="7">
        <v>1</v>
      </c>
      <c r="J13" s="7" t="s">
        <v>14</v>
      </c>
      <c r="K13" s="7" t="s">
        <v>28</v>
      </c>
    </row>
    <row r="14" customHeight="1" spans="3:11">
      <c r="C14" s="7">
        <v>1009</v>
      </c>
      <c r="D14" s="7" t="s">
        <v>29</v>
      </c>
      <c r="E14" s="7">
        <v>1</v>
      </c>
      <c r="F14" s="7">
        <f t="shared" si="0"/>
        <v>216</v>
      </c>
      <c r="G14" s="7">
        <v>1</v>
      </c>
      <c r="H14" s="7">
        <v>11</v>
      </c>
      <c r="I14" s="7">
        <v>5</v>
      </c>
      <c r="J14" s="7" t="s">
        <v>14</v>
      </c>
      <c r="K14" s="7" t="s">
        <v>30</v>
      </c>
    </row>
    <row r="15" s="2" customFormat="1" customHeight="1" spans="3:11">
      <c r="C15" s="2">
        <v>1010</v>
      </c>
      <c r="D15" s="2" t="s">
        <v>31</v>
      </c>
      <c r="E15" s="2">
        <v>1</v>
      </c>
      <c r="F15" s="2">
        <f t="shared" si="0"/>
        <v>240</v>
      </c>
      <c r="G15" s="2">
        <v>5</v>
      </c>
      <c r="H15" s="2">
        <v>0</v>
      </c>
      <c r="I15" s="2">
        <v>1</v>
      </c>
      <c r="J15" s="2" t="s">
        <v>14</v>
      </c>
      <c r="K15" s="1" t="s">
        <v>17</v>
      </c>
    </row>
    <row r="16" s="4" customFormat="1" customHeight="1" spans="3:11">
      <c r="C16" s="4">
        <v>1011</v>
      </c>
      <c r="D16" s="4" t="s">
        <v>32</v>
      </c>
      <c r="E16" s="4">
        <v>1</v>
      </c>
      <c r="F16" s="4">
        <f t="shared" si="0"/>
        <v>264</v>
      </c>
      <c r="G16" s="4">
        <v>1</v>
      </c>
      <c r="H16" s="4">
        <v>7</v>
      </c>
      <c r="I16" s="4">
        <v>1</v>
      </c>
      <c r="J16" s="4" t="s">
        <v>14</v>
      </c>
      <c r="K16" s="4" t="s">
        <v>33</v>
      </c>
    </row>
    <row r="17" customHeight="1" spans="3:11">
      <c r="C17" s="7">
        <v>1012</v>
      </c>
      <c r="D17" s="7" t="s">
        <v>34</v>
      </c>
      <c r="E17" s="7">
        <v>1</v>
      </c>
      <c r="F17" s="7">
        <f t="shared" si="0"/>
        <v>288</v>
      </c>
      <c r="G17" s="7">
        <v>1</v>
      </c>
      <c r="H17" s="7">
        <v>14</v>
      </c>
      <c r="I17" s="7">
        <v>5</v>
      </c>
      <c r="J17" s="7" t="s">
        <v>14</v>
      </c>
      <c r="K17" s="7" t="s">
        <v>15</v>
      </c>
    </row>
    <row r="18" customHeight="1" spans="3:11">
      <c r="C18" s="7">
        <v>1013</v>
      </c>
      <c r="D18" s="7" t="s">
        <v>35</v>
      </c>
      <c r="E18" s="7">
        <v>1</v>
      </c>
      <c r="F18" s="7">
        <f t="shared" si="0"/>
        <v>312</v>
      </c>
      <c r="G18" s="7">
        <v>1</v>
      </c>
      <c r="H18" s="7">
        <v>15</v>
      </c>
      <c r="I18" s="7">
        <v>5</v>
      </c>
      <c r="J18" s="7" t="s">
        <v>14</v>
      </c>
      <c r="K18" s="7" t="s">
        <v>19</v>
      </c>
    </row>
    <row r="19" customHeight="1" spans="3:11">
      <c r="C19" s="7">
        <v>1014</v>
      </c>
      <c r="D19" s="7" t="s">
        <v>36</v>
      </c>
      <c r="E19" s="7">
        <v>1</v>
      </c>
      <c r="F19" s="7">
        <f t="shared" si="0"/>
        <v>336</v>
      </c>
      <c r="G19" s="7">
        <v>1</v>
      </c>
      <c r="H19" s="7">
        <v>16</v>
      </c>
      <c r="I19" s="7">
        <v>5</v>
      </c>
      <c r="J19" s="7" t="s">
        <v>14</v>
      </c>
      <c r="K19" s="7" t="s">
        <v>21</v>
      </c>
    </row>
    <row r="20" s="2" customFormat="1" customHeight="1" spans="3:11">
      <c r="C20" s="2">
        <v>1015</v>
      </c>
      <c r="D20" s="2" t="s">
        <v>37</v>
      </c>
      <c r="E20" s="2">
        <v>1</v>
      </c>
      <c r="F20" s="2">
        <f t="shared" si="0"/>
        <v>360</v>
      </c>
      <c r="G20" s="2">
        <v>5</v>
      </c>
      <c r="H20" s="2">
        <v>0</v>
      </c>
      <c r="I20" s="2">
        <v>1</v>
      </c>
      <c r="J20" s="2" t="s">
        <v>14</v>
      </c>
      <c r="K20" s="1" t="s">
        <v>17</v>
      </c>
    </row>
    <row r="21" customHeight="1" spans="3:11">
      <c r="C21" s="7">
        <v>1016</v>
      </c>
      <c r="D21" s="7" t="s">
        <v>38</v>
      </c>
      <c r="E21" s="7">
        <v>1</v>
      </c>
      <c r="F21" s="7">
        <f t="shared" si="0"/>
        <v>384</v>
      </c>
      <c r="G21" s="7">
        <v>1</v>
      </c>
      <c r="H21" s="7">
        <v>8</v>
      </c>
      <c r="I21" s="7">
        <v>1</v>
      </c>
      <c r="J21" s="7" t="s">
        <v>14</v>
      </c>
      <c r="K21" s="7" t="s">
        <v>24</v>
      </c>
    </row>
    <row r="22" customHeight="1" spans="3:11">
      <c r="C22" s="7">
        <v>1017</v>
      </c>
      <c r="D22" s="7" t="s">
        <v>39</v>
      </c>
      <c r="E22" s="7">
        <v>1</v>
      </c>
      <c r="F22" s="7">
        <f t="shared" si="0"/>
        <v>408</v>
      </c>
      <c r="G22" s="7">
        <v>1</v>
      </c>
      <c r="H22" s="7">
        <v>9</v>
      </c>
      <c r="I22" s="7">
        <v>5</v>
      </c>
      <c r="J22" s="7" t="s">
        <v>14</v>
      </c>
      <c r="K22" s="7" t="s">
        <v>40</v>
      </c>
    </row>
    <row r="23" customHeight="1" spans="3:11">
      <c r="C23" s="7">
        <v>1018</v>
      </c>
      <c r="D23" s="7" t="s">
        <v>41</v>
      </c>
      <c r="E23" s="7">
        <v>1</v>
      </c>
      <c r="F23" s="7">
        <f t="shared" si="0"/>
        <v>432</v>
      </c>
      <c r="G23" s="7">
        <v>1</v>
      </c>
      <c r="H23" s="7">
        <v>10</v>
      </c>
      <c r="I23" s="7">
        <v>1</v>
      </c>
      <c r="J23" s="7" t="s">
        <v>14</v>
      </c>
      <c r="K23" s="7" t="s">
        <v>28</v>
      </c>
    </row>
    <row r="24" s="5" customFormat="1" customHeight="1" spans="3:11">
      <c r="C24" s="5">
        <v>1019</v>
      </c>
      <c r="D24" s="5" t="s">
        <v>42</v>
      </c>
      <c r="E24" s="5">
        <v>1</v>
      </c>
      <c r="F24" s="5">
        <f t="shared" si="0"/>
        <v>456</v>
      </c>
      <c r="G24" s="5">
        <v>1</v>
      </c>
      <c r="H24" s="5">
        <v>11</v>
      </c>
      <c r="I24" s="7">
        <v>5</v>
      </c>
      <c r="J24" s="5" t="s">
        <v>14</v>
      </c>
      <c r="K24" s="7" t="s">
        <v>30</v>
      </c>
    </row>
    <row r="25" customHeight="1" spans="3:11">
      <c r="C25" s="7">
        <v>1020</v>
      </c>
      <c r="D25" s="7" t="s">
        <v>43</v>
      </c>
      <c r="E25" s="7">
        <v>1</v>
      </c>
      <c r="F25" s="7">
        <f t="shared" si="0"/>
        <v>480</v>
      </c>
      <c r="G25" s="7">
        <v>1</v>
      </c>
      <c r="H25" s="7">
        <v>15</v>
      </c>
      <c r="I25" s="7">
        <v>5</v>
      </c>
      <c r="J25" s="7" t="s">
        <v>14</v>
      </c>
      <c r="K25" s="7" t="s">
        <v>19</v>
      </c>
    </row>
    <row r="26" s="4" customFormat="1" customHeight="1" spans="3:11">
      <c r="C26" s="4">
        <v>1021</v>
      </c>
      <c r="D26" s="4" t="s">
        <v>44</v>
      </c>
      <c r="E26" s="4">
        <v>1</v>
      </c>
      <c r="F26" s="4">
        <f t="shared" si="0"/>
        <v>504</v>
      </c>
      <c r="G26" s="4">
        <v>1</v>
      </c>
      <c r="H26" s="4">
        <v>7</v>
      </c>
      <c r="I26" s="4">
        <v>1</v>
      </c>
      <c r="J26" s="4" t="s">
        <v>14</v>
      </c>
      <c r="K26" s="4" t="s">
        <v>33</v>
      </c>
    </row>
    <row r="27" customHeight="1" spans="3:11">
      <c r="C27" s="7">
        <v>1022</v>
      </c>
      <c r="D27" s="7" t="s">
        <v>45</v>
      </c>
      <c r="E27" s="7">
        <v>1</v>
      </c>
      <c r="F27" s="7">
        <f t="shared" si="0"/>
        <v>528</v>
      </c>
      <c r="G27" s="7">
        <v>1</v>
      </c>
      <c r="H27" s="7">
        <v>14</v>
      </c>
      <c r="I27" s="7">
        <v>5</v>
      </c>
      <c r="J27" s="7" t="s">
        <v>14</v>
      </c>
      <c r="K27" s="7" t="s">
        <v>15</v>
      </c>
    </row>
    <row r="28" s="2" customFormat="1" customHeight="1" spans="3:11">
      <c r="C28" s="2">
        <v>1023</v>
      </c>
      <c r="D28" s="2" t="s">
        <v>46</v>
      </c>
      <c r="E28" s="2">
        <v>1</v>
      </c>
      <c r="F28" s="2">
        <f t="shared" si="0"/>
        <v>552</v>
      </c>
      <c r="G28" s="2">
        <v>5</v>
      </c>
      <c r="H28" s="2">
        <v>0</v>
      </c>
      <c r="I28" s="2">
        <v>1</v>
      </c>
      <c r="J28" s="2" t="s">
        <v>14</v>
      </c>
      <c r="K28" s="1" t="s">
        <v>17</v>
      </c>
    </row>
    <row r="29" customHeight="1" spans="3:11">
      <c r="C29" s="7">
        <v>1024</v>
      </c>
      <c r="D29" s="7" t="s">
        <v>47</v>
      </c>
      <c r="E29" s="7">
        <v>1</v>
      </c>
      <c r="F29" s="7">
        <f t="shared" si="0"/>
        <v>576</v>
      </c>
      <c r="G29" s="7">
        <v>1</v>
      </c>
      <c r="H29" s="7">
        <v>16</v>
      </c>
      <c r="I29" s="7">
        <v>5</v>
      </c>
      <c r="J29" s="7" t="s">
        <v>14</v>
      </c>
      <c r="K29" s="7" t="s">
        <v>21</v>
      </c>
    </row>
    <row r="30" customHeight="1" spans="3:11">
      <c r="C30" s="7">
        <v>1025</v>
      </c>
      <c r="D30" s="7" t="s">
        <v>48</v>
      </c>
      <c r="E30" s="7">
        <v>1</v>
      </c>
      <c r="F30" s="7">
        <f t="shared" si="0"/>
        <v>600</v>
      </c>
      <c r="G30" s="7">
        <v>1</v>
      </c>
      <c r="H30" s="7">
        <v>8</v>
      </c>
      <c r="I30" s="7">
        <v>1</v>
      </c>
      <c r="J30" s="7" t="s">
        <v>14</v>
      </c>
      <c r="K30" s="7" t="s">
        <v>24</v>
      </c>
    </row>
    <row r="31" customHeight="1" spans="3:11">
      <c r="C31" s="7">
        <v>1026</v>
      </c>
      <c r="D31" s="7" t="s">
        <v>49</v>
      </c>
      <c r="E31" s="7">
        <v>1</v>
      </c>
      <c r="F31" s="7">
        <f t="shared" si="0"/>
        <v>624</v>
      </c>
      <c r="G31" s="7">
        <v>1</v>
      </c>
      <c r="H31" s="7">
        <v>9</v>
      </c>
      <c r="I31" s="7">
        <v>5</v>
      </c>
      <c r="J31" s="7" t="s">
        <v>14</v>
      </c>
      <c r="K31" s="7" t="s">
        <v>40</v>
      </c>
    </row>
    <row r="32" s="5" customFormat="1" customHeight="1" spans="3:11">
      <c r="C32" s="5">
        <v>1027</v>
      </c>
      <c r="D32" s="5" t="s">
        <v>50</v>
      </c>
      <c r="E32" s="5">
        <v>1</v>
      </c>
      <c r="F32" s="5">
        <f t="shared" si="0"/>
        <v>648</v>
      </c>
      <c r="G32" s="5">
        <v>1</v>
      </c>
      <c r="H32" s="5">
        <v>15</v>
      </c>
      <c r="I32" s="5">
        <v>5</v>
      </c>
      <c r="J32" s="5" t="s">
        <v>14</v>
      </c>
      <c r="K32" s="5" t="s">
        <v>19</v>
      </c>
    </row>
    <row r="33" customHeight="1" spans="3:11">
      <c r="C33" s="7">
        <v>1028</v>
      </c>
      <c r="D33" s="7" t="s">
        <v>51</v>
      </c>
      <c r="E33" s="7">
        <v>1</v>
      </c>
      <c r="F33" s="7">
        <f t="shared" si="0"/>
        <v>672</v>
      </c>
      <c r="G33" s="7">
        <v>1</v>
      </c>
      <c r="H33" s="7">
        <v>10</v>
      </c>
      <c r="I33" s="7">
        <v>1</v>
      </c>
      <c r="J33" s="7" t="s">
        <v>14</v>
      </c>
      <c r="K33" s="7" t="s">
        <v>28</v>
      </c>
    </row>
    <row r="34" customHeight="1" spans="3:11">
      <c r="C34" s="7">
        <v>1029</v>
      </c>
      <c r="D34" s="7" t="s">
        <v>52</v>
      </c>
      <c r="E34" s="7">
        <v>1</v>
      </c>
      <c r="F34" s="7">
        <f t="shared" si="0"/>
        <v>696</v>
      </c>
      <c r="G34" s="7">
        <v>1</v>
      </c>
      <c r="H34" s="5">
        <v>11</v>
      </c>
      <c r="I34" s="7">
        <v>5</v>
      </c>
      <c r="J34" s="7" t="s">
        <v>14</v>
      </c>
      <c r="K34" s="7" t="s">
        <v>30</v>
      </c>
    </row>
    <row r="35" s="4" customFormat="1" customHeight="1" spans="3:11">
      <c r="C35" s="4">
        <v>1030</v>
      </c>
      <c r="D35" s="4" t="s">
        <v>53</v>
      </c>
      <c r="E35" s="4">
        <v>1</v>
      </c>
      <c r="F35" s="4">
        <f t="shared" si="0"/>
        <v>720</v>
      </c>
      <c r="G35" s="4">
        <v>1</v>
      </c>
      <c r="H35" s="4">
        <v>7</v>
      </c>
      <c r="I35" s="4">
        <v>1</v>
      </c>
      <c r="J35" s="4" t="s">
        <v>14</v>
      </c>
      <c r="K35" s="4" t="s">
        <v>33</v>
      </c>
    </row>
    <row r="36" customHeight="1" spans="3:11">
      <c r="C36" s="7">
        <v>1031</v>
      </c>
      <c r="D36" s="7" t="s">
        <v>54</v>
      </c>
      <c r="E36" s="7">
        <v>1</v>
      </c>
      <c r="F36" s="7">
        <f t="shared" si="0"/>
        <v>744</v>
      </c>
      <c r="G36" s="7">
        <v>1</v>
      </c>
      <c r="H36" s="7">
        <v>14</v>
      </c>
      <c r="I36" s="7">
        <v>5</v>
      </c>
      <c r="J36" s="7" t="s">
        <v>14</v>
      </c>
      <c r="K36" s="7" t="s">
        <v>15</v>
      </c>
    </row>
    <row r="37" customHeight="1" spans="3:11">
      <c r="C37" s="7">
        <v>1032</v>
      </c>
      <c r="D37" s="7" t="s">
        <v>55</v>
      </c>
      <c r="E37" s="7">
        <v>1</v>
      </c>
      <c r="F37" s="7">
        <f t="shared" si="0"/>
        <v>768</v>
      </c>
      <c r="G37" s="7">
        <v>1</v>
      </c>
      <c r="H37" s="7">
        <v>15</v>
      </c>
      <c r="I37" s="7">
        <v>5</v>
      </c>
      <c r="J37" s="7" t="s">
        <v>14</v>
      </c>
      <c r="K37" s="7" t="s">
        <v>19</v>
      </c>
    </row>
    <row r="38" customHeight="1" spans="3:11">
      <c r="C38" s="7">
        <v>1033</v>
      </c>
      <c r="D38" s="7" t="s">
        <v>56</v>
      </c>
      <c r="E38" s="7">
        <v>1</v>
      </c>
      <c r="F38" s="7">
        <f t="shared" si="0"/>
        <v>792</v>
      </c>
      <c r="G38" s="7">
        <v>1</v>
      </c>
      <c r="H38" s="7">
        <v>16</v>
      </c>
      <c r="I38" s="7">
        <v>5</v>
      </c>
      <c r="J38" s="7" t="s">
        <v>14</v>
      </c>
      <c r="K38" s="7" t="s">
        <v>21</v>
      </c>
    </row>
    <row r="39" customHeight="1" spans="3:11">
      <c r="C39" s="7">
        <v>1034</v>
      </c>
      <c r="D39" s="7" t="s">
        <v>57</v>
      </c>
      <c r="E39" s="7">
        <v>1</v>
      </c>
      <c r="F39" s="7">
        <f t="shared" si="0"/>
        <v>816</v>
      </c>
      <c r="G39" s="7">
        <v>1</v>
      </c>
      <c r="H39" s="7">
        <v>8</v>
      </c>
      <c r="I39" s="7">
        <v>1</v>
      </c>
      <c r="J39" s="7" t="s">
        <v>14</v>
      </c>
      <c r="K39" s="7" t="s">
        <v>24</v>
      </c>
    </row>
    <row r="40" customHeight="1" spans="3:11">
      <c r="C40" s="7">
        <v>1035</v>
      </c>
      <c r="D40" s="7" t="s">
        <v>58</v>
      </c>
      <c r="E40" s="7">
        <v>1</v>
      </c>
      <c r="F40" s="7">
        <f t="shared" si="0"/>
        <v>840</v>
      </c>
      <c r="G40" s="7">
        <v>1</v>
      </c>
      <c r="H40" s="7">
        <v>9</v>
      </c>
      <c r="I40" s="7">
        <v>5</v>
      </c>
      <c r="J40" s="7" t="s">
        <v>14</v>
      </c>
      <c r="K40" s="7" t="s">
        <v>40</v>
      </c>
    </row>
    <row r="41" customHeight="1" spans="3:11">
      <c r="C41" s="7">
        <v>1036</v>
      </c>
      <c r="D41" s="7" t="s">
        <v>59</v>
      </c>
      <c r="E41" s="7">
        <v>1</v>
      </c>
      <c r="F41" s="7">
        <f t="shared" si="0"/>
        <v>864</v>
      </c>
      <c r="G41" s="7">
        <v>1</v>
      </c>
      <c r="H41" s="7">
        <v>10</v>
      </c>
      <c r="I41" s="7">
        <v>1</v>
      </c>
      <c r="J41" s="7" t="s">
        <v>14</v>
      </c>
      <c r="K41" s="7" t="s">
        <v>28</v>
      </c>
    </row>
    <row r="42" customHeight="1" spans="3:11">
      <c r="C42" s="7">
        <v>1037</v>
      </c>
      <c r="D42" s="7" t="s">
        <v>60</v>
      </c>
      <c r="E42" s="7">
        <v>1</v>
      </c>
      <c r="F42" s="7">
        <f t="shared" si="0"/>
        <v>888</v>
      </c>
      <c r="G42" s="7">
        <v>1</v>
      </c>
      <c r="H42" s="7">
        <v>11</v>
      </c>
      <c r="I42" s="7">
        <v>5</v>
      </c>
      <c r="J42" s="7" t="s">
        <v>14</v>
      </c>
      <c r="K42" s="7" t="s">
        <v>30</v>
      </c>
    </row>
    <row r="43" customHeight="1" spans="3:11">
      <c r="C43" s="7">
        <v>1038</v>
      </c>
      <c r="D43" s="7" t="s">
        <v>61</v>
      </c>
      <c r="E43" s="7">
        <v>1</v>
      </c>
      <c r="F43" s="7">
        <f t="shared" si="0"/>
        <v>912</v>
      </c>
      <c r="G43" s="7">
        <v>1</v>
      </c>
      <c r="H43" s="7">
        <v>12</v>
      </c>
      <c r="I43" s="7">
        <v>2</v>
      </c>
      <c r="J43" s="7" t="s">
        <v>14</v>
      </c>
      <c r="K43" s="7" t="s">
        <v>62</v>
      </c>
    </row>
    <row r="44" s="4" customFormat="1" customHeight="1" spans="3:11">
      <c r="C44" s="4">
        <v>1039</v>
      </c>
      <c r="D44" s="4" t="s">
        <v>63</v>
      </c>
      <c r="E44" s="4">
        <v>1</v>
      </c>
      <c r="F44" s="4">
        <f t="shared" si="0"/>
        <v>936</v>
      </c>
      <c r="G44" s="4">
        <v>1</v>
      </c>
      <c r="H44" s="4">
        <v>7</v>
      </c>
      <c r="I44" s="4">
        <v>1</v>
      </c>
      <c r="J44" s="4" t="s">
        <v>14</v>
      </c>
      <c r="K44" s="4" t="s">
        <v>33</v>
      </c>
    </row>
    <row r="45" customHeight="1" spans="3:11">
      <c r="C45" s="7">
        <v>1040</v>
      </c>
      <c r="D45" s="7" t="s">
        <v>64</v>
      </c>
      <c r="E45" s="7">
        <v>1</v>
      </c>
      <c r="F45" s="7">
        <f t="shared" si="0"/>
        <v>960</v>
      </c>
      <c r="G45" s="7">
        <v>1</v>
      </c>
      <c r="H45" s="7">
        <v>14</v>
      </c>
      <c r="I45" s="7">
        <v>5</v>
      </c>
      <c r="J45" s="7" t="s">
        <v>14</v>
      </c>
      <c r="K45" s="7" t="s">
        <v>15</v>
      </c>
    </row>
    <row r="46" customHeight="1" spans="3:11">
      <c r="C46" s="7">
        <v>1041</v>
      </c>
      <c r="D46" s="7" t="s">
        <v>65</v>
      </c>
      <c r="E46" s="7">
        <v>1</v>
      </c>
      <c r="F46" s="7">
        <f t="shared" si="0"/>
        <v>984</v>
      </c>
      <c r="G46" s="7">
        <v>1</v>
      </c>
      <c r="H46" s="7">
        <v>15</v>
      </c>
      <c r="I46" s="7">
        <v>5</v>
      </c>
      <c r="J46" s="7" t="s">
        <v>14</v>
      </c>
      <c r="K46" s="7" t="s">
        <v>19</v>
      </c>
    </row>
    <row r="47" customHeight="1" spans="3:11">
      <c r="C47" s="7">
        <v>1042</v>
      </c>
      <c r="D47" s="7" t="s">
        <v>66</v>
      </c>
      <c r="E47" s="7">
        <v>1</v>
      </c>
      <c r="F47" s="7">
        <f t="shared" si="0"/>
        <v>1008</v>
      </c>
      <c r="G47" s="7">
        <v>1</v>
      </c>
      <c r="H47" s="7">
        <v>16</v>
      </c>
      <c r="I47" s="7">
        <v>5</v>
      </c>
      <c r="J47" s="7" t="s">
        <v>14</v>
      </c>
      <c r="K47" s="7" t="s">
        <v>21</v>
      </c>
    </row>
    <row r="48" customHeight="1" spans="3:11">
      <c r="C48" s="7">
        <v>1043</v>
      </c>
      <c r="D48" s="7" t="s">
        <v>67</v>
      </c>
      <c r="E48" s="7">
        <v>1</v>
      </c>
      <c r="F48" s="7">
        <f t="shared" si="0"/>
        <v>1032</v>
      </c>
      <c r="G48" s="7">
        <v>1</v>
      </c>
      <c r="H48" s="7">
        <v>8</v>
      </c>
      <c r="I48" s="7">
        <v>1</v>
      </c>
      <c r="J48" s="7" t="s">
        <v>14</v>
      </c>
      <c r="K48" s="7" t="s">
        <v>24</v>
      </c>
    </row>
    <row r="49" customHeight="1" spans="3:11">
      <c r="C49" s="7">
        <v>1044</v>
      </c>
      <c r="D49" s="7" t="s">
        <v>68</v>
      </c>
      <c r="E49" s="7">
        <v>1</v>
      </c>
      <c r="F49" s="7">
        <f t="shared" si="0"/>
        <v>1056</v>
      </c>
      <c r="G49" s="7">
        <v>1</v>
      </c>
      <c r="H49" s="7">
        <v>9</v>
      </c>
      <c r="I49" s="7">
        <v>5</v>
      </c>
      <c r="J49" s="7" t="s">
        <v>14</v>
      </c>
      <c r="K49" s="7" t="s">
        <v>40</v>
      </c>
    </row>
    <row r="50" customHeight="1" spans="3:11">
      <c r="C50" s="7">
        <v>1045</v>
      </c>
      <c r="D50" s="7" t="s">
        <v>69</v>
      </c>
      <c r="E50" s="7">
        <v>1</v>
      </c>
      <c r="F50" s="7">
        <f t="shared" si="0"/>
        <v>1080</v>
      </c>
      <c r="G50" s="7">
        <v>1</v>
      </c>
      <c r="H50" s="7">
        <v>10</v>
      </c>
      <c r="I50" s="7">
        <v>1</v>
      </c>
      <c r="J50" s="7" t="s">
        <v>14</v>
      </c>
      <c r="K50" s="7" t="s">
        <v>28</v>
      </c>
    </row>
    <row r="51" customHeight="1" spans="3:11">
      <c r="C51" s="7">
        <v>1046</v>
      </c>
      <c r="D51" s="7" t="s">
        <v>70</v>
      </c>
      <c r="E51" s="7">
        <v>1</v>
      </c>
      <c r="F51" s="7">
        <f t="shared" si="0"/>
        <v>1104</v>
      </c>
      <c r="G51" s="7">
        <v>1</v>
      </c>
      <c r="H51" s="7">
        <v>11</v>
      </c>
      <c r="I51" s="7">
        <v>5</v>
      </c>
      <c r="J51" s="7" t="s">
        <v>14</v>
      </c>
      <c r="K51" s="7" t="s">
        <v>30</v>
      </c>
    </row>
    <row r="52" customHeight="1" spans="3:11">
      <c r="C52" s="7">
        <v>1047</v>
      </c>
      <c r="D52" s="7" t="s">
        <v>71</v>
      </c>
      <c r="E52" s="7">
        <v>1</v>
      </c>
      <c r="F52" s="7">
        <f t="shared" si="0"/>
        <v>1128</v>
      </c>
      <c r="G52" s="7">
        <v>1</v>
      </c>
      <c r="H52" s="7">
        <v>12</v>
      </c>
      <c r="I52" s="7">
        <v>2</v>
      </c>
      <c r="J52" s="7" t="s">
        <v>14</v>
      </c>
      <c r="K52" s="7" t="s">
        <v>62</v>
      </c>
    </row>
    <row r="53" s="4" customFormat="1" customHeight="1" spans="3:11">
      <c r="C53" s="4">
        <v>1048</v>
      </c>
      <c r="D53" s="4" t="s">
        <v>72</v>
      </c>
      <c r="E53" s="4">
        <v>1</v>
      </c>
      <c r="F53" s="4">
        <f t="shared" si="0"/>
        <v>1152</v>
      </c>
      <c r="G53" s="4">
        <v>1</v>
      </c>
      <c r="H53" s="4">
        <v>7</v>
      </c>
      <c r="I53" s="4">
        <v>1</v>
      </c>
      <c r="J53" s="4" t="s">
        <v>14</v>
      </c>
      <c r="K53" s="4" t="s">
        <v>33</v>
      </c>
    </row>
    <row r="54" customHeight="1" spans="3:11">
      <c r="C54" s="7">
        <v>1049</v>
      </c>
      <c r="D54" s="7" t="s">
        <v>73</v>
      </c>
      <c r="E54" s="7">
        <v>1</v>
      </c>
      <c r="F54" s="7">
        <f t="shared" si="0"/>
        <v>1176</v>
      </c>
      <c r="G54" s="7">
        <v>1</v>
      </c>
      <c r="H54" s="7">
        <v>14</v>
      </c>
      <c r="I54" s="7">
        <v>5</v>
      </c>
      <c r="J54" s="7" t="s">
        <v>14</v>
      </c>
      <c r="K54" s="7" t="s">
        <v>15</v>
      </c>
    </row>
    <row r="55" s="5" customFormat="1" customHeight="1" spans="3:11">
      <c r="C55" s="5">
        <v>1050</v>
      </c>
      <c r="D55" s="5" t="s">
        <v>74</v>
      </c>
      <c r="E55" s="5">
        <v>1</v>
      </c>
      <c r="F55" s="5">
        <f t="shared" si="0"/>
        <v>1200</v>
      </c>
      <c r="G55" s="5">
        <v>1</v>
      </c>
      <c r="H55" s="5">
        <v>15</v>
      </c>
      <c r="I55" s="5">
        <v>5</v>
      </c>
      <c r="J55" s="5" t="s">
        <v>14</v>
      </c>
      <c r="K55" s="7" t="s">
        <v>19</v>
      </c>
    </row>
    <row r="56" customHeight="1" spans="3:11">
      <c r="C56" s="7">
        <v>1051</v>
      </c>
      <c r="D56" s="7" t="s">
        <v>75</v>
      </c>
      <c r="E56" s="7">
        <v>1</v>
      </c>
      <c r="F56" s="7">
        <f t="shared" si="0"/>
        <v>1224</v>
      </c>
      <c r="G56" s="7">
        <v>1</v>
      </c>
      <c r="H56" s="7">
        <v>16</v>
      </c>
      <c r="I56" s="7">
        <v>5</v>
      </c>
      <c r="J56" s="7" t="s">
        <v>14</v>
      </c>
      <c r="K56" s="7" t="s">
        <v>21</v>
      </c>
    </row>
    <row r="57" customHeight="1" spans="3:11">
      <c r="C57" s="7">
        <v>1052</v>
      </c>
      <c r="D57" s="7" t="s">
        <v>76</v>
      </c>
      <c r="E57" s="7">
        <v>1</v>
      </c>
      <c r="F57" s="7">
        <f t="shared" si="0"/>
        <v>1248</v>
      </c>
      <c r="G57" s="7">
        <v>1</v>
      </c>
      <c r="H57" s="7">
        <v>8</v>
      </c>
      <c r="I57" s="7">
        <v>1</v>
      </c>
      <c r="J57" s="7" t="s">
        <v>14</v>
      </c>
      <c r="K57" s="7" t="s">
        <v>24</v>
      </c>
    </row>
    <row r="58" customHeight="1" spans="3:11">
      <c r="C58" s="7">
        <v>1053</v>
      </c>
      <c r="D58" s="7" t="s">
        <v>77</v>
      </c>
      <c r="E58" s="7">
        <v>1</v>
      </c>
      <c r="F58" s="7">
        <f t="shared" si="0"/>
        <v>1272</v>
      </c>
      <c r="G58" s="7">
        <v>1</v>
      </c>
      <c r="H58" s="7">
        <v>9</v>
      </c>
      <c r="I58" s="7">
        <v>5</v>
      </c>
      <c r="J58" s="7" t="s">
        <v>14</v>
      </c>
      <c r="K58" s="7" t="s">
        <v>40</v>
      </c>
    </row>
    <row r="59" customHeight="1" spans="3:11">
      <c r="C59" s="7">
        <v>1054</v>
      </c>
      <c r="D59" s="7" t="s">
        <v>78</v>
      </c>
      <c r="E59" s="7">
        <v>1</v>
      </c>
      <c r="F59" s="7">
        <f t="shared" si="0"/>
        <v>1296</v>
      </c>
      <c r="G59" s="7">
        <v>1</v>
      </c>
      <c r="H59" s="7">
        <v>10</v>
      </c>
      <c r="I59" s="7">
        <v>1</v>
      </c>
      <c r="J59" s="7" t="s">
        <v>14</v>
      </c>
      <c r="K59" s="7" t="s">
        <v>28</v>
      </c>
    </row>
    <row r="60" customHeight="1" spans="3:11">
      <c r="C60" s="7">
        <v>1055</v>
      </c>
      <c r="D60" s="7" t="s">
        <v>79</v>
      </c>
      <c r="E60" s="7">
        <v>1</v>
      </c>
      <c r="F60" s="7">
        <f t="shared" si="0"/>
        <v>1320</v>
      </c>
      <c r="G60" s="7">
        <v>1</v>
      </c>
      <c r="H60" s="7">
        <v>11</v>
      </c>
      <c r="I60" s="7">
        <v>5</v>
      </c>
      <c r="J60" s="7" t="s">
        <v>14</v>
      </c>
      <c r="K60" s="7" t="s">
        <v>30</v>
      </c>
    </row>
    <row r="61" customHeight="1" spans="3:11">
      <c r="C61" s="7">
        <v>1056</v>
      </c>
      <c r="D61" s="7" t="s">
        <v>80</v>
      </c>
      <c r="E61" s="7">
        <v>1</v>
      </c>
      <c r="F61" s="7">
        <f t="shared" si="0"/>
        <v>1344</v>
      </c>
      <c r="G61" s="7">
        <v>1</v>
      </c>
      <c r="H61" s="7">
        <v>12</v>
      </c>
      <c r="I61" s="7">
        <v>2</v>
      </c>
      <c r="J61" s="7" t="s">
        <v>14</v>
      </c>
      <c r="K61" s="7" t="s">
        <v>62</v>
      </c>
    </row>
    <row r="62" s="4" customFormat="1" customHeight="1" spans="3:11">
      <c r="C62" s="4">
        <v>1057</v>
      </c>
      <c r="D62" s="4" t="s">
        <v>81</v>
      </c>
      <c r="E62" s="4">
        <v>1</v>
      </c>
      <c r="F62" s="4">
        <f t="shared" si="0"/>
        <v>1368</v>
      </c>
      <c r="G62" s="4">
        <v>1</v>
      </c>
      <c r="H62" s="4">
        <v>7</v>
      </c>
      <c r="I62" s="4">
        <v>1</v>
      </c>
      <c r="J62" s="4" t="s">
        <v>14</v>
      </c>
      <c r="K62" s="4" t="s">
        <v>33</v>
      </c>
    </row>
    <row r="63" customHeight="1" spans="3:11">
      <c r="C63" s="7">
        <v>1058</v>
      </c>
      <c r="D63" s="7" t="s">
        <v>82</v>
      </c>
      <c r="E63" s="7">
        <v>1</v>
      </c>
      <c r="F63" s="7">
        <f t="shared" si="0"/>
        <v>1392</v>
      </c>
      <c r="G63" s="7">
        <v>1</v>
      </c>
      <c r="H63" s="7">
        <v>14</v>
      </c>
      <c r="I63" s="7">
        <v>5</v>
      </c>
      <c r="J63" s="7" t="s">
        <v>14</v>
      </c>
      <c r="K63" s="7" t="s">
        <v>15</v>
      </c>
    </row>
    <row r="64" customHeight="1" spans="3:11">
      <c r="C64" s="7">
        <v>1059</v>
      </c>
      <c r="D64" s="7" t="s">
        <v>83</v>
      </c>
      <c r="E64" s="7">
        <v>1</v>
      </c>
      <c r="F64" s="7">
        <f t="shared" si="0"/>
        <v>1416</v>
      </c>
      <c r="G64" s="7">
        <v>1</v>
      </c>
      <c r="H64" s="7">
        <v>15</v>
      </c>
      <c r="I64" s="7">
        <v>5</v>
      </c>
      <c r="J64" s="7" t="s">
        <v>14</v>
      </c>
      <c r="K64" s="7" t="s">
        <v>19</v>
      </c>
    </row>
    <row r="65" customHeight="1" spans="3:11">
      <c r="C65" s="7">
        <v>1060</v>
      </c>
      <c r="D65" s="7" t="s">
        <v>84</v>
      </c>
      <c r="E65" s="7">
        <v>1</v>
      </c>
      <c r="F65" s="7">
        <f t="shared" si="0"/>
        <v>1440</v>
      </c>
      <c r="G65" s="7">
        <v>1</v>
      </c>
      <c r="H65" s="7">
        <v>16</v>
      </c>
      <c r="I65" s="7">
        <v>5</v>
      </c>
      <c r="J65" s="7" t="s">
        <v>14</v>
      </c>
      <c r="K65" s="7" t="s">
        <v>21</v>
      </c>
    </row>
    <row r="66" customHeight="1" spans="3:11">
      <c r="C66" s="7">
        <v>1061</v>
      </c>
      <c r="D66" s="7" t="s">
        <v>85</v>
      </c>
      <c r="E66" s="7">
        <v>1</v>
      </c>
      <c r="F66" s="7">
        <f t="shared" si="0"/>
        <v>1464</v>
      </c>
      <c r="G66" s="7">
        <v>1</v>
      </c>
      <c r="H66" s="7">
        <v>8</v>
      </c>
      <c r="I66" s="7">
        <v>1</v>
      </c>
      <c r="J66" s="7" t="s">
        <v>14</v>
      </c>
      <c r="K66" s="7" t="s">
        <v>24</v>
      </c>
    </row>
    <row r="67" customHeight="1" spans="3:11">
      <c r="C67" s="7">
        <v>1062</v>
      </c>
      <c r="D67" s="7" t="s">
        <v>86</v>
      </c>
      <c r="E67" s="7">
        <v>1</v>
      </c>
      <c r="F67" s="7">
        <f t="shared" si="0"/>
        <v>1488</v>
      </c>
      <c r="G67" s="7">
        <v>1</v>
      </c>
      <c r="H67" s="7">
        <v>9</v>
      </c>
      <c r="I67" s="7">
        <v>5</v>
      </c>
      <c r="J67" s="7" t="s">
        <v>14</v>
      </c>
      <c r="K67" s="7" t="s">
        <v>40</v>
      </c>
    </row>
    <row r="68" customHeight="1" spans="3:11">
      <c r="C68" s="7">
        <v>1063</v>
      </c>
      <c r="D68" s="7" t="s">
        <v>87</v>
      </c>
      <c r="E68" s="7">
        <v>1</v>
      </c>
      <c r="F68" s="7">
        <f t="shared" si="0"/>
        <v>1512</v>
      </c>
      <c r="G68" s="7">
        <v>1</v>
      </c>
      <c r="H68" s="7">
        <v>10</v>
      </c>
      <c r="I68" s="7">
        <v>1</v>
      </c>
      <c r="J68" s="7" t="s">
        <v>14</v>
      </c>
      <c r="K68" s="7" t="s">
        <v>28</v>
      </c>
    </row>
    <row r="69" customHeight="1" spans="3:11">
      <c r="C69" s="7">
        <v>1064</v>
      </c>
      <c r="D69" s="7" t="s">
        <v>88</v>
      </c>
      <c r="E69" s="7">
        <v>1</v>
      </c>
      <c r="F69" s="7">
        <f t="shared" si="0"/>
        <v>1536</v>
      </c>
      <c r="G69" s="7">
        <v>1</v>
      </c>
      <c r="H69" s="7">
        <v>11</v>
      </c>
      <c r="I69" s="7">
        <v>5</v>
      </c>
      <c r="J69" s="7" t="s">
        <v>14</v>
      </c>
      <c r="K69" s="7" t="s">
        <v>30</v>
      </c>
    </row>
    <row r="70" customHeight="1" spans="3:11">
      <c r="C70" s="7">
        <v>1065</v>
      </c>
      <c r="D70" s="7" t="s">
        <v>89</v>
      </c>
      <c r="E70" s="7">
        <v>1</v>
      </c>
      <c r="F70" s="7">
        <f t="shared" ref="F70:F107" si="1">(C70-1000)*24</f>
        <v>1560</v>
      </c>
      <c r="G70" s="7">
        <v>1</v>
      </c>
      <c r="H70" s="7">
        <v>12</v>
      </c>
      <c r="I70" s="7">
        <v>2</v>
      </c>
      <c r="J70" s="7" t="s">
        <v>14</v>
      </c>
      <c r="K70" s="7" t="s">
        <v>62</v>
      </c>
    </row>
    <row r="71" s="4" customFormat="1" customHeight="1" spans="3:11">
      <c r="C71" s="4">
        <v>1066</v>
      </c>
      <c r="D71" s="4" t="s">
        <v>90</v>
      </c>
      <c r="E71" s="4">
        <v>1</v>
      </c>
      <c r="F71" s="4">
        <f t="shared" si="1"/>
        <v>1584</v>
      </c>
      <c r="G71" s="4">
        <v>1</v>
      </c>
      <c r="H71" s="4">
        <v>7</v>
      </c>
      <c r="I71" s="4">
        <v>1</v>
      </c>
      <c r="J71" s="4" t="s">
        <v>14</v>
      </c>
      <c r="K71" s="4" t="s">
        <v>33</v>
      </c>
    </row>
    <row r="72" customHeight="1" spans="3:11">
      <c r="C72" s="7">
        <v>1067</v>
      </c>
      <c r="D72" s="7" t="s">
        <v>91</v>
      </c>
      <c r="E72" s="7">
        <v>1</v>
      </c>
      <c r="F72" s="7">
        <f t="shared" si="1"/>
        <v>1608</v>
      </c>
      <c r="G72" s="7">
        <v>1</v>
      </c>
      <c r="H72" s="7">
        <v>14</v>
      </c>
      <c r="I72" s="7">
        <v>5</v>
      </c>
      <c r="J72" s="7" t="s">
        <v>14</v>
      </c>
      <c r="K72" s="7" t="s">
        <v>15</v>
      </c>
    </row>
    <row r="73" customHeight="1" spans="3:11">
      <c r="C73" s="7">
        <v>1068</v>
      </c>
      <c r="D73" s="7" t="s">
        <v>92</v>
      </c>
      <c r="E73" s="7">
        <v>1</v>
      </c>
      <c r="F73" s="7">
        <f t="shared" si="1"/>
        <v>1632</v>
      </c>
      <c r="G73" s="7">
        <v>1</v>
      </c>
      <c r="H73" s="7">
        <v>15</v>
      </c>
      <c r="I73" s="7">
        <v>5</v>
      </c>
      <c r="J73" s="7" t="s">
        <v>14</v>
      </c>
      <c r="K73" s="7" t="s">
        <v>19</v>
      </c>
    </row>
    <row r="74" customHeight="1" spans="3:11">
      <c r="C74" s="7">
        <v>1069</v>
      </c>
      <c r="D74" s="7" t="s">
        <v>93</v>
      </c>
      <c r="E74" s="7">
        <v>1</v>
      </c>
      <c r="F74" s="7">
        <f t="shared" si="1"/>
        <v>1656</v>
      </c>
      <c r="G74" s="7">
        <v>1</v>
      </c>
      <c r="H74" s="7">
        <v>16</v>
      </c>
      <c r="I74" s="7">
        <v>5</v>
      </c>
      <c r="J74" s="7" t="s">
        <v>14</v>
      </c>
      <c r="K74" s="7" t="s">
        <v>21</v>
      </c>
    </row>
    <row r="75" customHeight="1" spans="3:11">
      <c r="C75" s="7">
        <v>1070</v>
      </c>
      <c r="D75" s="7" t="s">
        <v>94</v>
      </c>
      <c r="E75" s="7">
        <v>1</v>
      </c>
      <c r="F75" s="7">
        <f t="shared" si="1"/>
        <v>1680</v>
      </c>
      <c r="G75" s="7">
        <v>1</v>
      </c>
      <c r="H75" s="7">
        <v>8</v>
      </c>
      <c r="I75" s="7">
        <v>1</v>
      </c>
      <c r="J75" s="7" t="s">
        <v>14</v>
      </c>
      <c r="K75" s="7" t="s">
        <v>24</v>
      </c>
    </row>
    <row r="76" customHeight="1" spans="3:11">
      <c r="C76" s="7">
        <v>1071</v>
      </c>
      <c r="D76" s="7" t="s">
        <v>95</v>
      </c>
      <c r="E76" s="7">
        <v>1</v>
      </c>
      <c r="F76" s="7">
        <f t="shared" si="1"/>
        <v>1704</v>
      </c>
      <c r="G76" s="7">
        <v>1</v>
      </c>
      <c r="H76" s="7">
        <v>9</v>
      </c>
      <c r="I76" s="7">
        <v>5</v>
      </c>
      <c r="J76" s="7" t="s">
        <v>14</v>
      </c>
      <c r="K76" s="7" t="s">
        <v>40</v>
      </c>
    </row>
    <row r="77" customHeight="1" spans="3:11">
      <c r="C77" s="7">
        <v>1072</v>
      </c>
      <c r="D77" s="7" t="s">
        <v>96</v>
      </c>
      <c r="E77" s="7">
        <v>1</v>
      </c>
      <c r="F77" s="7">
        <f t="shared" si="1"/>
        <v>1728</v>
      </c>
      <c r="G77" s="7">
        <v>1</v>
      </c>
      <c r="H77" s="7">
        <v>10</v>
      </c>
      <c r="I77" s="7">
        <v>1</v>
      </c>
      <c r="J77" s="7" t="s">
        <v>14</v>
      </c>
      <c r="K77" s="7" t="s">
        <v>28</v>
      </c>
    </row>
    <row r="78" customHeight="1" spans="3:11">
      <c r="C78" s="7">
        <v>1073</v>
      </c>
      <c r="D78" s="7" t="s">
        <v>97</v>
      </c>
      <c r="E78" s="7">
        <v>1</v>
      </c>
      <c r="F78" s="7">
        <f t="shared" si="1"/>
        <v>1752</v>
      </c>
      <c r="G78" s="7">
        <v>1</v>
      </c>
      <c r="H78" s="7">
        <v>11</v>
      </c>
      <c r="I78" s="7">
        <v>5</v>
      </c>
      <c r="J78" s="7" t="s">
        <v>14</v>
      </c>
      <c r="K78" s="7" t="s">
        <v>30</v>
      </c>
    </row>
    <row r="79" customHeight="1" spans="3:11">
      <c r="C79" s="7">
        <v>1074</v>
      </c>
      <c r="D79" s="7" t="s">
        <v>98</v>
      </c>
      <c r="E79" s="7">
        <v>1</v>
      </c>
      <c r="F79" s="7">
        <f t="shared" si="1"/>
        <v>1776</v>
      </c>
      <c r="G79" s="7">
        <v>1</v>
      </c>
      <c r="H79" s="7">
        <v>12</v>
      </c>
      <c r="I79" s="7">
        <v>2</v>
      </c>
      <c r="J79" s="7" t="s">
        <v>14</v>
      </c>
      <c r="K79" s="7" t="s">
        <v>62</v>
      </c>
    </row>
    <row r="80" s="4" customFormat="1" customHeight="1" spans="3:11">
      <c r="C80" s="4">
        <v>1075</v>
      </c>
      <c r="D80" s="4" t="s">
        <v>99</v>
      </c>
      <c r="E80" s="4">
        <v>1</v>
      </c>
      <c r="F80" s="4">
        <f t="shared" si="1"/>
        <v>1800</v>
      </c>
      <c r="G80" s="4">
        <v>1</v>
      </c>
      <c r="H80" s="4">
        <v>7</v>
      </c>
      <c r="I80" s="4">
        <v>1</v>
      </c>
      <c r="J80" s="4" t="s">
        <v>14</v>
      </c>
      <c r="K80" s="4" t="s">
        <v>33</v>
      </c>
    </row>
    <row r="81" customHeight="1" spans="3:11">
      <c r="C81" s="7">
        <v>1076</v>
      </c>
      <c r="D81" s="7" t="s">
        <v>100</v>
      </c>
      <c r="E81" s="7">
        <v>1</v>
      </c>
      <c r="F81" s="7">
        <f t="shared" si="1"/>
        <v>1824</v>
      </c>
      <c r="G81" s="7">
        <v>1</v>
      </c>
      <c r="H81" s="7">
        <v>14</v>
      </c>
      <c r="I81" s="7">
        <v>5</v>
      </c>
      <c r="J81" s="7" t="s">
        <v>14</v>
      </c>
      <c r="K81" s="7" t="s">
        <v>15</v>
      </c>
    </row>
    <row r="82" customHeight="1" spans="3:11">
      <c r="C82" s="7">
        <v>1077</v>
      </c>
      <c r="D82" s="7" t="s">
        <v>101</v>
      </c>
      <c r="E82" s="7">
        <v>1</v>
      </c>
      <c r="F82" s="7">
        <f t="shared" si="1"/>
        <v>1848</v>
      </c>
      <c r="G82" s="7">
        <v>1</v>
      </c>
      <c r="H82" s="7">
        <v>15</v>
      </c>
      <c r="I82" s="7">
        <v>5</v>
      </c>
      <c r="J82" s="7" t="s">
        <v>14</v>
      </c>
      <c r="K82" s="7" t="s">
        <v>19</v>
      </c>
    </row>
    <row r="83" customHeight="1" spans="3:11">
      <c r="C83" s="7">
        <v>1078</v>
      </c>
      <c r="D83" s="7" t="s">
        <v>102</v>
      </c>
      <c r="E83" s="7">
        <v>1</v>
      </c>
      <c r="F83" s="7">
        <f t="shared" si="1"/>
        <v>1872</v>
      </c>
      <c r="G83" s="7">
        <v>1</v>
      </c>
      <c r="H83" s="7">
        <v>16</v>
      </c>
      <c r="I83" s="7">
        <v>5</v>
      </c>
      <c r="J83" s="7" t="s">
        <v>14</v>
      </c>
      <c r="K83" s="7" t="s">
        <v>21</v>
      </c>
    </row>
    <row r="84" customHeight="1" spans="3:11">
      <c r="C84" s="7">
        <v>1079</v>
      </c>
      <c r="D84" s="7" t="s">
        <v>103</v>
      </c>
      <c r="E84" s="7">
        <v>1</v>
      </c>
      <c r="F84" s="7">
        <f t="shared" si="1"/>
        <v>1896</v>
      </c>
      <c r="G84" s="7">
        <v>1</v>
      </c>
      <c r="H84" s="7">
        <v>8</v>
      </c>
      <c r="I84" s="7">
        <v>1</v>
      </c>
      <c r="J84" s="7" t="s">
        <v>14</v>
      </c>
      <c r="K84" s="7" t="s">
        <v>24</v>
      </c>
    </row>
    <row r="85" customHeight="1" spans="3:11">
      <c r="C85" s="7">
        <v>1080</v>
      </c>
      <c r="D85" s="7" t="s">
        <v>104</v>
      </c>
      <c r="E85" s="7">
        <v>1</v>
      </c>
      <c r="F85" s="7">
        <f t="shared" si="1"/>
        <v>1920</v>
      </c>
      <c r="G85" s="7">
        <v>1</v>
      </c>
      <c r="H85" s="7">
        <v>9</v>
      </c>
      <c r="I85" s="7">
        <v>5</v>
      </c>
      <c r="J85" s="7" t="s">
        <v>14</v>
      </c>
      <c r="K85" s="7" t="s">
        <v>40</v>
      </c>
    </row>
    <row r="86" customHeight="1" spans="3:11">
      <c r="C86" s="7">
        <v>1081</v>
      </c>
      <c r="D86" s="7" t="s">
        <v>105</v>
      </c>
      <c r="E86" s="7">
        <v>1</v>
      </c>
      <c r="F86" s="7">
        <f t="shared" si="1"/>
        <v>1944</v>
      </c>
      <c r="G86" s="7">
        <v>1</v>
      </c>
      <c r="H86" s="7">
        <v>10</v>
      </c>
      <c r="I86" s="7">
        <v>1</v>
      </c>
      <c r="J86" s="7" t="s">
        <v>14</v>
      </c>
      <c r="K86" s="7" t="s">
        <v>28</v>
      </c>
    </row>
    <row r="87" customHeight="1" spans="3:11">
      <c r="C87" s="7">
        <v>1082</v>
      </c>
      <c r="D87" s="7" t="s">
        <v>106</v>
      </c>
      <c r="E87" s="7">
        <v>1</v>
      </c>
      <c r="F87" s="7">
        <f t="shared" si="1"/>
        <v>1968</v>
      </c>
      <c r="G87" s="7">
        <v>1</v>
      </c>
      <c r="H87" s="7">
        <v>11</v>
      </c>
      <c r="I87" s="7">
        <v>5</v>
      </c>
      <c r="J87" s="7" t="s">
        <v>14</v>
      </c>
      <c r="K87" s="7" t="s">
        <v>30</v>
      </c>
    </row>
    <row r="88" customHeight="1" spans="3:11">
      <c r="C88" s="7">
        <v>1083</v>
      </c>
      <c r="D88" s="7" t="s">
        <v>107</v>
      </c>
      <c r="E88" s="7">
        <v>1</v>
      </c>
      <c r="F88" s="7">
        <f t="shared" si="1"/>
        <v>1992</v>
      </c>
      <c r="G88" s="7">
        <v>1</v>
      </c>
      <c r="H88" s="7">
        <v>12</v>
      </c>
      <c r="I88" s="7">
        <v>2</v>
      </c>
      <c r="J88" s="7" t="s">
        <v>14</v>
      </c>
      <c r="K88" s="7" t="s">
        <v>62</v>
      </c>
    </row>
    <row r="89" s="4" customFormat="1" customHeight="1" spans="3:11">
      <c r="C89" s="4">
        <v>1084</v>
      </c>
      <c r="D89" s="4" t="s">
        <v>108</v>
      </c>
      <c r="E89" s="4">
        <v>1</v>
      </c>
      <c r="F89" s="4">
        <f t="shared" si="1"/>
        <v>2016</v>
      </c>
      <c r="G89" s="4">
        <v>1</v>
      </c>
      <c r="H89" s="4">
        <v>7</v>
      </c>
      <c r="I89" s="4">
        <v>1</v>
      </c>
      <c r="J89" s="4" t="s">
        <v>14</v>
      </c>
      <c r="K89" s="4" t="s">
        <v>33</v>
      </c>
    </row>
    <row r="90" customHeight="1" spans="3:11">
      <c r="C90" s="7">
        <v>1085</v>
      </c>
      <c r="D90" s="7" t="s">
        <v>109</v>
      </c>
      <c r="E90" s="7">
        <v>1</v>
      </c>
      <c r="F90" s="7">
        <f t="shared" si="1"/>
        <v>2040</v>
      </c>
      <c r="G90" s="7">
        <v>1</v>
      </c>
      <c r="H90" s="7">
        <v>14</v>
      </c>
      <c r="I90" s="7">
        <v>10</v>
      </c>
      <c r="J90" s="7" t="s">
        <v>14</v>
      </c>
      <c r="K90" s="7" t="s">
        <v>15</v>
      </c>
    </row>
    <row r="91" customHeight="1" spans="3:11">
      <c r="C91" s="7">
        <v>1086</v>
      </c>
      <c r="D91" s="7" t="s">
        <v>110</v>
      </c>
      <c r="E91" s="7">
        <v>1</v>
      </c>
      <c r="F91" s="7">
        <f t="shared" si="1"/>
        <v>2064</v>
      </c>
      <c r="G91" s="7">
        <v>1</v>
      </c>
      <c r="H91" s="7">
        <v>15</v>
      </c>
      <c r="I91" s="7">
        <v>10</v>
      </c>
      <c r="J91" s="7" t="s">
        <v>14</v>
      </c>
      <c r="K91" s="7" t="s">
        <v>19</v>
      </c>
    </row>
    <row r="92" customHeight="1" spans="3:11">
      <c r="C92" s="7">
        <v>1087</v>
      </c>
      <c r="D92" s="7" t="s">
        <v>111</v>
      </c>
      <c r="E92" s="7">
        <v>1</v>
      </c>
      <c r="F92" s="7">
        <f t="shared" si="1"/>
        <v>2088</v>
      </c>
      <c r="G92" s="7">
        <v>1</v>
      </c>
      <c r="H92" s="7">
        <v>16</v>
      </c>
      <c r="I92" s="7">
        <v>10</v>
      </c>
      <c r="J92" s="7" t="s">
        <v>14</v>
      </c>
      <c r="K92" s="7" t="s">
        <v>21</v>
      </c>
    </row>
    <row r="93" customHeight="1" spans="3:11">
      <c r="C93" s="7">
        <v>1088</v>
      </c>
      <c r="D93" s="7" t="s">
        <v>112</v>
      </c>
      <c r="E93" s="7">
        <v>1</v>
      </c>
      <c r="F93" s="7">
        <f t="shared" si="1"/>
        <v>2112</v>
      </c>
      <c r="G93" s="7">
        <v>1</v>
      </c>
      <c r="H93" s="7">
        <v>8</v>
      </c>
      <c r="I93" s="7">
        <v>2</v>
      </c>
      <c r="J93" s="7" t="s">
        <v>14</v>
      </c>
      <c r="K93" s="7" t="s">
        <v>24</v>
      </c>
    </row>
    <row r="94" customHeight="1" spans="3:11">
      <c r="C94" s="7">
        <v>1089</v>
      </c>
      <c r="D94" s="7" t="s">
        <v>113</v>
      </c>
      <c r="E94" s="7">
        <v>1</v>
      </c>
      <c r="F94" s="7">
        <f t="shared" si="1"/>
        <v>2136</v>
      </c>
      <c r="G94" s="7">
        <v>1</v>
      </c>
      <c r="H94" s="7">
        <v>9</v>
      </c>
      <c r="I94" s="7">
        <v>10</v>
      </c>
      <c r="J94" s="7" t="s">
        <v>14</v>
      </c>
      <c r="K94" s="7" t="s">
        <v>40</v>
      </c>
    </row>
    <row r="95" customHeight="1" spans="3:11">
      <c r="C95" s="7">
        <v>1090</v>
      </c>
      <c r="D95" s="7" t="s">
        <v>114</v>
      </c>
      <c r="E95" s="7">
        <v>1</v>
      </c>
      <c r="F95" s="7">
        <f t="shared" si="1"/>
        <v>2160</v>
      </c>
      <c r="G95" s="7">
        <v>1</v>
      </c>
      <c r="H95" s="7">
        <v>10</v>
      </c>
      <c r="I95" s="7">
        <v>2</v>
      </c>
      <c r="J95" s="7" t="s">
        <v>14</v>
      </c>
      <c r="K95" s="7" t="s">
        <v>28</v>
      </c>
    </row>
    <row r="96" customHeight="1" spans="3:11">
      <c r="C96" s="7">
        <v>1091</v>
      </c>
      <c r="D96" s="7" t="s">
        <v>115</v>
      </c>
      <c r="E96" s="7">
        <v>1</v>
      </c>
      <c r="F96" s="7">
        <f t="shared" si="1"/>
        <v>2184</v>
      </c>
      <c r="G96" s="7">
        <v>1</v>
      </c>
      <c r="H96" s="7">
        <v>11</v>
      </c>
      <c r="I96" s="7">
        <v>10</v>
      </c>
      <c r="J96" s="7" t="s">
        <v>14</v>
      </c>
      <c r="K96" s="7" t="s">
        <v>30</v>
      </c>
    </row>
    <row r="97" customHeight="1" spans="3:11">
      <c r="C97" s="7">
        <v>1092</v>
      </c>
      <c r="D97" s="7" t="s">
        <v>116</v>
      </c>
      <c r="E97" s="7">
        <v>1</v>
      </c>
      <c r="F97" s="7">
        <f t="shared" si="1"/>
        <v>2208</v>
      </c>
      <c r="G97" s="7">
        <v>1</v>
      </c>
      <c r="H97" s="7">
        <v>12</v>
      </c>
      <c r="I97" s="7">
        <v>2</v>
      </c>
      <c r="J97" s="7" t="s">
        <v>14</v>
      </c>
      <c r="K97" s="7" t="s">
        <v>62</v>
      </c>
    </row>
    <row r="98" customFormat="1" customHeight="1" spans="1:11">
      <c r="A98" s="7"/>
      <c r="B98" s="7"/>
      <c r="C98" s="7">
        <v>1093</v>
      </c>
      <c r="D98" s="7" t="s">
        <v>117</v>
      </c>
      <c r="E98" s="7">
        <v>1</v>
      </c>
      <c r="F98" s="7">
        <f t="shared" si="1"/>
        <v>2232</v>
      </c>
      <c r="G98" s="7">
        <v>1</v>
      </c>
      <c r="H98" s="7">
        <v>13</v>
      </c>
      <c r="I98" s="7">
        <v>2</v>
      </c>
      <c r="J98" s="7" t="s">
        <v>14</v>
      </c>
      <c r="K98" s="7" t="s">
        <v>118</v>
      </c>
    </row>
    <row r="99" s="4" customFormat="1" customHeight="1" spans="3:11">
      <c r="C99" s="4">
        <v>1094</v>
      </c>
      <c r="D99" s="4" t="s">
        <v>119</v>
      </c>
      <c r="E99" s="4">
        <v>1</v>
      </c>
      <c r="F99" s="4">
        <f t="shared" ref="F99:F162" si="2">(C99-1000)*24</f>
        <v>2256</v>
      </c>
      <c r="G99" s="4">
        <v>1</v>
      </c>
      <c r="H99" s="4">
        <v>7</v>
      </c>
      <c r="I99" s="4">
        <v>2</v>
      </c>
      <c r="J99" s="4" t="s">
        <v>14</v>
      </c>
      <c r="K99" s="4" t="s">
        <v>33</v>
      </c>
    </row>
    <row r="100" customHeight="1" spans="3:11">
      <c r="C100" s="7">
        <v>1095</v>
      </c>
      <c r="D100" s="7" t="s">
        <v>120</v>
      </c>
      <c r="E100" s="7">
        <v>1</v>
      </c>
      <c r="F100" s="7">
        <f t="shared" si="2"/>
        <v>2280</v>
      </c>
      <c r="G100" s="7">
        <v>1</v>
      </c>
      <c r="H100" s="7">
        <v>14</v>
      </c>
      <c r="I100" s="7">
        <v>10</v>
      </c>
      <c r="J100" s="7" t="s">
        <v>14</v>
      </c>
      <c r="K100" s="7" t="s">
        <v>15</v>
      </c>
    </row>
    <row r="101" customHeight="1" spans="3:11">
      <c r="C101" s="7">
        <v>1096</v>
      </c>
      <c r="D101" s="7" t="s">
        <v>121</v>
      </c>
      <c r="E101" s="7">
        <v>1</v>
      </c>
      <c r="F101" s="7">
        <f t="shared" si="2"/>
        <v>2304</v>
      </c>
      <c r="G101" s="7">
        <v>1</v>
      </c>
      <c r="H101" s="7">
        <v>15</v>
      </c>
      <c r="I101" s="7">
        <v>10</v>
      </c>
      <c r="J101" s="7" t="s">
        <v>14</v>
      </c>
      <c r="K101" s="7" t="s">
        <v>19</v>
      </c>
    </row>
    <row r="102" customHeight="1" spans="3:11">
      <c r="C102" s="7">
        <v>1097</v>
      </c>
      <c r="D102" s="7" t="s">
        <v>122</v>
      </c>
      <c r="E102" s="7">
        <v>1</v>
      </c>
      <c r="F102" s="7">
        <f t="shared" si="2"/>
        <v>2328</v>
      </c>
      <c r="G102" s="7">
        <v>1</v>
      </c>
      <c r="H102" s="7">
        <v>16</v>
      </c>
      <c r="I102" s="7">
        <v>10</v>
      </c>
      <c r="J102" s="7" t="s">
        <v>14</v>
      </c>
      <c r="K102" s="7" t="s">
        <v>21</v>
      </c>
    </row>
    <row r="103" customHeight="1" spans="3:11">
      <c r="C103" s="7">
        <v>1098</v>
      </c>
      <c r="D103" s="7" t="s">
        <v>123</v>
      </c>
      <c r="E103" s="7">
        <v>1</v>
      </c>
      <c r="F103" s="7">
        <f t="shared" si="2"/>
        <v>2352</v>
      </c>
      <c r="G103" s="7">
        <v>1</v>
      </c>
      <c r="H103" s="7">
        <v>8</v>
      </c>
      <c r="I103" s="7">
        <v>2</v>
      </c>
      <c r="J103" s="7" t="s">
        <v>14</v>
      </c>
      <c r="K103" s="7" t="s">
        <v>24</v>
      </c>
    </row>
    <row r="104" customHeight="1" spans="3:11">
      <c r="C104" s="7">
        <v>1099</v>
      </c>
      <c r="D104" s="7" t="s">
        <v>124</v>
      </c>
      <c r="E104" s="7">
        <v>1</v>
      </c>
      <c r="F104" s="7">
        <f t="shared" si="2"/>
        <v>2376</v>
      </c>
      <c r="G104" s="7">
        <v>1</v>
      </c>
      <c r="H104" s="7">
        <v>9</v>
      </c>
      <c r="I104" s="7">
        <v>10</v>
      </c>
      <c r="J104" s="7" t="s">
        <v>14</v>
      </c>
      <c r="K104" s="7" t="s">
        <v>40</v>
      </c>
    </row>
    <row r="105" customHeight="1" spans="3:11">
      <c r="C105" s="7">
        <v>1100</v>
      </c>
      <c r="D105" s="7" t="s">
        <v>125</v>
      </c>
      <c r="E105" s="7">
        <v>1</v>
      </c>
      <c r="F105" s="7">
        <f t="shared" si="2"/>
        <v>2400</v>
      </c>
      <c r="G105" s="7">
        <v>1</v>
      </c>
      <c r="H105" s="7">
        <v>10</v>
      </c>
      <c r="I105" s="7">
        <v>2</v>
      </c>
      <c r="J105" s="7" t="s">
        <v>14</v>
      </c>
      <c r="K105" s="7" t="s">
        <v>28</v>
      </c>
    </row>
    <row r="106" customHeight="1" spans="3:11">
      <c r="C106" s="7">
        <v>1101</v>
      </c>
      <c r="D106" s="7" t="s">
        <v>126</v>
      </c>
      <c r="E106" s="7">
        <v>1</v>
      </c>
      <c r="F106" s="7">
        <f t="shared" si="2"/>
        <v>2424</v>
      </c>
      <c r="G106" s="7">
        <v>1</v>
      </c>
      <c r="H106" s="7">
        <v>11</v>
      </c>
      <c r="I106" s="7">
        <v>10</v>
      </c>
      <c r="J106" s="7" t="s">
        <v>14</v>
      </c>
      <c r="K106" s="7" t="s">
        <v>30</v>
      </c>
    </row>
    <row r="107" customHeight="1" spans="3:11">
      <c r="C107" s="7">
        <v>1102</v>
      </c>
      <c r="D107" s="7" t="s">
        <v>127</v>
      </c>
      <c r="E107" s="7">
        <v>1</v>
      </c>
      <c r="F107" s="7">
        <f t="shared" si="2"/>
        <v>2448</v>
      </c>
      <c r="G107" s="7">
        <v>1</v>
      </c>
      <c r="H107" s="7">
        <v>12</v>
      </c>
      <c r="I107" s="7">
        <v>2</v>
      </c>
      <c r="J107" s="7" t="s">
        <v>14</v>
      </c>
      <c r="K107" s="7" t="s">
        <v>62</v>
      </c>
    </row>
    <row r="108" customFormat="1" customHeight="1" spans="1:11">
      <c r="A108" s="7"/>
      <c r="B108" s="7"/>
      <c r="C108" s="7">
        <v>1103</v>
      </c>
      <c r="D108" s="7" t="s">
        <v>128</v>
      </c>
      <c r="E108" s="7">
        <v>1</v>
      </c>
      <c r="F108" s="7">
        <f t="shared" si="2"/>
        <v>2472</v>
      </c>
      <c r="G108" s="7">
        <v>1</v>
      </c>
      <c r="H108" s="7">
        <v>13</v>
      </c>
      <c r="I108" s="7">
        <v>2</v>
      </c>
      <c r="J108" s="7" t="s">
        <v>14</v>
      </c>
      <c r="K108" s="7" t="s">
        <v>118</v>
      </c>
    </row>
    <row r="109" s="4" customFormat="1" customHeight="1" spans="3:11">
      <c r="C109" s="4">
        <v>1104</v>
      </c>
      <c r="D109" s="4" t="s">
        <v>129</v>
      </c>
      <c r="E109" s="4">
        <v>1</v>
      </c>
      <c r="F109" s="4">
        <f t="shared" si="2"/>
        <v>2496</v>
      </c>
      <c r="G109" s="4">
        <v>1</v>
      </c>
      <c r="H109" s="4">
        <v>7</v>
      </c>
      <c r="I109" s="4">
        <v>2</v>
      </c>
      <c r="J109" s="4" t="s">
        <v>14</v>
      </c>
      <c r="K109" s="4" t="s">
        <v>33</v>
      </c>
    </row>
    <row r="110" customHeight="1" spans="3:11">
      <c r="C110" s="7">
        <v>1105</v>
      </c>
      <c r="D110" s="7" t="s">
        <v>130</v>
      </c>
      <c r="E110" s="7">
        <v>1</v>
      </c>
      <c r="F110" s="7">
        <f t="shared" si="2"/>
        <v>2520</v>
      </c>
      <c r="G110" s="7">
        <v>1</v>
      </c>
      <c r="H110" s="7">
        <v>14</v>
      </c>
      <c r="I110" s="7">
        <v>10</v>
      </c>
      <c r="J110" s="7" t="s">
        <v>14</v>
      </c>
      <c r="K110" s="7" t="s">
        <v>15</v>
      </c>
    </row>
    <row r="111" customHeight="1" spans="3:11">
      <c r="C111" s="7">
        <v>1106</v>
      </c>
      <c r="D111" s="7" t="s">
        <v>131</v>
      </c>
      <c r="E111" s="7">
        <v>1</v>
      </c>
      <c r="F111" s="7">
        <f t="shared" si="2"/>
        <v>2544</v>
      </c>
      <c r="G111" s="7">
        <v>1</v>
      </c>
      <c r="H111" s="7">
        <v>15</v>
      </c>
      <c r="I111" s="7">
        <v>10</v>
      </c>
      <c r="J111" s="7" t="s">
        <v>14</v>
      </c>
      <c r="K111" s="7" t="s">
        <v>19</v>
      </c>
    </row>
    <row r="112" customHeight="1" spans="3:11">
      <c r="C112" s="7">
        <v>1107</v>
      </c>
      <c r="D112" s="7" t="s">
        <v>132</v>
      </c>
      <c r="E112" s="7">
        <v>1</v>
      </c>
      <c r="F112" s="7">
        <f t="shared" si="2"/>
        <v>2568</v>
      </c>
      <c r="G112" s="7">
        <v>1</v>
      </c>
      <c r="H112" s="7">
        <v>16</v>
      </c>
      <c r="I112" s="7">
        <v>10</v>
      </c>
      <c r="J112" s="7" t="s">
        <v>14</v>
      </c>
      <c r="K112" s="7" t="s">
        <v>21</v>
      </c>
    </row>
    <row r="113" customHeight="1" spans="3:11">
      <c r="C113" s="7">
        <v>1108</v>
      </c>
      <c r="D113" s="7" t="s">
        <v>133</v>
      </c>
      <c r="E113" s="7">
        <v>1</v>
      </c>
      <c r="F113" s="7">
        <f t="shared" si="2"/>
        <v>2592</v>
      </c>
      <c r="G113" s="7">
        <v>1</v>
      </c>
      <c r="H113" s="7">
        <v>8</v>
      </c>
      <c r="I113" s="7">
        <v>2</v>
      </c>
      <c r="J113" s="7" t="s">
        <v>14</v>
      </c>
      <c r="K113" s="7" t="s">
        <v>24</v>
      </c>
    </row>
    <row r="114" customHeight="1" spans="3:11">
      <c r="C114" s="7">
        <v>1109</v>
      </c>
      <c r="D114" s="7" t="s">
        <v>134</v>
      </c>
      <c r="E114" s="7">
        <v>1</v>
      </c>
      <c r="F114" s="7">
        <f t="shared" si="2"/>
        <v>2616</v>
      </c>
      <c r="G114" s="7">
        <v>1</v>
      </c>
      <c r="H114" s="7">
        <v>9</v>
      </c>
      <c r="I114" s="7">
        <v>10</v>
      </c>
      <c r="J114" s="7" t="s">
        <v>14</v>
      </c>
      <c r="K114" s="7" t="s">
        <v>40</v>
      </c>
    </row>
    <row r="115" customHeight="1" spans="3:11">
      <c r="C115" s="7">
        <v>1110</v>
      </c>
      <c r="D115" s="7" t="s">
        <v>135</v>
      </c>
      <c r="E115" s="7">
        <v>1</v>
      </c>
      <c r="F115" s="7">
        <f t="shared" si="2"/>
        <v>2640</v>
      </c>
      <c r="G115" s="7">
        <v>1</v>
      </c>
      <c r="H115" s="7">
        <v>10</v>
      </c>
      <c r="I115" s="7">
        <v>2</v>
      </c>
      <c r="J115" s="7" t="s">
        <v>14</v>
      </c>
      <c r="K115" s="7" t="s">
        <v>28</v>
      </c>
    </row>
    <row r="116" customHeight="1" spans="3:11">
      <c r="C116" s="7">
        <v>1111</v>
      </c>
      <c r="D116" s="7" t="s">
        <v>136</v>
      </c>
      <c r="E116" s="7">
        <v>1</v>
      </c>
      <c r="F116" s="7">
        <f t="shared" si="2"/>
        <v>2664</v>
      </c>
      <c r="G116" s="7">
        <v>1</v>
      </c>
      <c r="H116" s="7">
        <v>11</v>
      </c>
      <c r="I116" s="7">
        <v>10</v>
      </c>
      <c r="J116" s="7" t="s">
        <v>14</v>
      </c>
      <c r="K116" s="7" t="s">
        <v>30</v>
      </c>
    </row>
    <row r="117" customHeight="1" spans="3:11">
      <c r="C117" s="7">
        <v>1112</v>
      </c>
      <c r="D117" s="7" t="s">
        <v>137</v>
      </c>
      <c r="E117" s="7">
        <v>1</v>
      </c>
      <c r="F117" s="7">
        <f t="shared" si="2"/>
        <v>2688</v>
      </c>
      <c r="G117" s="7">
        <v>1</v>
      </c>
      <c r="H117" s="7">
        <v>12</v>
      </c>
      <c r="I117" s="7">
        <v>2</v>
      </c>
      <c r="J117" s="7" t="s">
        <v>14</v>
      </c>
      <c r="K117" s="7" t="s">
        <v>62</v>
      </c>
    </row>
    <row r="118" customFormat="1" customHeight="1" spans="1:11">
      <c r="A118" s="7"/>
      <c r="B118" s="7"/>
      <c r="C118" s="7">
        <v>1113</v>
      </c>
      <c r="D118" s="7" t="s">
        <v>138</v>
      </c>
      <c r="E118" s="7">
        <v>1</v>
      </c>
      <c r="F118" s="7">
        <f t="shared" si="2"/>
        <v>2712</v>
      </c>
      <c r="G118" s="7">
        <v>1</v>
      </c>
      <c r="H118" s="7">
        <v>13</v>
      </c>
      <c r="I118" s="7">
        <v>2</v>
      </c>
      <c r="J118" s="7" t="s">
        <v>14</v>
      </c>
      <c r="K118" s="7" t="s">
        <v>118</v>
      </c>
    </row>
    <row r="119" s="4" customFormat="1" customHeight="1" spans="3:11">
      <c r="C119" s="4">
        <v>1114</v>
      </c>
      <c r="D119" s="4" t="s">
        <v>139</v>
      </c>
      <c r="E119" s="4">
        <v>1</v>
      </c>
      <c r="F119" s="4">
        <f t="shared" si="2"/>
        <v>2736</v>
      </c>
      <c r="G119" s="4">
        <v>1</v>
      </c>
      <c r="H119" s="4">
        <v>7</v>
      </c>
      <c r="I119" s="4">
        <v>2</v>
      </c>
      <c r="J119" s="4" t="s">
        <v>14</v>
      </c>
      <c r="K119" s="4" t="s">
        <v>33</v>
      </c>
    </row>
    <row r="120" customHeight="1" spans="3:11">
      <c r="C120" s="7">
        <v>1115</v>
      </c>
      <c r="D120" s="7" t="s">
        <v>140</v>
      </c>
      <c r="E120" s="7">
        <v>1</v>
      </c>
      <c r="F120" s="7">
        <f t="shared" si="2"/>
        <v>2760</v>
      </c>
      <c r="G120" s="7">
        <v>1</v>
      </c>
      <c r="H120" s="7">
        <v>14</v>
      </c>
      <c r="I120" s="7">
        <v>10</v>
      </c>
      <c r="J120" s="7" t="s">
        <v>14</v>
      </c>
      <c r="K120" s="7" t="s">
        <v>15</v>
      </c>
    </row>
    <row r="121" customHeight="1" spans="3:11">
      <c r="C121" s="7">
        <v>1116</v>
      </c>
      <c r="D121" s="7" t="s">
        <v>141</v>
      </c>
      <c r="E121" s="7">
        <v>1</v>
      </c>
      <c r="F121" s="7">
        <f t="shared" si="2"/>
        <v>2784</v>
      </c>
      <c r="G121" s="7">
        <v>1</v>
      </c>
      <c r="H121" s="7">
        <v>15</v>
      </c>
      <c r="I121" s="7">
        <v>10</v>
      </c>
      <c r="J121" s="7" t="s">
        <v>14</v>
      </c>
      <c r="K121" s="7" t="s">
        <v>19</v>
      </c>
    </row>
    <row r="122" customHeight="1" spans="3:11">
      <c r="C122" s="7">
        <v>1117</v>
      </c>
      <c r="D122" s="7" t="s">
        <v>142</v>
      </c>
      <c r="E122" s="7">
        <v>1</v>
      </c>
      <c r="F122" s="7">
        <f t="shared" si="2"/>
        <v>2808</v>
      </c>
      <c r="G122" s="7">
        <v>1</v>
      </c>
      <c r="H122" s="7">
        <v>16</v>
      </c>
      <c r="I122" s="7">
        <v>10</v>
      </c>
      <c r="J122" s="7" t="s">
        <v>14</v>
      </c>
      <c r="K122" s="7" t="s">
        <v>21</v>
      </c>
    </row>
    <row r="123" customHeight="1" spans="3:11">
      <c r="C123" s="7">
        <v>1118</v>
      </c>
      <c r="D123" s="7" t="s">
        <v>143</v>
      </c>
      <c r="E123" s="7">
        <v>1</v>
      </c>
      <c r="F123" s="7">
        <f t="shared" si="2"/>
        <v>2832</v>
      </c>
      <c r="G123" s="7">
        <v>1</v>
      </c>
      <c r="H123" s="7">
        <v>8</v>
      </c>
      <c r="I123" s="7">
        <v>2</v>
      </c>
      <c r="J123" s="7" t="s">
        <v>14</v>
      </c>
      <c r="K123" s="7" t="s">
        <v>24</v>
      </c>
    </row>
    <row r="124" customHeight="1" spans="3:11">
      <c r="C124" s="7">
        <v>1119</v>
      </c>
      <c r="D124" s="7" t="s">
        <v>144</v>
      </c>
      <c r="E124" s="7">
        <v>1</v>
      </c>
      <c r="F124" s="7">
        <f t="shared" si="2"/>
        <v>2856</v>
      </c>
      <c r="G124" s="7">
        <v>1</v>
      </c>
      <c r="H124" s="7">
        <v>9</v>
      </c>
      <c r="I124" s="7">
        <v>10</v>
      </c>
      <c r="J124" s="7" t="s">
        <v>14</v>
      </c>
      <c r="K124" s="7" t="s">
        <v>40</v>
      </c>
    </row>
    <row r="125" customHeight="1" spans="3:11">
      <c r="C125" s="7">
        <v>1120</v>
      </c>
      <c r="D125" s="7" t="s">
        <v>145</v>
      </c>
      <c r="E125" s="7">
        <v>1</v>
      </c>
      <c r="F125" s="7">
        <f t="shared" si="2"/>
        <v>2880</v>
      </c>
      <c r="G125" s="7">
        <v>1</v>
      </c>
      <c r="H125" s="7">
        <v>10</v>
      </c>
      <c r="I125" s="7">
        <v>2</v>
      </c>
      <c r="J125" s="7" t="s">
        <v>14</v>
      </c>
      <c r="K125" s="7" t="s">
        <v>28</v>
      </c>
    </row>
    <row r="126" customHeight="1" spans="3:11">
      <c r="C126" s="7">
        <v>1121</v>
      </c>
      <c r="D126" s="7" t="s">
        <v>146</v>
      </c>
      <c r="E126" s="7">
        <v>1</v>
      </c>
      <c r="F126" s="7">
        <f t="shared" si="2"/>
        <v>2904</v>
      </c>
      <c r="G126" s="7">
        <v>1</v>
      </c>
      <c r="H126" s="7">
        <v>11</v>
      </c>
      <c r="I126" s="7">
        <v>10</v>
      </c>
      <c r="J126" s="7" t="s">
        <v>14</v>
      </c>
      <c r="K126" s="7" t="s">
        <v>30</v>
      </c>
    </row>
    <row r="127" customHeight="1" spans="3:11">
      <c r="C127" s="7">
        <v>1122</v>
      </c>
      <c r="D127" s="7" t="s">
        <v>147</v>
      </c>
      <c r="E127" s="7">
        <v>1</v>
      </c>
      <c r="F127" s="7">
        <f t="shared" si="2"/>
        <v>2928</v>
      </c>
      <c r="G127" s="7">
        <v>1</v>
      </c>
      <c r="H127" s="7">
        <v>12</v>
      </c>
      <c r="I127" s="7">
        <v>2</v>
      </c>
      <c r="J127" s="7" t="s">
        <v>14</v>
      </c>
      <c r="K127" s="7" t="s">
        <v>62</v>
      </c>
    </row>
    <row r="128" customFormat="1" customHeight="1" spans="1:11">
      <c r="A128" s="7"/>
      <c r="B128" s="7"/>
      <c r="C128" s="7">
        <v>1123</v>
      </c>
      <c r="D128" s="7" t="s">
        <v>148</v>
      </c>
      <c r="E128" s="7">
        <v>1</v>
      </c>
      <c r="F128" s="7">
        <f t="shared" si="2"/>
        <v>2952</v>
      </c>
      <c r="G128" s="7">
        <v>1</v>
      </c>
      <c r="H128" s="7">
        <v>13</v>
      </c>
      <c r="I128" s="7">
        <v>2</v>
      </c>
      <c r="J128" s="7" t="s">
        <v>14</v>
      </c>
      <c r="K128" s="7" t="s">
        <v>118</v>
      </c>
    </row>
    <row r="129" s="4" customFormat="1" customHeight="1" spans="3:11">
      <c r="C129" s="4">
        <v>1124</v>
      </c>
      <c r="D129" s="4" t="s">
        <v>149</v>
      </c>
      <c r="E129" s="4">
        <v>1</v>
      </c>
      <c r="F129" s="4">
        <f t="shared" si="2"/>
        <v>2976</v>
      </c>
      <c r="G129" s="4">
        <v>1</v>
      </c>
      <c r="H129" s="4">
        <v>7</v>
      </c>
      <c r="I129" s="4">
        <v>2</v>
      </c>
      <c r="J129" s="4" t="s">
        <v>14</v>
      </c>
      <c r="K129" s="4" t="s">
        <v>33</v>
      </c>
    </row>
    <row r="130" customHeight="1" spans="3:11">
      <c r="C130" s="7">
        <v>1125</v>
      </c>
      <c r="D130" s="7" t="s">
        <v>150</v>
      </c>
      <c r="E130" s="7">
        <v>1</v>
      </c>
      <c r="F130" s="7">
        <f t="shared" si="2"/>
        <v>3000</v>
      </c>
      <c r="G130" s="7">
        <v>1</v>
      </c>
      <c r="H130" s="7">
        <v>14</v>
      </c>
      <c r="I130" s="7">
        <v>10</v>
      </c>
      <c r="J130" s="7" t="s">
        <v>14</v>
      </c>
      <c r="K130" s="7" t="s">
        <v>15</v>
      </c>
    </row>
    <row r="131" customHeight="1" spans="3:11">
      <c r="C131" s="7">
        <v>1126</v>
      </c>
      <c r="D131" s="7" t="s">
        <v>151</v>
      </c>
      <c r="E131" s="7">
        <v>1</v>
      </c>
      <c r="F131" s="7">
        <f t="shared" si="2"/>
        <v>3024</v>
      </c>
      <c r="G131" s="7">
        <v>1</v>
      </c>
      <c r="H131" s="7">
        <v>15</v>
      </c>
      <c r="I131" s="7">
        <v>10</v>
      </c>
      <c r="J131" s="7" t="s">
        <v>14</v>
      </c>
      <c r="K131" s="7" t="s">
        <v>19</v>
      </c>
    </row>
    <row r="132" customHeight="1" spans="3:11">
      <c r="C132" s="7">
        <v>1127</v>
      </c>
      <c r="D132" s="7" t="s">
        <v>152</v>
      </c>
      <c r="E132" s="7">
        <v>1</v>
      </c>
      <c r="F132" s="7">
        <f t="shared" si="2"/>
        <v>3048</v>
      </c>
      <c r="G132" s="7">
        <v>1</v>
      </c>
      <c r="H132" s="7">
        <v>16</v>
      </c>
      <c r="I132" s="7">
        <v>10</v>
      </c>
      <c r="J132" s="7" t="s">
        <v>14</v>
      </c>
      <c r="K132" s="7" t="s">
        <v>21</v>
      </c>
    </row>
    <row r="133" customHeight="1" spans="3:11">
      <c r="C133" s="7">
        <v>1128</v>
      </c>
      <c r="D133" s="7" t="s">
        <v>153</v>
      </c>
      <c r="E133" s="7">
        <v>1</v>
      </c>
      <c r="F133" s="7">
        <f t="shared" si="2"/>
        <v>3072</v>
      </c>
      <c r="G133" s="7">
        <v>1</v>
      </c>
      <c r="H133" s="7">
        <v>8</v>
      </c>
      <c r="I133" s="7">
        <v>2</v>
      </c>
      <c r="J133" s="7" t="s">
        <v>14</v>
      </c>
      <c r="K133" s="7" t="s">
        <v>24</v>
      </c>
    </row>
    <row r="134" customHeight="1" spans="3:11">
      <c r="C134" s="7">
        <v>1129</v>
      </c>
      <c r="D134" s="7" t="s">
        <v>154</v>
      </c>
      <c r="E134" s="7">
        <v>1</v>
      </c>
      <c r="F134" s="7">
        <f t="shared" si="2"/>
        <v>3096</v>
      </c>
      <c r="G134" s="7">
        <v>1</v>
      </c>
      <c r="H134" s="7">
        <v>9</v>
      </c>
      <c r="I134" s="7">
        <v>10</v>
      </c>
      <c r="J134" s="7" t="s">
        <v>14</v>
      </c>
      <c r="K134" s="7" t="s">
        <v>40</v>
      </c>
    </row>
    <row r="135" customHeight="1" spans="3:11">
      <c r="C135" s="7">
        <v>1130</v>
      </c>
      <c r="D135" s="7" t="s">
        <v>155</v>
      </c>
      <c r="E135" s="7">
        <v>1</v>
      </c>
      <c r="F135" s="7">
        <f t="shared" si="2"/>
        <v>3120</v>
      </c>
      <c r="G135" s="7">
        <v>1</v>
      </c>
      <c r="H135" s="7">
        <v>10</v>
      </c>
      <c r="I135" s="7">
        <v>2</v>
      </c>
      <c r="J135" s="7" t="s">
        <v>14</v>
      </c>
      <c r="K135" s="7" t="s">
        <v>28</v>
      </c>
    </row>
    <row r="136" customHeight="1" spans="3:11">
      <c r="C136" s="7">
        <v>1131</v>
      </c>
      <c r="D136" s="7" t="s">
        <v>156</v>
      </c>
      <c r="E136" s="7">
        <v>1</v>
      </c>
      <c r="F136" s="7">
        <f t="shared" si="2"/>
        <v>3144</v>
      </c>
      <c r="G136" s="7">
        <v>1</v>
      </c>
      <c r="H136" s="7">
        <v>11</v>
      </c>
      <c r="I136" s="7">
        <v>10</v>
      </c>
      <c r="J136" s="7" t="s">
        <v>14</v>
      </c>
      <c r="K136" s="7" t="s">
        <v>30</v>
      </c>
    </row>
    <row r="137" customHeight="1" spans="3:11">
      <c r="C137" s="7">
        <v>1132</v>
      </c>
      <c r="D137" s="7" t="s">
        <v>157</v>
      </c>
      <c r="E137" s="7">
        <v>1</v>
      </c>
      <c r="F137" s="7">
        <f t="shared" si="2"/>
        <v>3168</v>
      </c>
      <c r="G137" s="7">
        <v>1</v>
      </c>
      <c r="H137" s="7">
        <v>12</v>
      </c>
      <c r="I137" s="7">
        <v>2</v>
      </c>
      <c r="J137" s="7" t="s">
        <v>14</v>
      </c>
      <c r="K137" s="7" t="s">
        <v>62</v>
      </c>
    </row>
    <row r="138" customFormat="1" customHeight="1" spans="1:11">
      <c r="A138" s="7"/>
      <c r="B138" s="7"/>
      <c r="C138" s="7">
        <v>1133</v>
      </c>
      <c r="D138" s="7" t="s">
        <v>158</v>
      </c>
      <c r="E138" s="7">
        <v>1</v>
      </c>
      <c r="F138" s="7">
        <f t="shared" si="2"/>
        <v>3192</v>
      </c>
      <c r="G138" s="7">
        <v>1</v>
      </c>
      <c r="H138" s="7">
        <v>13</v>
      </c>
      <c r="I138" s="7">
        <v>2</v>
      </c>
      <c r="J138" s="7" t="s">
        <v>14</v>
      </c>
      <c r="K138" s="7" t="s">
        <v>118</v>
      </c>
    </row>
    <row r="139" s="4" customFormat="1" customHeight="1" spans="3:11">
      <c r="C139" s="7">
        <v>1134</v>
      </c>
      <c r="D139" s="7" t="s">
        <v>159</v>
      </c>
      <c r="E139" s="4">
        <v>1</v>
      </c>
      <c r="F139" s="4">
        <f t="shared" si="2"/>
        <v>3216</v>
      </c>
      <c r="G139" s="4">
        <v>1</v>
      </c>
      <c r="H139" s="4">
        <v>7</v>
      </c>
      <c r="I139" s="4">
        <v>2</v>
      </c>
      <c r="J139" s="4" t="s">
        <v>14</v>
      </c>
      <c r="K139" s="4" t="s">
        <v>33</v>
      </c>
    </row>
    <row r="140" customHeight="1" spans="3:11">
      <c r="C140" s="7">
        <v>1135</v>
      </c>
      <c r="D140" s="7" t="s">
        <v>160</v>
      </c>
      <c r="E140" s="7">
        <v>1</v>
      </c>
      <c r="F140" s="7">
        <f t="shared" si="2"/>
        <v>3240</v>
      </c>
      <c r="G140" s="7">
        <v>1</v>
      </c>
      <c r="H140" s="7">
        <v>14</v>
      </c>
      <c r="I140" s="7">
        <v>10</v>
      </c>
      <c r="J140" s="7" t="s">
        <v>14</v>
      </c>
      <c r="K140" s="7" t="s">
        <v>15</v>
      </c>
    </row>
    <row r="141" customHeight="1" spans="3:11">
      <c r="C141" s="7">
        <v>1136</v>
      </c>
      <c r="D141" s="7" t="s">
        <v>161</v>
      </c>
      <c r="E141" s="7">
        <v>1</v>
      </c>
      <c r="F141" s="7">
        <f t="shared" si="2"/>
        <v>3264</v>
      </c>
      <c r="G141" s="7">
        <v>1</v>
      </c>
      <c r="H141" s="7">
        <v>15</v>
      </c>
      <c r="I141" s="7">
        <v>10</v>
      </c>
      <c r="J141" s="7" t="s">
        <v>14</v>
      </c>
      <c r="K141" s="7" t="s">
        <v>19</v>
      </c>
    </row>
    <row r="142" customHeight="1" spans="3:11">
      <c r="C142" s="7">
        <v>1137</v>
      </c>
      <c r="D142" s="7" t="s">
        <v>162</v>
      </c>
      <c r="E142" s="7">
        <v>1</v>
      </c>
      <c r="F142" s="7">
        <f t="shared" si="2"/>
        <v>3288</v>
      </c>
      <c r="G142" s="7">
        <v>1</v>
      </c>
      <c r="H142" s="7">
        <v>16</v>
      </c>
      <c r="I142" s="7">
        <v>10</v>
      </c>
      <c r="J142" s="7" t="s">
        <v>14</v>
      </c>
      <c r="K142" s="7" t="s">
        <v>21</v>
      </c>
    </row>
    <row r="143" customHeight="1" spans="3:11">
      <c r="C143" s="7">
        <v>1138</v>
      </c>
      <c r="D143" s="7" t="s">
        <v>163</v>
      </c>
      <c r="E143" s="7">
        <v>1</v>
      </c>
      <c r="F143" s="7">
        <f t="shared" si="2"/>
        <v>3312</v>
      </c>
      <c r="G143" s="7">
        <v>1</v>
      </c>
      <c r="H143" s="7">
        <v>8</v>
      </c>
      <c r="I143" s="7">
        <v>2</v>
      </c>
      <c r="J143" s="7" t="s">
        <v>14</v>
      </c>
      <c r="K143" s="7" t="s">
        <v>24</v>
      </c>
    </row>
    <row r="144" customHeight="1" spans="3:11">
      <c r="C144" s="7">
        <v>1139</v>
      </c>
      <c r="D144" s="7" t="s">
        <v>164</v>
      </c>
      <c r="E144" s="7">
        <v>1</v>
      </c>
      <c r="F144" s="7">
        <f t="shared" si="2"/>
        <v>3336</v>
      </c>
      <c r="G144" s="7">
        <v>1</v>
      </c>
      <c r="H144" s="7">
        <v>9</v>
      </c>
      <c r="I144" s="7">
        <v>10</v>
      </c>
      <c r="J144" s="7" t="s">
        <v>14</v>
      </c>
      <c r="K144" s="7" t="s">
        <v>40</v>
      </c>
    </row>
    <row r="145" customHeight="1" spans="3:11">
      <c r="C145" s="7">
        <v>1140</v>
      </c>
      <c r="D145" s="7" t="s">
        <v>165</v>
      </c>
      <c r="E145" s="7">
        <v>1</v>
      </c>
      <c r="F145" s="7">
        <f t="shared" si="2"/>
        <v>3360</v>
      </c>
      <c r="G145" s="7">
        <v>1</v>
      </c>
      <c r="H145" s="7">
        <v>10</v>
      </c>
      <c r="I145" s="7">
        <v>2</v>
      </c>
      <c r="J145" s="7" t="s">
        <v>14</v>
      </c>
      <c r="K145" s="7" t="s">
        <v>28</v>
      </c>
    </row>
    <row r="146" customHeight="1" spans="3:11">
      <c r="C146" s="7">
        <v>1141</v>
      </c>
      <c r="D146" s="7" t="s">
        <v>166</v>
      </c>
      <c r="E146" s="7">
        <v>1</v>
      </c>
      <c r="F146" s="7">
        <f t="shared" si="2"/>
        <v>3384</v>
      </c>
      <c r="G146" s="7">
        <v>1</v>
      </c>
      <c r="H146" s="7">
        <v>11</v>
      </c>
      <c r="I146" s="7">
        <v>10</v>
      </c>
      <c r="J146" s="7" t="s">
        <v>14</v>
      </c>
      <c r="K146" s="7" t="s">
        <v>30</v>
      </c>
    </row>
    <row r="147" customHeight="1" spans="3:11">
      <c r="C147" s="7">
        <v>1142</v>
      </c>
      <c r="D147" s="7" t="s">
        <v>167</v>
      </c>
      <c r="E147" s="7">
        <v>1</v>
      </c>
      <c r="F147" s="7">
        <f t="shared" si="2"/>
        <v>3408</v>
      </c>
      <c r="G147" s="7">
        <v>1</v>
      </c>
      <c r="H147" s="7">
        <v>12</v>
      </c>
      <c r="I147" s="7">
        <v>2</v>
      </c>
      <c r="J147" s="7" t="s">
        <v>14</v>
      </c>
      <c r="K147" s="7" t="s">
        <v>62</v>
      </c>
    </row>
    <row r="148" customFormat="1" customHeight="1" spans="1:11">
      <c r="A148" s="7"/>
      <c r="B148" s="7"/>
      <c r="C148" s="7">
        <v>1143</v>
      </c>
      <c r="D148" s="7" t="s">
        <v>168</v>
      </c>
      <c r="E148" s="7">
        <v>1</v>
      </c>
      <c r="F148" s="7">
        <f t="shared" si="2"/>
        <v>3432</v>
      </c>
      <c r="G148" s="7">
        <v>1</v>
      </c>
      <c r="H148" s="7">
        <v>13</v>
      </c>
      <c r="I148" s="7">
        <v>2</v>
      </c>
      <c r="J148" s="7" t="s">
        <v>14</v>
      </c>
      <c r="K148" s="7" t="s">
        <v>118</v>
      </c>
    </row>
    <row r="149" s="4" customFormat="1" customHeight="1" spans="3:11">
      <c r="C149" s="7">
        <v>1144</v>
      </c>
      <c r="D149" s="7" t="s">
        <v>169</v>
      </c>
      <c r="E149" s="4">
        <v>1</v>
      </c>
      <c r="F149" s="4">
        <f t="shared" si="2"/>
        <v>3456</v>
      </c>
      <c r="G149" s="4">
        <v>1</v>
      </c>
      <c r="H149" s="4">
        <v>7</v>
      </c>
      <c r="I149" s="4">
        <v>2</v>
      </c>
      <c r="J149" s="4" t="s">
        <v>14</v>
      </c>
      <c r="K149" s="4" t="s">
        <v>33</v>
      </c>
    </row>
    <row r="150" customHeight="1" spans="3:11">
      <c r="C150" s="7">
        <v>1145</v>
      </c>
      <c r="D150" s="7" t="s">
        <v>170</v>
      </c>
      <c r="E150" s="7">
        <v>1</v>
      </c>
      <c r="F150" s="7">
        <f t="shared" si="2"/>
        <v>3480</v>
      </c>
      <c r="G150" s="7">
        <v>1</v>
      </c>
      <c r="H150" s="7">
        <v>14</v>
      </c>
      <c r="I150" s="7">
        <v>10</v>
      </c>
      <c r="J150" s="7" t="s">
        <v>14</v>
      </c>
      <c r="K150" s="7" t="s">
        <v>15</v>
      </c>
    </row>
    <row r="151" customHeight="1" spans="3:11">
      <c r="C151" s="7">
        <v>1146</v>
      </c>
      <c r="D151" s="7" t="s">
        <v>171</v>
      </c>
      <c r="E151" s="7">
        <v>1</v>
      </c>
      <c r="F151" s="7">
        <f t="shared" si="2"/>
        <v>3504</v>
      </c>
      <c r="G151" s="7">
        <v>1</v>
      </c>
      <c r="H151" s="7">
        <v>15</v>
      </c>
      <c r="I151" s="7">
        <v>10</v>
      </c>
      <c r="J151" s="7" t="s">
        <v>14</v>
      </c>
      <c r="K151" s="7" t="s">
        <v>19</v>
      </c>
    </row>
    <row r="152" customHeight="1" spans="3:11">
      <c r="C152" s="7">
        <v>1147</v>
      </c>
      <c r="D152" s="7" t="s">
        <v>172</v>
      </c>
      <c r="E152" s="7">
        <v>1</v>
      </c>
      <c r="F152" s="7">
        <f t="shared" si="2"/>
        <v>3528</v>
      </c>
      <c r="G152" s="7">
        <v>1</v>
      </c>
      <c r="H152" s="7">
        <v>16</v>
      </c>
      <c r="I152" s="7">
        <v>10</v>
      </c>
      <c r="J152" s="7" t="s">
        <v>14</v>
      </c>
      <c r="K152" s="7" t="s">
        <v>21</v>
      </c>
    </row>
    <row r="153" customHeight="1" spans="3:11">
      <c r="C153" s="7">
        <v>1148</v>
      </c>
      <c r="D153" s="7" t="s">
        <v>173</v>
      </c>
      <c r="E153" s="7">
        <v>1</v>
      </c>
      <c r="F153" s="7">
        <f t="shared" si="2"/>
        <v>3552</v>
      </c>
      <c r="G153" s="7">
        <v>1</v>
      </c>
      <c r="H153" s="7">
        <v>8</v>
      </c>
      <c r="I153" s="7">
        <v>2</v>
      </c>
      <c r="J153" s="7" t="s">
        <v>14</v>
      </c>
      <c r="K153" s="7" t="s">
        <v>24</v>
      </c>
    </row>
    <row r="154" customHeight="1" spans="3:11">
      <c r="C154" s="7">
        <v>1149</v>
      </c>
      <c r="D154" s="7" t="s">
        <v>174</v>
      </c>
      <c r="E154" s="7">
        <v>1</v>
      </c>
      <c r="F154" s="7">
        <f t="shared" si="2"/>
        <v>3576</v>
      </c>
      <c r="G154" s="7">
        <v>1</v>
      </c>
      <c r="H154" s="7">
        <v>9</v>
      </c>
      <c r="I154" s="7">
        <v>10</v>
      </c>
      <c r="J154" s="7" t="s">
        <v>14</v>
      </c>
      <c r="K154" s="7" t="s">
        <v>40</v>
      </c>
    </row>
    <row r="155" customHeight="1" spans="3:11">
      <c r="C155" s="7">
        <v>1150</v>
      </c>
      <c r="D155" s="7" t="s">
        <v>175</v>
      </c>
      <c r="E155" s="7">
        <v>1</v>
      </c>
      <c r="F155" s="7">
        <f t="shared" si="2"/>
        <v>3600</v>
      </c>
      <c r="G155" s="7">
        <v>1</v>
      </c>
      <c r="H155" s="7">
        <v>10</v>
      </c>
      <c r="I155" s="7">
        <v>2</v>
      </c>
      <c r="J155" s="7" t="s">
        <v>14</v>
      </c>
      <c r="K155" s="7" t="s">
        <v>28</v>
      </c>
    </row>
    <row r="156" customHeight="1" spans="3:11">
      <c r="C156" s="7">
        <v>1151</v>
      </c>
      <c r="D156" s="7" t="s">
        <v>176</v>
      </c>
      <c r="E156" s="7">
        <v>1</v>
      </c>
      <c r="F156" s="7">
        <f t="shared" si="2"/>
        <v>3624</v>
      </c>
      <c r="G156" s="7">
        <v>1</v>
      </c>
      <c r="H156" s="7">
        <v>11</v>
      </c>
      <c r="I156" s="7">
        <v>10</v>
      </c>
      <c r="J156" s="7" t="s">
        <v>14</v>
      </c>
      <c r="K156" s="7" t="s">
        <v>30</v>
      </c>
    </row>
    <row r="157" customHeight="1" spans="3:11">
      <c r="C157" s="7">
        <v>1152</v>
      </c>
      <c r="D157" s="7" t="s">
        <v>177</v>
      </c>
      <c r="E157" s="7">
        <v>1</v>
      </c>
      <c r="F157" s="7">
        <f t="shared" si="2"/>
        <v>3648</v>
      </c>
      <c r="G157" s="7">
        <v>1</v>
      </c>
      <c r="H157" s="7">
        <v>12</v>
      </c>
      <c r="I157" s="7">
        <v>2</v>
      </c>
      <c r="J157" s="7" t="s">
        <v>14</v>
      </c>
      <c r="K157" s="7" t="s">
        <v>62</v>
      </c>
    </row>
    <row r="158" customHeight="1" spans="3:11">
      <c r="C158" s="7">
        <v>1153</v>
      </c>
      <c r="D158" s="7" t="s">
        <v>178</v>
      </c>
      <c r="E158" s="7">
        <v>1</v>
      </c>
      <c r="F158" s="7">
        <f t="shared" si="2"/>
        <v>3672</v>
      </c>
      <c r="G158" s="7">
        <v>1</v>
      </c>
      <c r="H158" s="7">
        <v>13</v>
      </c>
      <c r="I158" s="7">
        <v>2</v>
      </c>
      <c r="J158" s="7" t="s">
        <v>14</v>
      </c>
      <c r="K158" s="7" t="s">
        <v>118</v>
      </c>
    </row>
    <row r="159" customHeight="1" spans="3:11">
      <c r="C159" s="7">
        <v>1154</v>
      </c>
      <c r="D159" s="7" t="s">
        <v>179</v>
      </c>
      <c r="E159" s="4">
        <v>1</v>
      </c>
      <c r="F159" s="4">
        <f t="shared" si="2"/>
        <v>3696</v>
      </c>
      <c r="G159" s="4">
        <v>1</v>
      </c>
      <c r="H159" s="4">
        <v>7</v>
      </c>
      <c r="I159" s="4">
        <v>2</v>
      </c>
      <c r="J159" s="4" t="s">
        <v>14</v>
      </c>
      <c r="K159" s="4" t="s">
        <v>33</v>
      </c>
    </row>
    <row r="160" customHeight="1" spans="3:11">
      <c r="C160" s="7">
        <v>1155</v>
      </c>
      <c r="D160" s="7" t="s">
        <v>180</v>
      </c>
      <c r="E160" s="7">
        <v>1</v>
      </c>
      <c r="F160" s="7">
        <f t="shared" si="2"/>
        <v>3720</v>
      </c>
      <c r="G160" s="7">
        <v>1</v>
      </c>
      <c r="H160" s="7">
        <v>14</v>
      </c>
      <c r="I160" s="7">
        <v>10</v>
      </c>
      <c r="J160" s="7" t="s">
        <v>14</v>
      </c>
      <c r="K160" s="7" t="s">
        <v>15</v>
      </c>
    </row>
    <row r="161" customHeight="1" spans="3:11">
      <c r="C161" s="7">
        <v>1156</v>
      </c>
      <c r="D161" s="7" t="s">
        <v>181</v>
      </c>
      <c r="E161" s="7">
        <v>1</v>
      </c>
      <c r="F161" s="7">
        <f t="shared" si="2"/>
        <v>3744</v>
      </c>
      <c r="G161" s="7">
        <v>1</v>
      </c>
      <c r="H161" s="7">
        <v>15</v>
      </c>
      <c r="I161" s="7">
        <v>10</v>
      </c>
      <c r="J161" s="7" t="s">
        <v>14</v>
      </c>
      <c r="K161" s="7" t="s">
        <v>19</v>
      </c>
    </row>
    <row r="162" customHeight="1" spans="3:11">
      <c r="C162" s="7">
        <v>1157</v>
      </c>
      <c r="D162" s="7" t="s">
        <v>182</v>
      </c>
      <c r="E162" s="7">
        <v>1</v>
      </c>
      <c r="F162" s="7">
        <f t="shared" si="2"/>
        <v>3768</v>
      </c>
      <c r="G162" s="7">
        <v>1</v>
      </c>
      <c r="H162" s="7">
        <v>16</v>
      </c>
      <c r="I162" s="7">
        <v>10</v>
      </c>
      <c r="J162" s="7" t="s">
        <v>14</v>
      </c>
      <c r="K162" s="7" t="s">
        <v>21</v>
      </c>
    </row>
    <row r="163" customHeight="1" spans="3:11">
      <c r="C163" s="7">
        <v>1158</v>
      </c>
      <c r="D163" s="7" t="s">
        <v>183</v>
      </c>
      <c r="E163" s="7">
        <v>1</v>
      </c>
      <c r="F163" s="7">
        <f t="shared" ref="F163:F219" si="3">(C163-1000)*24</f>
        <v>3792</v>
      </c>
      <c r="G163" s="7">
        <v>1</v>
      </c>
      <c r="H163" s="7">
        <v>8</v>
      </c>
      <c r="I163" s="7">
        <v>2</v>
      </c>
      <c r="J163" s="7" t="s">
        <v>14</v>
      </c>
      <c r="K163" s="7" t="s">
        <v>24</v>
      </c>
    </row>
    <row r="164" customHeight="1" spans="3:11">
      <c r="C164" s="7">
        <v>1159</v>
      </c>
      <c r="D164" s="7" t="s">
        <v>184</v>
      </c>
      <c r="E164" s="7">
        <v>1</v>
      </c>
      <c r="F164" s="7">
        <f t="shared" si="3"/>
        <v>3816</v>
      </c>
      <c r="G164" s="7">
        <v>1</v>
      </c>
      <c r="H164" s="7">
        <v>9</v>
      </c>
      <c r="I164" s="7">
        <v>10</v>
      </c>
      <c r="J164" s="7" t="s">
        <v>14</v>
      </c>
      <c r="K164" s="7" t="s">
        <v>40</v>
      </c>
    </row>
    <row r="165" customHeight="1" spans="3:11">
      <c r="C165" s="7">
        <v>1160</v>
      </c>
      <c r="D165" s="7" t="s">
        <v>185</v>
      </c>
      <c r="E165" s="7">
        <v>1</v>
      </c>
      <c r="F165" s="7">
        <f t="shared" si="3"/>
        <v>3840</v>
      </c>
      <c r="G165" s="7">
        <v>1</v>
      </c>
      <c r="H165" s="7">
        <v>10</v>
      </c>
      <c r="I165" s="7">
        <v>2</v>
      </c>
      <c r="J165" s="7" t="s">
        <v>14</v>
      </c>
      <c r="K165" s="7" t="s">
        <v>28</v>
      </c>
    </row>
    <row r="166" customHeight="1" spans="3:11">
      <c r="C166" s="7">
        <v>1161</v>
      </c>
      <c r="D166" s="7" t="s">
        <v>186</v>
      </c>
      <c r="E166" s="7">
        <v>1</v>
      </c>
      <c r="F166" s="7">
        <f t="shared" si="3"/>
        <v>3864</v>
      </c>
      <c r="G166" s="7">
        <v>1</v>
      </c>
      <c r="H166" s="7">
        <v>11</v>
      </c>
      <c r="I166" s="7">
        <v>10</v>
      </c>
      <c r="J166" s="7" t="s">
        <v>14</v>
      </c>
      <c r="K166" s="7" t="s">
        <v>30</v>
      </c>
    </row>
    <row r="167" customHeight="1" spans="3:11">
      <c r="C167" s="7">
        <v>1162</v>
      </c>
      <c r="D167" s="7" t="s">
        <v>187</v>
      </c>
      <c r="E167" s="7">
        <v>1</v>
      </c>
      <c r="F167" s="7">
        <f t="shared" si="3"/>
        <v>3888</v>
      </c>
      <c r="G167" s="7">
        <v>1</v>
      </c>
      <c r="H167" s="7">
        <v>12</v>
      </c>
      <c r="I167" s="7">
        <v>2</v>
      </c>
      <c r="J167" s="7" t="s">
        <v>14</v>
      </c>
      <c r="K167" s="7" t="s">
        <v>62</v>
      </c>
    </row>
    <row r="168" customHeight="1" spans="3:11">
      <c r="C168" s="7">
        <v>1163</v>
      </c>
      <c r="D168" s="7" t="s">
        <v>188</v>
      </c>
      <c r="E168" s="7">
        <v>1</v>
      </c>
      <c r="F168" s="7">
        <f t="shared" si="3"/>
        <v>3912</v>
      </c>
      <c r="G168" s="7">
        <v>1</v>
      </c>
      <c r="H168" s="7">
        <v>13</v>
      </c>
      <c r="I168" s="7">
        <v>2</v>
      </c>
      <c r="J168" s="7" t="s">
        <v>14</v>
      </c>
      <c r="K168" s="7" t="s">
        <v>118</v>
      </c>
    </row>
    <row r="169" customHeight="1" spans="3:11">
      <c r="C169" s="7">
        <v>1164</v>
      </c>
      <c r="D169" s="7" t="s">
        <v>189</v>
      </c>
      <c r="E169" s="4">
        <v>1</v>
      </c>
      <c r="F169" s="4">
        <f t="shared" si="3"/>
        <v>3936</v>
      </c>
      <c r="G169" s="4">
        <v>1</v>
      </c>
      <c r="H169" s="4">
        <v>7</v>
      </c>
      <c r="I169" s="4">
        <v>2</v>
      </c>
      <c r="J169" s="4" t="s">
        <v>14</v>
      </c>
      <c r="K169" s="4" t="s">
        <v>33</v>
      </c>
    </row>
    <row r="170" customHeight="1" spans="3:11">
      <c r="C170" s="7">
        <v>1165</v>
      </c>
      <c r="D170" s="7" t="s">
        <v>190</v>
      </c>
      <c r="E170" s="7">
        <v>1</v>
      </c>
      <c r="F170" s="7">
        <f t="shared" si="3"/>
        <v>3960</v>
      </c>
      <c r="G170" s="7">
        <v>1</v>
      </c>
      <c r="H170" s="7">
        <v>14</v>
      </c>
      <c r="I170" s="7">
        <v>10</v>
      </c>
      <c r="J170" s="7" t="s">
        <v>14</v>
      </c>
      <c r="K170" s="7" t="s">
        <v>15</v>
      </c>
    </row>
    <row r="171" customHeight="1" spans="3:11">
      <c r="C171" s="7">
        <v>1166</v>
      </c>
      <c r="D171" s="7" t="s">
        <v>191</v>
      </c>
      <c r="E171" s="7">
        <v>1</v>
      </c>
      <c r="F171" s="7">
        <f t="shared" si="3"/>
        <v>3984</v>
      </c>
      <c r="G171" s="7">
        <v>1</v>
      </c>
      <c r="H171" s="7">
        <v>15</v>
      </c>
      <c r="I171" s="7">
        <v>10</v>
      </c>
      <c r="J171" s="7" t="s">
        <v>14</v>
      </c>
      <c r="K171" s="7" t="s">
        <v>19</v>
      </c>
    </row>
    <row r="172" customHeight="1" spans="3:11">
      <c r="C172" s="7">
        <v>1167</v>
      </c>
      <c r="D172" s="7" t="s">
        <v>192</v>
      </c>
      <c r="E172" s="7">
        <v>1</v>
      </c>
      <c r="F172" s="7">
        <f t="shared" si="3"/>
        <v>4008</v>
      </c>
      <c r="G172" s="7">
        <v>1</v>
      </c>
      <c r="H172" s="7">
        <v>16</v>
      </c>
      <c r="I172" s="7">
        <v>10</v>
      </c>
      <c r="J172" s="7" t="s">
        <v>14</v>
      </c>
      <c r="K172" s="7" t="s">
        <v>21</v>
      </c>
    </row>
    <row r="173" customHeight="1" spans="3:11">
      <c r="C173" s="7">
        <v>1168</v>
      </c>
      <c r="D173" s="7" t="s">
        <v>193</v>
      </c>
      <c r="E173" s="7">
        <v>1</v>
      </c>
      <c r="F173" s="7">
        <f t="shared" si="3"/>
        <v>4032</v>
      </c>
      <c r="G173" s="7">
        <v>1</v>
      </c>
      <c r="H173" s="7">
        <v>8</v>
      </c>
      <c r="I173" s="7">
        <v>2</v>
      </c>
      <c r="J173" s="7" t="s">
        <v>14</v>
      </c>
      <c r="K173" s="7" t="s">
        <v>24</v>
      </c>
    </row>
    <row r="174" customHeight="1" spans="3:11">
      <c r="C174" s="7">
        <v>1169</v>
      </c>
      <c r="D174" s="7" t="s">
        <v>194</v>
      </c>
      <c r="E174" s="7">
        <v>1</v>
      </c>
      <c r="F174" s="7">
        <f t="shared" si="3"/>
        <v>4056</v>
      </c>
      <c r="G174" s="7">
        <v>1</v>
      </c>
      <c r="H174" s="7">
        <v>9</v>
      </c>
      <c r="I174" s="7">
        <v>10</v>
      </c>
      <c r="J174" s="7" t="s">
        <v>14</v>
      </c>
      <c r="K174" s="7" t="s">
        <v>40</v>
      </c>
    </row>
    <row r="175" customHeight="1" spans="3:11">
      <c r="C175" s="7">
        <v>1170</v>
      </c>
      <c r="D175" s="7" t="s">
        <v>195</v>
      </c>
      <c r="E175" s="7">
        <v>1</v>
      </c>
      <c r="F175" s="7">
        <f t="shared" si="3"/>
        <v>4080</v>
      </c>
      <c r="G175" s="7">
        <v>1</v>
      </c>
      <c r="H175" s="7">
        <v>10</v>
      </c>
      <c r="I175" s="7">
        <v>2</v>
      </c>
      <c r="J175" s="7" t="s">
        <v>14</v>
      </c>
      <c r="K175" s="7" t="s">
        <v>28</v>
      </c>
    </row>
    <row r="176" customHeight="1" spans="3:11">
      <c r="C176" s="7">
        <v>1171</v>
      </c>
      <c r="D176" s="7" t="s">
        <v>196</v>
      </c>
      <c r="E176" s="7">
        <v>1</v>
      </c>
      <c r="F176" s="7">
        <f t="shared" si="3"/>
        <v>4104</v>
      </c>
      <c r="G176" s="7">
        <v>1</v>
      </c>
      <c r="H176" s="7">
        <v>11</v>
      </c>
      <c r="I176" s="7">
        <v>10</v>
      </c>
      <c r="J176" s="7" t="s">
        <v>14</v>
      </c>
      <c r="K176" s="7" t="s">
        <v>30</v>
      </c>
    </row>
    <row r="177" customHeight="1" spans="3:11">
      <c r="C177" s="7">
        <v>1172</v>
      </c>
      <c r="D177" s="7" t="s">
        <v>197</v>
      </c>
      <c r="E177" s="7">
        <v>1</v>
      </c>
      <c r="F177" s="7">
        <f t="shared" si="3"/>
        <v>4128</v>
      </c>
      <c r="G177" s="7">
        <v>1</v>
      </c>
      <c r="H177" s="7">
        <v>12</v>
      </c>
      <c r="I177" s="7">
        <v>2</v>
      </c>
      <c r="J177" s="7" t="s">
        <v>14</v>
      </c>
      <c r="K177" s="7" t="s">
        <v>62</v>
      </c>
    </row>
    <row r="178" customHeight="1" spans="3:11">
      <c r="C178" s="7">
        <v>1173</v>
      </c>
      <c r="D178" s="7" t="s">
        <v>198</v>
      </c>
      <c r="E178" s="7">
        <v>1</v>
      </c>
      <c r="F178" s="7">
        <f t="shared" si="3"/>
        <v>4152</v>
      </c>
      <c r="G178" s="7">
        <v>1</v>
      </c>
      <c r="H178" s="7">
        <v>13</v>
      </c>
      <c r="I178" s="7">
        <v>2</v>
      </c>
      <c r="J178" s="7" t="s">
        <v>14</v>
      </c>
      <c r="K178" s="7" t="s">
        <v>118</v>
      </c>
    </row>
    <row r="179" customHeight="1" spans="3:11">
      <c r="C179" s="7">
        <v>1174</v>
      </c>
      <c r="D179" s="7" t="s">
        <v>199</v>
      </c>
      <c r="E179" s="4">
        <v>1</v>
      </c>
      <c r="F179" s="4">
        <f t="shared" si="3"/>
        <v>4176</v>
      </c>
      <c r="G179" s="4">
        <v>1</v>
      </c>
      <c r="H179" s="4">
        <v>7</v>
      </c>
      <c r="I179" s="4">
        <v>2</v>
      </c>
      <c r="J179" s="4" t="s">
        <v>14</v>
      </c>
      <c r="K179" s="4" t="s">
        <v>33</v>
      </c>
    </row>
    <row r="180" customHeight="1" spans="3:11">
      <c r="C180" s="7">
        <v>1175</v>
      </c>
      <c r="D180" s="7" t="s">
        <v>200</v>
      </c>
      <c r="E180" s="7">
        <v>1</v>
      </c>
      <c r="F180" s="7">
        <f t="shared" si="3"/>
        <v>4200</v>
      </c>
      <c r="G180" s="7">
        <v>1</v>
      </c>
      <c r="H180" s="7">
        <v>14</v>
      </c>
      <c r="I180" s="7">
        <v>10</v>
      </c>
      <c r="J180" s="7" t="s">
        <v>14</v>
      </c>
      <c r="K180" s="7" t="s">
        <v>15</v>
      </c>
    </row>
    <row r="181" customHeight="1" spans="3:11">
      <c r="C181" s="7">
        <v>1176</v>
      </c>
      <c r="D181" s="7" t="s">
        <v>201</v>
      </c>
      <c r="E181" s="7">
        <v>1</v>
      </c>
      <c r="F181" s="7">
        <f t="shared" si="3"/>
        <v>4224</v>
      </c>
      <c r="G181" s="7">
        <v>1</v>
      </c>
      <c r="H181" s="7">
        <v>15</v>
      </c>
      <c r="I181" s="7">
        <v>10</v>
      </c>
      <c r="J181" s="7" t="s">
        <v>14</v>
      </c>
      <c r="K181" s="7" t="s">
        <v>19</v>
      </c>
    </row>
    <row r="182" customHeight="1" spans="3:11">
      <c r="C182" s="7">
        <v>1177</v>
      </c>
      <c r="D182" s="7" t="s">
        <v>202</v>
      </c>
      <c r="E182" s="7">
        <v>1</v>
      </c>
      <c r="F182" s="7">
        <f t="shared" si="3"/>
        <v>4248</v>
      </c>
      <c r="G182" s="7">
        <v>1</v>
      </c>
      <c r="H182" s="7">
        <v>16</v>
      </c>
      <c r="I182" s="7">
        <v>10</v>
      </c>
      <c r="J182" s="7" t="s">
        <v>14</v>
      </c>
      <c r="K182" s="7" t="s">
        <v>21</v>
      </c>
    </row>
    <row r="183" customHeight="1" spans="3:11">
      <c r="C183" s="7">
        <v>1178</v>
      </c>
      <c r="D183" s="7" t="s">
        <v>203</v>
      </c>
      <c r="E183" s="7">
        <v>1</v>
      </c>
      <c r="F183" s="7">
        <f t="shared" si="3"/>
        <v>4272</v>
      </c>
      <c r="G183" s="7">
        <v>1</v>
      </c>
      <c r="H183" s="7">
        <v>8</v>
      </c>
      <c r="I183" s="7">
        <v>2</v>
      </c>
      <c r="J183" s="7" t="s">
        <v>14</v>
      </c>
      <c r="K183" s="7" t="s">
        <v>24</v>
      </c>
    </row>
    <row r="184" customHeight="1" spans="3:11">
      <c r="C184" s="7">
        <v>1179</v>
      </c>
      <c r="D184" s="7" t="s">
        <v>204</v>
      </c>
      <c r="E184" s="7">
        <v>1</v>
      </c>
      <c r="F184" s="7">
        <f t="shared" si="3"/>
        <v>4296</v>
      </c>
      <c r="G184" s="7">
        <v>1</v>
      </c>
      <c r="H184" s="7">
        <v>9</v>
      </c>
      <c r="I184" s="7">
        <v>10</v>
      </c>
      <c r="J184" s="7" t="s">
        <v>14</v>
      </c>
      <c r="K184" s="7" t="s">
        <v>40</v>
      </c>
    </row>
    <row r="185" customHeight="1" spans="3:11">
      <c r="C185" s="7">
        <v>1180</v>
      </c>
      <c r="D185" s="7" t="s">
        <v>205</v>
      </c>
      <c r="E185" s="7">
        <v>1</v>
      </c>
      <c r="F185" s="7">
        <f t="shared" si="3"/>
        <v>4320</v>
      </c>
      <c r="G185" s="7">
        <v>1</v>
      </c>
      <c r="H185" s="7">
        <v>10</v>
      </c>
      <c r="I185" s="7">
        <v>2</v>
      </c>
      <c r="J185" s="7" t="s">
        <v>14</v>
      </c>
      <c r="K185" s="7" t="s">
        <v>28</v>
      </c>
    </row>
    <row r="186" customHeight="1" spans="3:11">
      <c r="C186" s="7">
        <v>1181</v>
      </c>
      <c r="D186" s="7" t="s">
        <v>206</v>
      </c>
      <c r="E186" s="7">
        <v>1</v>
      </c>
      <c r="F186" s="7">
        <f t="shared" si="3"/>
        <v>4344</v>
      </c>
      <c r="G186" s="7">
        <v>1</v>
      </c>
      <c r="H186" s="7">
        <v>11</v>
      </c>
      <c r="I186" s="7">
        <v>10</v>
      </c>
      <c r="J186" s="7" t="s">
        <v>14</v>
      </c>
      <c r="K186" s="7" t="s">
        <v>30</v>
      </c>
    </row>
    <row r="187" customHeight="1" spans="3:11">
      <c r="C187" s="7">
        <v>1182</v>
      </c>
      <c r="D187" s="7" t="s">
        <v>207</v>
      </c>
      <c r="E187" s="7">
        <v>1</v>
      </c>
      <c r="F187" s="7">
        <f t="shared" si="3"/>
        <v>4368</v>
      </c>
      <c r="G187" s="7">
        <v>1</v>
      </c>
      <c r="H187" s="7">
        <v>12</v>
      </c>
      <c r="I187" s="7">
        <v>2</v>
      </c>
      <c r="J187" s="7" t="s">
        <v>14</v>
      </c>
      <c r="K187" s="7" t="s">
        <v>62</v>
      </c>
    </row>
    <row r="188" customHeight="1" spans="3:11">
      <c r="C188" s="7">
        <v>1183</v>
      </c>
      <c r="D188" s="7" t="s">
        <v>208</v>
      </c>
      <c r="E188" s="7">
        <v>1</v>
      </c>
      <c r="F188" s="7">
        <f t="shared" si="3"/>
        <v>4392</v>
      </c>
      <c r="G188" s="7">
        <v>1</v>
      </c>
      <c r="H188" s="7">
        <v>13</v>
      </c>
      <c r="I188" s="7">
        <v>2</v>
      </c>
      <c r="J188" s="7" t="s">
        <v>14</v>
      </c>
      <c r="K188" s="7" t="s">
        <v>118</v>
      </c>
    </row>
    <row r="189" customHeight="1" spans="3:11">
      <c r="C189" s="7">
        <v>1184</v>
      </c>
      <c r="D189" s="7" t="s">
        <v>209</v>
      </c>
      <c r="E189" s="4">
        <v>1</v>
      </c>
      <c r="F189" s="4">
        <f t="shared" si="3"/>
        <v>4416</v>
      </c>
      <c r="G189" s="4">
        <v>1</v>
      </c>
      <c r="H189" s="4">
        <v>7</v>
      </c>
      <c r="I189" s="4">
        <v>2</v>
      </c>
      <c r="J189" s="4" t="s">
        <v>14</v>
      </c>
      <c r="K189" s="4" t="s">
        <v>33</v>
      </c>
    </row>
    <row r="190" customHeight="1" spans="3:11">
      <c r="C190" s="7">
        <v>1185</v>
      </c>
      <c r="D190" s="7" t="s">
        <v>210</v>
      </c>
      <c r="E190" s="7">
        <v>1</v>
      </c>
      <c r="F190" s="7">
        <f t="shared" si="3"/>
        <v>4440</v>
      </c>
      <c r="G190" s="7">
        <v>1</v>
      </c>
      <c r="H190" s="7">
        <v>14</v>
      </c>
      <c r="I190" s="7">
        <v>15</v>
      </c>
      <c r="J190" s="7" t="s">
        <v>14</v>
      </c>
      <c r="K190" s="7" t="s">
        <v>15</v>
      </c>
    </row>
    <row r="191" customHeight="1" spans="3:11">
      <c r="C191" s="7">
        <v>1186</v>
      </c>
      <c r="D191" s="7" t="s">
        <v>211</v>
      </c>
      <c r="E191" s="7">
        <v>1</v>
      </c>
      <c r="F191" s="7">
        <f t="shared" si="3"/>
        <v>4464</v>
      </c>
      <c r="G191" s="7">
        <v>1</v>
      </c>
      <c r="H191" s="7">
        <v>15</v>
      </c>
      <c r="I191" s="7">
        <v>15</v>
      </c>
      <c r="J191" s="7" t="s">
        <v>14</v>
      </c>
      <c r="K191" s="7" t="s">
        <v>19</v>
      </c>
    </row>
    <row r="192" customHeight="1" spans="3:11">
      <c r="C192" s="7">
        <v>1187</v>
      </c>
      <c r="D192" s="7" t="s">
        <v>212</v>
      </c>
      <c r="E192" s="7">
        <v>1</v>
      </c>
      <c r="F192" s="7">
        <f t="shared" si="3"/>
        <v>4488</v>
      </c>
      <c r="G192" s="7">
        <v>1</v>
      </c>
      <c r="H192" s="7">
        <v>16</v>
      </c>
      <c r="I192" s="7">
        <v>15</v>
      </c>
      <c r="J192" s="7" t="s">
        <v>14</v>
      </c>
      <c r="K192" s="7" t="s">
        <v>21</v>
      </c>
    </row>
    <row r="193" customHeight="1" spans="3:11">
      <c r="C193" s="7">
        <v>1188</v>
      </c>
      <c r="D193" s="7" t="s">
        <v>213</v>
      </c>
      <c r="E193" s="7">
        <v>1</v>
      </c>
      <c r="F193" s="7">
        <f t="shared" si="3"/>
        <v>4512</v>
      </c>
      <c r="G193" s="7">
        <v>1</v>
      </c>
      <c r="H193" s="7">
        <v>16</v>
      </c>
      <c r="I193" s="7">
        <v>15</v>
      </c>
      <c r="J193" s="7" t="s">
        <v>14</v>
      </c>
      <c r="K193" s="7" t="s">
        <v>21</v>
      </c>
    </row>
    <row r="194" customHeight="1" spans="3:11">
      <c r="C194" s="7">
        <v>1189</v>
      </c>
      <c r="D194" s="7" t="s">
        <v>214</v>
      </c>
      <c r="E194" s="7">
        <v>1</v>
      </c>
      <c r="F194" s="7">
        <f t="shared" si="3"/>
        <v>4536</v>
      </c>
      <c r="G194" s="7">
        <v>1</v>
      </c>
      <c r="H194" s="7">
        <v>9</v>
      </c>
      <c r="I194" s="7">
        <v>15</v>
      </c>
      <c r="J194" s="7" t="s">
        <v>14</v>
      </c>
      <c r="K194" s="7" t="s">
        <v>40</v>
      </c>
    </row>
    <row r="195" customHeight="1" spans="3:11">
      <c r="C195" s="7">
        <v>1190</v>
      </c>
      <c r="D195" s="7" t="s">
        <v>215</v>
      </c>
      <c r="E195" s="7">
        <v>1</v>
      </c>
      <c r="F195" s="7">
        <f t="shared" si="3"/>
        <v>4560</v>
      </c>
      <c r="G195" s="7">
        <v>1</v>
      </c>
      <c r="H195" s="7">
        <v>10</v>
      </c>
      <c r="I195" s="7">
        <v>3</v>
      </c>
      <c r="J195" s="7" t="s">
        <v>14</v>
      </c>
      <c r="K195" s="7" t="s">
        <v>28</v>
      </c>
    </row>
    <row r="196" customHeight="1" spans="3:11">
      <c r="C196" s="7">
        <v>1191</v>
      </c>
      <c r="D196" s="7" t="s">
        <v>216</v>
      </c>
      <c r="E196" s="7">
        <v>1</v>
      </c>
      <c r="F196" s="7">
        <f t="shared" si="3"/>
        <v>4584</v>
      </c>
      <c r="G196" s="7">
        <v>1</v>
      </c>
      <c r="H196" s="7">
        <v>11</v>
      </c>
      <c r="I196" s="7">
        <v>15</v>
      </c>
      <c r="J196" s="7" t="s">
        <v>14</v>
      </c>
      <c r="K196" s="7" t="s">
        <v>30</v>
      </c>
    </row>
    <row r="197" customHeight="1" spans="3:11">
      <c r="C197" s="7">
        <v>1192</v>
      </c>
      <c r="D197" s="7" t="s">
        <v>217</v>
      </c>
      <c r="E197" s="7">
        <v>1</v>
      </c>
      <c r="F197" s="7">
        <f t="shared" si="3"/>
        <v>4608</v>
      </c>
      <c r="G197" s="7">
        <v>1</v>
      </c>
      <c r="H197" s="7">
        <v>12</v>
      </c>
      <c r="I197" s="7">
        <v>3</v>
      </c>
      <c r="J197" s="7" t="s">
        <v>14</v>
      </c>
      <c r="K197" s="7" t="s">
        <v>62</v>
      </c>
    </row>
    <row r="198" customHeight="1" spans="3:11">
      <c r="C198" s="7">
        <v>1193</v>
      </c>
      <c r="D198" s="7" t="s">
        <v>218</v>
      </c>
      <c r="E198" s="7">
        <v>1</v>
      </c>
      <c r="F198" s="7">
        <f t="shared" si="3"/>
        <v>4632</v>
      </c>
      <c r="G198" s="7">
        <v>1</v>
      </c>
      <c r="H198" s="7">
        <v>13</v>
      </c>
      <c r="I198" s="7">
        <v>3</v>
      </c>
      <c r="J198" s="7" t="s">
        <v>14</v>
      </c>
      <c r="K198" s="7" t="s">
        <v>118</v>
      </c>
    </row>
    <row r="199" customHeight="1" spans="3:11">
      <c r="C199" s="7">
        <v>1194</v>
      </c>
      <c r="D199" s="7" t="s">
        <v>219</v>
      </c>
      <c r="E199" s="4">
        <v>1</v>
      </c>
      <c r="F199" s="4">
        <f t="shared" si="3"/>
        <v>4656</v>
      </c>
      <c r="G199" s="4">
        <v>1</v>
      </c>
      <c r="H199" s="4">
        <v>7</v>
      </c>
      <c r="I199" s="4">
        <v>3</v>
      </c>
      <c r="J199" s="4" t="s">
        <v>14</v>
      </c>
      <c r="K199" s="4" t="s">
        <v>33</v>
      </c>
    </row>
    <row r="200" customHeight="1" spans="3:11">
      <c r="C200" s="7">
        <v>1195</v>
      </c>
      <c r="D200" s="7" t="s">
        <v>220</v>
      </c>
      <c r="E200" s="7">
        <v>1</v>
      </c>
      <c r="F200" s="7">
        <f t="shared" si="3"/>
        <v>4680</v>
      </c>
      <c r="G200" s="7">
        <v>1</v>
      </c>
      <c r="H200" s="7">
        <v>14</v>
      </c>
      <c r="I200" s="7">
        <v>15</v>
      </c>
      <c r="J200" s="7" t="s">
        <v>14</v>
      </c>
      <c r="K200" s="7" t="s">
        <v>15</v>
      </c>
    </row>
    <row r="201" customHeight="1" spans="3:11">
      <c r="C201" s="7">
        <v>1196</v>
      </c>
      <c r="D201" s="7" t="s">
        <v>221</v>
      </c>
      <c r="E201" s="7">
        <v>1</v>
      </c>
      <c r="F201" s="7">
        <f t="shared" si="3"/>
        <v>4704</v>
      </c>
      <c r="G201" s="7">
        <v>1</v>
      </c>
      <c r="H201" s="7">
        <v>15</v>
      </c>
      <c r="I201" s="7">
        <v>15</v>
      </c>
      <c r="J201" s="7" t="s">
        <v>14</v>
      </c>
      <c r="K201" s="7" t="s">
        <v>19</v>
      </c>
    </row>
    <row r="202" customHeight="1" spans="3:11">
      <c r="C202" s="7">
        <v>1197</v>
      </c>
      <c r="D202" s="7" t="s">
        <v>222</v>
      </c>
      <c r="E202" s="7">
        <v>1</v>
      </c>
      <c r="F202" s="7">
        <f t="shared" si="3"/>
        <v>4728</v>
      </c>
      <c r="G202" s="7">
        <v>1</v>
      </c>
      <c r="H202" s="7">
        <v>16</v>
      </c>
      <c r="I202" s="7">
        <v>15</v>
      </c>
      <c r="J202" s="7" t="s">
        <v>14</v>
      </c>
      <c r="K202" s="7" t="s">
        <v>21</v>
      </c>
    </row>
    <row r="203" customHeight="1" spans="3:11">
      <c r="C203" s="7">
        <v>1198</v>
      </c>
      <c r="D203" s="7" t="s">
        <v>223</v>
      </c>
      <c r="E203" s="7">
        <v>1</v>
      </c>
      <c r="F203" s="7">
        <f t="shared" si="3"/>
        <v>4752</v>
      </c>
      <c r="G203" s="7">
        <v>1</v>
      </c>
      <c r="H203" s="7">
        <v>16</v>
      </c>
      <c r="I203" s="7">
        <v>15</v>
      </c>
      <c r="J203" s="7" t="s">
        <v>14</v>
      </c>
      <c r="K203" s="7" t="s">
        <v>21</v>
      </c>
    </row>
    <row r="204" customHeight="1" spans="3:11">
      <c r="C204" s="7">
        <v>1199</v>
      </c>
      <c r="D204" s="7" t="s">
        <v>224</v>
      </c>
      <c r="E204" s="7">
        <v>1</v>
      </c>
      <c r="F204" s="7">
        <f t="shared" si="3"/>
        <v>4776</v>
      </c>
      <c r="G204" s="7">
        <v>1</v>
      </c>
      <c r="H204" s="7">
        <v>9</v>
      </c>
      <c r="I204" s="7">
        <v>15</v>
      </c>
      <c r="J204" s="7" t="s">
        <v>14</v>
      </c>
      <c r="K204" s="7" t="s">
        <v>40</v>
      </c>
    </row>
    <row r="205" customHeight="1" spans="3:11">
      <c r="C205" s="7">
        <v>1200</v>
      </c>
      <c r="D205" s="7" t="s">
        <v>225</v>
      </c>
      <c r="E205" s="7">
        <v>1</v>
      </c>
      <c r="F205" s="7">
        <f t="shared" si="3"/>
        <v>4800</v>
      </c>
      <c r="G205" s="7">
        <v>1</v>
      </c>
      <c r="H205" s="7">
        <v>10</v>
      </c>
      <c r="I205" s="7">
        <v>3</v>
      </c>
      <c r="J205" s="7" t="s">
        <v>14</v>
      </c>
      <c r="K205" s="7" t="s">
        <v>28</v>
      </c>
    </row>
    <row r="206" customHeight="1" spans="3:11">
      <c r="C206" s="7">
        <v>1201</v>
      </c>
      <c r="D206" s="7" t="s">
        <v>226</v>
      </c>
      <c r="E206" s="7">
        <v>1</v>
      </c>
      <c r="F206" s="7">
        <f t="shared" si="3"/>
        <v>4824</v>
      </c>
      <c r="G206" s="7">
        <v>1</v>
      </c>
      <c r="H206" s="7">
        <v>11</v>
      </c>
      <c r="I206" s="7">
        <v>15</v>
      </c>
      <c r="J206" s="7" t="s">
        <v>14</v>
      </c>
      <c r="K206" s="7" t="s">
        <v>30</v>
      </c>
    </row>
    <row r="207" customHeight="1" spans="3:11">
      <c r="C207" s="7">
        <v>1202</v>
      </c>
      <c r="D207" s="7" t="s">
        <v>227</v>
      </c>
      <c r="E207" s="7">
        <v>1</v>
      </c>
      <c r="F207" s="7">
        <f t="shared" si="3"/>
        <v>4848</v>
      </c>
      <c r="G207" s="7">
        <v>1</v>
      </c>
      <c r="H207" s="7">
        <v>12</v>
      </c>
      <c r="I207" s="7">
        <v>3</v>
      </c>
      <c r="J207" s="7" t="s">
        <v>14</v>
      </c>
      <c r="K207" s="7" t="s">
        <v>62</v>
      </c>
    </row>
    <row r="208" customHeight="1" spans="3:11">
      <c r="C208" s="7">
        <v>1203</v>
      </c>
      <c r="D208" s="7" t="s">
        <v>228</v>
      </c>
      <c r="E208" s="7">
        <v>1</v>
      </c>
      <c r="F208" s="7">
        <f t="shared" si="3"/>
        <v>4872</v>
      </c>
      <c r="G208" s="7">
        <v>1</v>
      </c>
      <c r="H208" s="7">
        <v>13</v>
      </c>
      <c r="I208" s="7">
        <v>3</v>
      </c>
      <c r="J208" s="7" t="s">
        <v>14</v>
      </c>
      <c r="K208" s="7" t="s">
        <v>118</v>
      </c>
    </row>
    <row r="209" customHeight="1" spans="3:11">
      <c r="C209" s="7">
        <v>1204</v>
      </c>
      <c r="D209" s="7" t="s">
        <v>229</v>
      </c>
      <c r="E209" s="4">
        <v>1</v>
      </c>
      <c r="F209" s="4">
        <f t="shared" si="3"/>
        <v>4896</v>
      </c>
      <c r="G209" s="4">
        <v>1</v>
      </c>
      <c r="H209" s="4">
        <v>7</v>
      </c>
      <c r="I209" s="4">
        <v>3</v>
      </c>
      <c r="J209" s="4" t="s">
        <v>14</v>
      </c>
      <c r="K209" s="4" t="s">
        <v>33</v>
      </c>
    </row>
    <row r="210" customHeight="1" spans="3:11">
      <c r="C210" s="7">
        <v>1205</v>
      </c>
      <c r="D210" s="7" t="s">
        <v>230</v>
      </c>
      <c r="E210" s="7">
        <v>1</v>
      </c>
      <c r="F210" s="7">
        <f t="shared" si="3"/>
        <v>4920</v>
      </c>
      <c r="G210" s="7">
        <v>1</v>
      </c>
      <c r="H210" s="7">
        <v>14</v>
      </c>
      <c r="I210" s="7">
        <v>15</v>
      </c>
      <c r="J210" s="7" t="s">
        <v>14</v>
      </c>
      <c r="K210" s="7" t="s">
        <v>15</v>
      </c>
    </row>
    <row r="211" customHeight="1" spans="3:11">
      <c r="C211" s="7">
        <v>1206</v>
      </c>
      <c r="D211" s="7" t="s">
        <v>231</v>
      </c>
      <c r="E211" s="7">
        <v>1</v>
      </c>
      <c r="F211" s="7">
        <f t="shared" si="3"/>
        <v>4944</v>
      </c>
      <c r="G211" s="7">
        <v>1</v>
      </c>
      <c r="H211" s="7">
        <v>15</v>
      </c>
      <c r="I211" s="7">
        <v>15</v>
      </c>
      <c r="J211" s="7" t="s">
        <v>14</v>
      </c>
      <c r="K211" s="7" t="s">
        <v>19</v>
      </c>
    </row>
    <row r="212" customHeight="1" spans="3:11">
      <c r="C212" s="7">
        <v>1207</v>
      </c>
      <c r="D212" s="7" t="s">
        <v>232</v>
      </c>
      <c r="E212" s="7">
        <v>1</v>
      </c>
      <c r="F212" s="7">
        <f t="shared" si="3"/>
        <v>4968</v>
      </c>
      <c r="G212" s="7">
        <v>1</v>
      </c>
      <c r="H212" s="7">
        <v>16</v>
      </c>
      <c r="I212" s="7">
        <v>15</v>
      </c>
      <c r="J212" s="7" t="s">
        <v>14</v>
      </c>
      <c r="K212" s="7" t="s">
        <v>21</v>
      </c>
    </row>
    <row r="213" customHeight="1" spans="3:11">
      <c r="C213" s="7">
        <v>1208</v>
      </c>
      <c r="D213" s="7" t="s">
        <v>233</v>
      </c>
      <c r="E213" s="7">
        <v>1</v>
      </c>
      <c r="F213" s="7">
        <f t="shared" ref="F213:F217" si="4">(C213-1000)*24</f>
        <v>4992</v>
      </c>
      <c r="G213" s="7">
        <v>1</v>
      </c>
      <c r="H213" s="7">
        <v>9</v>
      </c>
      <c r="I213" s="7">
        <v>15</v>
      </c>
      <c r="J213" s="7" t="s">
        <v>14</v>
      </c>
      <c r="K213" s="7" t="s">
        <v>40</v>
      </c>
    </row>
    <row r="214" customHeight="1" spans="3:11">
      <c r="C214" s="7">
        <v>1209</v>
      </c>
      <c r="D214" s="7" t="s">
        <v>234</v>
      </c>
      <c r="E214" s="7">
        <v>1</v>
      </c>
      <c r="F214" s="7">
        <f t="shared" si="4"/>
        <v>5016</v>
      </c>
      <c r="G214" s="7">
        <v>1</v>
      </c>
      <c r="H214" s="7">
        <v>12</v>
      </c>
      <c r="I214" s="7">
        <v>3</v>
      </c>
      <c r="J214" s="7" t="s">
        <v>14</v>
      </c>
      <c r="K214" s="7" t="s">
        <v>62</v>
      </c>
    </row>
    <row r="215" customHeight="1" spans="3:11">
      <c r="C215" s="7">
        <v>1210</v>
      </c>
      <c r="D215" s="7" t="s">
        <v>235</v>
      </c>
      <c r="E215" s="7">
        <v>1</v>
      </c>
      <c r="F215" s="7">
        <f t="shared" si="4"/>
        <v>5040</v>
      </c>
      <c r="G215" s="7">
        <v>1</v>
      </c>
      <c r="H215" s="7">
        <v>33</v>
      </c>
      <c r="I215" s="7">
        <v>3</v>
      </c>
      <c r="J215" s="7" t="s">
        <v>14</v>
      </c>
      <c r="K215" s="7" t="s">
        <v>236</v>
      </c>
    </row>
    <row r="216" customHeight="1" spans="3:11">
      <c r="C216" s="7">
        <v>1211</v>
      </c>
      <c r="D216" s="7" t="s">
        <v>237</v>
      </c>
      <c r="E216" s="7">
        <v>1</v>
      </c>
      <c r="F216" s="7">
        <f t="shared" si="4"/>
        <v>5064</v>
      </c>
      <c r="G216" s="7">
        <v>1</v>
      </c>
      <c r="H216" s="7">
        <v>34</v>
      </c>
      <c r="I216" s="7">
        <v>3</v>
      </c>
      <c r="J216" s="7" t="s">
        <v>14</v>
      </c>
      <c r="K216" s="7" t="s">
        <v>238</v>
      </c>
    </row>
    <row r="217" customHeight="1" spans="3:11">
      <c r="C217" s="7">
        <v>1212</v>
      </c>
      <c r="D217" s="7" t="s">
        <v>239</v>
      </c>
      <c r="E217" s="7">
        <v>1</v>
      </c>
      <c r="F217" s="7">
        <f t="shared" si="4"/>
        <v>5088</v>
      </c>
      <c r="G217" s="7">
        <v>1</v>
      </c>
      <c r="H217" s="7">
        <v>35</v>
      </c>
      <c r="I217" s="7">
        <v>3</v>
      </c>
      <c r="J217" s="7" t="s">
        <v>14</v>
      </c>
      <c r="K217" s="7" t="s">
        <v>240</v>
      </c>
    </row>
    <row r="218" customHeight="1" spans="3:11">
      <c r="C218" s="7">
        <v>1213</v>
      </c>
      <c r="D218" s="7" t="s">
        <v>241</v>
      </c>
      <c r="E218" s="4">
        <v>1</v>
      </c>
      <c r="F218" s="4">
        <f t="shared" ref="F218:F281" si="5">(C218-1000)*24</f>
        <v>5112</v>
      </c>
      <c r="G218" s="4">
        <v>1</v>
      </c>
      <c r="H218" s="4">
        <v>7</v>
      </c>
      <c r="I218" s="4">
        <v>3</v>
      </c>
      <c r="J218" s="4" t="s">
        <v>14</v>
      </c>
      <c r="K218" s="4" t="s">
        <v>33</v>
      </c>
    </row>
    <row r="219" ht="15" customHeight="1" spans="3:11">
      <c r="C219" s="7">
        <v>1214</v>
      </c>
      <c r="D219" s="7" t="s">
        <v>242</v>
      </c>
      <c r="E219" s="7">
        <v>1</v>
      </c>
      <c r="F219" s="7">
        <f t="shared" si="5"/>
        <v>5136</v>
      </c>
      <c r="G219" s="7">
        <v>1</v>
      </c>
      <c r="H219" s="7">
        <v>14</v>
      </c>
      <c r="I219" s="7">
        <v>15</v>
      </c>
      <c r="J219" s="7" t="s">
        <v>14</v>
      </c>
      <c r="K219" s="7" t="s">
        <v>15</v>
      </c>
    </row>
    <row r="220" ht="15" customHeight="1" spans="3:11">
      <c r="C220" s="7">
        <v>1215</v>
      </c>
      <c r="D220" s="7" t="s">
        <v>243</v>
      </c>
      <c r="E220" s="7">
        <v>1</v>
      </c>
      <c r="F220" s="7">
        <f t="shared" si="5"/>
        <v>5160</v>
      </c>
      <c r="G220" s="7">
        <v>1</v>
      </c>
      <c r="H220" s="7">
        <v>15</v>
      </c>
      <c r="I220" s="7">
        <v>15</v>
      </c>
      <c r="J220" s="7" t="s">
        <v>14</v>
      </c>
      <c r="K220" s="7" t="s">
        <v>19</v>
      </c>
    </row>
    <row r="221" ht="15" customHeight="1" spans="3:11">
      <c r="C221" s="7">
        <v>1216</v>
      </c>
      <c r="D221" s="7" t="s">
        <v>244</v>
      </c>
      <c r="E221" s="7">
        <v>1</v>
      </c>
      <c r="F221" s="7">
        <f t="shared" si="5"/>
        <v>5184</v>
      </c>
      <c r="G221" s="7">
        <v>1</v>
      </c>
      <c r="H221" s="7">
        <v>16</v>
      </c>
      <c r="I221" s="7">
        <v>15</v>
      </c>
      <c r="J221" s="7" t="s">
        <v>14</v>
      </c>
      <c r="K221" s="7" t="s">
        <v>21</v>
      </c>
    </row>
    <row r="222" ht="15" customHeight="1" spans="3:11">
      <c r="C222" s="7">
        <v>1217</v>
      </c>
      <c r="D222" s="7" t="s">
        <v>245</v>
      </c>
      <c r="E222" s="7">
        <v>1</v>
      </c>
      <c r="F222" s="7">
        <f t="shared" si="5"/>
        <v>5208</v>
      </c>
      <c r="G222" s="7">
        <v>1</v>
      </c>
      <c r="H222" s="7">
        <v>9</v>
      </c>
      <c r="I222" s="7">
        <v>15</v>
      </c>
      <c r="J222" s="7" t="s">
        <v>14</v>
      </c>
      <c r="K222" s="7" t="s">
        <v>40</v>
      </c>
    </row>
    <row r="223" ht="15" customHeight="1" spans="3:11">
      <c r="C223" s="7">
        <v>1218</v>
      </c>
      <c r="D223" s="7" t="s">
        <v>246</v>
      </c>
      <c r="E223" s="7">
        <v>1</v>
      </c>
      <c r="F223" s="7">
        <f t="shared" si="5"/>
        <v>5232</v>
      </c>
      <c r="G223" s="7">
        <v>1</v>
      </c>
      <c r="H223" s="7">
        <v>12</v>
      </c>
      <c r="I223" s="7">
        <v>3</v>
      </c>
      <c r="J223" s="7" t="s">
        <v>14</v>
      </c>
      <c r="K223" s="7" t="s">
        <v>62</v>
      </c>
    </row>
    <row r="224" ht="15" customHeight="1" spans="3:11">
      <c r="C224" s="7">
        <v>1219</v>
      </c>
      <c r="D224" s="7" t="s">
        <v>247</v>
      </c>
      <c r="E224" s="7">
        <v>1</v>
      </c>
      <c r="F224" s="7">
        <f t="shared" si="5"/>
        <v>5256</v>
      </c>
      <c r="G224" s="7">
        <v>1</v>
      </c>
      <c r="H224" s="7">
        <v>33</v>
      </c>
      <c r="I224" s="7">
        <v>3</v>
      </c>
      <c r="J224" s="7" t="s">
        <v>14</v>
      </c>
      <c r="K224" s="7" t="s">
        <v>236</v>
      </c>
    </row>
    <row r="225" ht="15" customHeight="1" spans="3:11">
      <c r="C225" s="7">
        <v>1220</v>
      </c>
      <c r="D225" s="7" t="s">
        <v>248</v>
      </c>
      <c r="E225" s="7">
        <v>1</v>
      </c>
      <c r="F225" s="7">
        <f t="shared" si="5"/>
        <v>5280</v>
      </c>
      <c r="G225" s="7">
        <v>1</v>
      </c>
      <c r="H225" s="7">
        <v>34</v>
      </c>
      <c r="I225" s="7">
        <v>3</v>
      </c>
      <c r="J225" s="7" t="s">
        <v>14</v>
      </c>
      <c r="K225" s="7" t="s">
        <v>238</v>
      </c>
    </row>
    <row r="226" ht="15" customHeight="1" spans="3:11">
      <c r="C226" s="7">
        <v>1221</v>
      </c>
      <c r="D226" s="7" t="s">
        <v>249</v>
      </c>
      <c r="E226" s="7">
        <v>1</v>
      </c>
      <c r="F226" s="7">
        <f t="shared" si="5"/>
        <v>5304</v>
      </c>
      <c r="G226" s="7">
        <v>1</v>
      </c>
      <c r="H226" s="7">
        <v>35</v>
      </c>
      <c r="I226" s="7">
        <v>3</v>
      </c>
      <c r="J226" s="7" t="s">
        <v>14</v>
      </c>
      <c r="K226" s="7" t="s">
        <v>240</v>
      </c>
    </row>
    <row r="227" ht="15" customHeight="1" spans="3:11">
      <c r="C227" s="7">
        <v>1222</v>
      </c>
      <c r="D227" s="7" t="s">
        <v>250</v>
      </c>
      <c r="E227" s="4">
        <v>1</v>
      </c>
      <c r="F227" s="4">
        <f t="shared" si="5"/>
        <v>5328</v>
      </c>
      <c r="G227" s="4">
        <v>1</v>
      </c>
      <c r="H227" s="4">
        <v>7</v>
      </c>
      <c r="I227" s="4">
        <v>3</v>
      </c>
      <c r="J227" s="4" t="s">
        <v>14</v>
      </c>
      <c r="K227" s="4" t="s">
        <v>33</v>
      </c>
    </row>
    <row r="228" customHeight="1" spans="3:11">
      <c r="C228" s="7">
        <v>1223</v>
      </c>
      <c r="D228" s="7" t="s">
        <v>251</v>
      </c>
      <c r="E228" s="7">
        <v>1</v>
      </c>
      <c r="F228" s="7">
        <f t="shared" si="5"/>
        <v>5352</v>
      </c>
      <c r="G228" s="7">
        <v>1</v>
      </c>
      <c r="H228" s="7">
        <v>14</v>
      </c>
      <c r="I228" s="7">
        <v>15</v>
      </c>
      <c r="J228" s="7" t="s">
        <v>14</v>
      </c>
      <c r="K228" s="7" t="s">
        <v>15</v>
      </c>
    </row>
    <row r="229" customHeight="1" spans="3:11">
      <c r="C229" s="7">
        <v>1224</v>
      </c>
      <c r="D229" s="7" t="s">
        <v>252</v>
      </c>
      <c r="E229" s="7">
        <v>1</v>
      </c>
      <c r="F229" s="7">
        <f t="shared" si="5"/>
        <v>5376</v>
      </c>
      <c r="G229" s="7">
        <v>1</v>
      </c>
      <c r="H229" s="7">
        <v>15</v>
      </c>
      <c r="I229" s="7">
        <v>15</v>
      </c>
      <c r="J229" s="7" t="s">
        <v>14</v>
      </c>
      <c r="K229" s="7" t="s">
        <v>19</v>
      </c>
    </row>
    <row r="230" customHeight="1" spans="3:11">
      <c r="C230" s="7">
        <v>1225</v>
      </c>
      <c r="D230" s="7" t="s">
        <v>253</v>
      </c>
      <c r="E230" s="7">
        <v>1</v>
      </c>
      <c r="F230" s="7">
        <f t="shared" si="5"/>
        <v>5400</v>
      </c>
      <c r="G230" s="7">
        <v>1</v>
      </c>
      <c r="H230" s="7">
        <v>16</v>
      </c>
      <c r="I230" s="7">
        <v>15</v>
      </c>
      <c r="J230" s="7" t="s">
        <v>14</v>
      </c>
      <c r="K230" s="7" t="s">
        <v>21</v>
      </c>
    </row>
    <row r="231" customHeight="1" spans="3:11">
      <c r="C231" s="7">
        <v>1226</v>
      </c>
      <c r="D231" s="7" t="s">
        <v>254</v>
      </c>
      <c r="E231" s="7">
        <v>1</v>
      </c>
      <c r="F231" s="7">
        <f t="shared" si="5"/>
        <v>5424</v>
      </c>
      <c r="G231" s="7">
        <v>1</v>
      </c>
      <c r="H231" s="7">
        <v>9</v>
      </c>
      <c r="I231" s="7">
        <v>15</v>
      </c>
      <c r="J231" s="7" t="s">
        <v>14</v>
      </c>
      <c r="K231" s="7" t="s">
        <v>40</v>
      </c>
    </row>
    <row r="232" customHeight="1" spans="3:11">
      <c r="C232" s="7">
        <v>1227</v>
      </c>
      <c r="D232" s="7" t="s">
        <v>255</v>
      </c>
      <c r="E232" s="7">
        <v>1</v>
      </c>
      <c r="F232" s="7">
        <f t="shared" si="5"/>
        <v>5448</v>
      </c>
      <c r="G232" s="7">
        <v>1</v>
      </c>
      <c r="H232" s="7">
        <v>12</v>
      </c>
      <c r="I232" s="7">
        <v>3</v>
      </c>
      <c r="J232" s="7" t="s">
        <v>14</v>
      </c>
      <c r="K232" s="7" t="s">
        <v>62</v>
      </c>
    </row>
    <row r="233" customHeight="1" spans="3:11">
      <c r="C233" s="7">
        <v>1228</v>
      </c>
      <c r="D233" s="7" t="s">
        <v>256</v>
      </c>
      <c r="E233" s="7">
        <v>1</v>
      </c>
      <c r="F233" s="7">
        <f t="shared" si="5"/>
        <v>5472</v>
      </c>
      <c r="G233" s="7">
        <v>1</v>
      </c>
      <c r="H233" s="7">
        <v>33</v>
      </c>
      <c r="I233" s="7">
        <v>3</v>
      </c>
      <c r="J233" s="7" t="s">
        <v>14</v>
      </c>
      <c r="K233" s="7" t="s">
        <v>236</v>
      </c>
    </row>
    <row r="234" customHeight="1" spans="3:11">
      <c r="C234" s="7">
        <v>1229</v>
      </c>
      <c r="D234" s="7" t="s">
        <v>257</v>
      </c>
      <c r="E234" s="7">
        <v>1</v>
      </c>
      <c r="F234" s="7">
        <f t="shared" si="5"/>
        <v>5496</v>
      </c>
      <c r="G234" s="7">
        <v>1</v>
      </c>
      <c r="H234" s="7">
        <v>34</v>
      </c>
      <c r="I234" s="7">
        <v>3</v>
      </c>
      <c r="J234" s="7" t="s">
        <v>14</v>
      </c>
      <c r="K234" s="7" t="s">
        <v>238</v>
      </c>
    </row>
    <row r="235" customHeight="1" spans="3:11">
      <c r="C235" s="7">
        <v>1230</v>
      </c>
      <c r="D235" s="7" t="s">
        <v>258</v>
      </c>
      <c r="E235" s="7">
        <v>1</v>
      </c>
      <c r="F235" s="7">
        <f t="shared" si="5"/>
        <v>5520</v>
      </c>
      <c r="G235" s="7">
        <v>1</v>
      </c>
      <c r="H235" s="7">
        <v>35</v>
      </c>
      <c r="I235" s="7">
        <v>3</v>
      </c>
      <c r="J235" s="7" t="s">
        <v>14</v>
      </c>
      <c r="K235" s="7" t="s">
        <v>240</v>
      </c>
    </row>
    <row r="236" customHeight="1" spans="3:11">
      <c r="C236" s="7">
        <v>1231</v>
      </c>
      <c r="D236" s="7" t="s">
        <v>259</v>
      </c>
      <c r="E236" s="4">
        <v>1</v>
      </c>
      <c r="F236" s="4">
        <f t="shared" si="5"/>
        <v>5544</v>
      </c>
      <c r="G236" s="4">
        <v>1</v>
      </c>
      <c r="H236" s="4">
        <v>7</v>
      </c>
      <c r="I236" s="4">
        <v>3</v>
      </c>
      <c r="J236" s="4" t="s">
        <v>14</v>
      </c>
      <c r="K236" s="4" t="s">
        <v>33</v>
      </c>
    </row>
    <row r="237" customHeight="1" spans="3:11">
      <c r="C237" s="7">
        <v>1232</v>
      </c>
      <c r="D237" s="7" t="s">
        <v>260</v>
      </c>
      <c r="E237" s="7">
        <v>1</v>
      </c>
      <c r="F237" s="7">
        <f t="shared" si="5"/>
        <v>5568</v>
      </c>
      <c r="G237" s="7">
        <v>1</v>
      </c>
      <c r="H237" s="7">
        <v>14</v>
      </c>
      <c r="I237" s="7">
        <v>15</v>
      </c>
      <c r="J237" s="7" t="s">
        <v>14</v>
      </c>
      <c r="K237" s="7" t="s">
        <v>15</v>
      </c>
    </row>
    <row r="238" customHeight="1" spans="3:11">
      <c r="C238" s="7">
        <v>1233</v>
      </c>
      <c r="D238" s="7" t="s">
        <v>261</v>
      </c>
      <c r="E238" s="7">
        <v>1</v>
      </c>
      <c r="F238" s="7">
        <f t="shared" si="5"/>
        <v>5592</v>
      </c>
      <c r="G238" s="7">
        <v>1</v>
      </c>
      <c r="H238" s="7">
        <v>15</v>
      </c>
      <c r="I238" s="7">
        <v>15</v>
      </c>
      <c r="J238" s="7" t="s">
        <v>14</v>
      </c>
      <c r="K238" s="7" t="s">
        <v>19</v>
      </c>
    </row>
    <row r="239" customHeight="1" spans="3:11">
      <c r="C239" s="7">
        <v>1234</v>
      </c>
      <c r="D239" s="7" t="s">
        <v>262</v>
      </c>
      <c r="E239" s="7">
        <v>1</v>
      </c>
      <c r="F239" s="7">
        <f t="shared" si="5"/>
        <v>5616</v>
      </c>
      <c r="G239" s="7">
        <v>1</v>
      </c>
      <c r="H239" s="7">
        <v>16</v>
      </c>
      <c r="I239" s="7">
        <v>15</v>
      </c>
      <c r="J239" s="7" t="s">
        <v>14</v>
      </c>
      <c r="K239" s="7" t="s">
        <v>21</v>
      </c>
    </row>
    <row r="240" customHeight="1" spans="3:11">
      <c r="C240" s="7">
        <v>1235</v>
      </c>
      <c r="D240" s="7" t="s">
        <v>263</v>
      </c>
      <c r="E240" s="7">
        <v>1</v>
      </c>
      <c r="F240" s="7">
        <f t="shared" si="5"/>
        <v>5640</v>
      </c>
      <c r="G240" s="7">
        <v>1</v>
      </c>
      <c r="H240" s="7">
        <v>9</v>
      </c>
      <c r="I240" s="7">
        <v>15</v>
      </c>
      <c r="J240" s="7" t="s">
        <v>14</v>
      </c>
      <c r="K240" s="7" t="s">
        <v>40</v>
      </c>
    </row>
    <row r="241" customHeight="1" spans="3:11">
      <c r="C241" s="7">
        <v>1236</v>
      </c>
      <c r="D241" s="7" t="s">
        <v>264</v>
      </c>
      <c r="E241" s="7">
        <v>1</v>
      </c>
      <c r="F241" s="7">
        <f t="shared" si="5"/>
        <v>5664</v>
      </c>
      <c r="G241" s="7">
        <v>1</v>
      </c>
      <c r="H241" s="7">
        <v>12</v>
      </c>
      <c r="I241" s="7">
        <v>3</v>
      </c>
      <c r="J241" s="7" t="s">
        <v>14</v>
      </c>
      <c r="K241" s="7" t="s">
        <v>62</v>
      </c>
    </row>
    <row r="242" customHeight="1" spans="3:11">
      <c r="C242" s="7">
        <v>1237</v>
      </c>
      <c r="D242" s="7" t="s">
        <v>265</v>
      </c>
      <c r="E242" s="7">
        <v>1</v>
      </c>
      <c r="F242" s="7">
        <f t="shared" si="5"/>
        <v>5688</v>
      </c>
      <c r="G242" s="7">
        <v>1</v>
      </c>
      <c r="H242" s="7">
        <v>33</v>
      </c>
      <c r="I242" s="7">
        <v>3</v>
      </c>
      <c r="J242" s="7" t="s">
        <v>14</v>
      </c>
      <c r="K242" s="7" t="s">
        <v>236</v>
      </c>
    </row>
    <row r="243" customHeight="1" spans="3:11">
      <c r="C243" s="7">
        <v>1238</v>
      </c>
      <c r="D243" s="7" t="s">
        <v>266</v>
      </c>
      <c r="E243" s="7">
        <v>1</v>
      </c>
      <c r="F243" s="7">
        <f t="shared" si="5"/>
        <v>5712</v>
      </c>
      <c r="G243" s="7">
        <v>1</v>
      </c>
      <c r="H243" s="7">
        <v>34</v>
      </c>
      <c r="I243" s="7">
        <v>3</v>
      </c>
      <c r="J243" s="7" t="s">
        <v>14</v>
      </c>
      <c r="K243" s="7" t="s">
        <v>238</v>
      </c>
    </row>
    <row r="244" customHeight="1" spans="3:11">
      <c r="C244" s="7">
        <v>1239</v>
      </c>
      <c r="D244" s="7" t="s">
        <v>267</v>
      </c>
      <c r="E244" s="7">
        <v>1</v>
      </c>
      <c r="F244" s="7">
        <f t="shared" si="5"/>
        <v>5736</v>
      </c>
      <c r="G244" s="7">
        <v>1</v>
      </c>
      <c r="H244" s="7">
        <v>35</v>
      </c>
      <c r="I244" s="7">
        <v>3</v>
      </c>
      <c r="J244" s="7" t="s">
        <v>14</v>
      </c>
      <c r="K244" s="7" t="s">
        <v>240</v>
      </c>
    </row>
    <row r="245" customHeight="1" spans="3:11">
      <c r="C245" s="7">
        <v>1240</v>
      </c>
      <c r="D245" s="7" t="s">
        <v>268</v>
      </c>
      <c r="E245" s="4">
        <v>1</v>
      </c>
      <c r="F245" s="4">
        <f t="shared" si="5"/>
        <v>5760</v>
      </c>
      <c r="G245" s="4">
        <v>1</v>
      </c>
      <c r="H245" s="4">
        <v>7</v>
      </c>
      <c r="I245" s="4">
        <v>3</v>
      </c>
      <c r="J245" s="4" t="s">
        <v>14</v>
      </c>
      <c r="K245" s="4" t="s">
        <v>33</v>
      </c>
    </row>
    <row r="246" customHeight="1" spans="3:11">
      <c r="C246" s="7">
        <v>1241</v>
      </c>
      <c r="D246" s="7" t="s">
        <v>269</v>
      </c>
      <c r="E246" s="7">
        <v>1</v>
      </c>
      <c r="F246" s="7">
        <f t="shared" si="5"/>
        <v>5784</v>
      </c>
      <c r="G246" s="7">
        <v>1</v>
      </c>
      <c r="H246" s="7">
        <v>14</v>
      </c>
      <c r="I246" s="7">
        <v>15</v>
      </c>
      <c r="J246" s="7" t="s">
        <v>14</v>
      </c>
      <c r="K246" s="7" t="s">
        <v>15</v>
      </c>
    </row>
    <row r="247" customHeight="1" spans="3:11">
      <c r="C247" s="7">
        <v>1242</v>
      </c>
      <c r="D247" s="7" t="s">
        <v>270</v>
      </c>
      <c r="E247" s="7">
        <v>1</v>
      </c>
      <c r="F247" s="7">
        <f t="shared" si="5"/>
        <v>5808</v>
      </c>
      <c r="G247" s="7">
        <v>1</v>
      </c>
      <c r="H247" s="7">
        <v>15</v>
      </c>
      <c r="I247" s="7">
        <v>15</v>
      </c>
      <c r="J247" s="7" t="s">
        <v>14</v>
      </c>
      <c r="K247" s="7" t="s">
        <v>19</v>
      </c>
    </row>
    <row r="248" customHeight="1" spans="3:11">
      <c r="C248" s="7">
        <v>1243</v>
      </c>
      <c r="D248" s="7" t="s">
        <v>271</v>
      </c>
      <c r="E248" s="7">
        <v>1</v>
      </c>
      <c r="F248" s="7">
        <f t="shared" si="5"/>
        <v>5832</v>
      </c>
      <c r="G248" s="7">
        <v>1</v>
      </c>
      <c r="H248" s="7">
        <v>16</v>
      </c>
      <c r="I248" s="7">
        <v>15</v>
      </c>
      <c r="J248" s="7" t="s">
        <v>14</v>
      </c>
      <c r="K248" s="7" t="s">
        <v>21</v>
      </c>
    </row>
    <row r="249" customHeight="1" spans="3:11">
      <c r="C249" s="7">
        <v>1244</v>
      </c>
      <c r="D249" s="7" t="s">
        <v>272</v>
      </c>
      <c r="E249" s="7">
        <v>1</v>
      </c>
      <c r="F249" s="7">
        <f t="shared" si="5"/>
        <v>5856</v>
      </c>
      <c r="G249" s="7">
        <v>1</v>
      </c>
      <c r="H249" s="7">
        <v>9</v>
      </c>
      <c r="I249" s="7">
        <v>15</v>
      </c>
      <c r="J249" s="7" t="s">
        <v>14</v>
      </c>
      <c r="K249" s="7" t="s">
        <v>40</v>
      </c>
    </row>
    <row r="250" customHeight="1" spans="3:11">
      <c r="C250" s="7">
        <v>1245</v>
      </c>
      <c r="D250" s="7" t="s">
        <v>273</v>
      </c>
      <c r="E250" s="7">
        <v>1</v>
      </c>
      <c r="F250" s="7">
        <f t="shared" si="5"/>
        <v>5880</v>
      </c>
      <c r="G250" s="7">
        <v>1</v>
      </c>
      <c r="H250" s="7">
        <v>12</v>
      </c>
      <c r="I250" s="7">
        <v>3</v>
      </c>
      <c r="J250" s="7" t="s">
        <v>14</v>
      </c>
      <c r="K250" s="7" t="s">
        <v>62</v>
      </c>
    </row>
    <row r="251" customHeight="1" spans="3:11">
      <c r="C251" s="7">
        <v>1246</v>
      </c>
      <c r="D251" s="7" t="s">
        <v>274</v>
      </c>
      <c r="E251" s="7">
        <v>1</v>
      </c>
      <c r="F251" s="7">
        <f t="shared" si="5"/>
        <v>5904</v>
      </c>
      <c r="G251" s="7">
        <v>1</v>
      </c>
      <c r="H251" s="7">
        <v>33</v>
      </c>
      <c r="I251" s="7">
        <v>3</v>
      </c>
      <c r="J251" s="7" t="s">
        <v>14</v>
      </c>
      <c r="K251" s="7" t="s">
        <v>236</v>
      </c>
    </row>
    <row r="252" customHeight="1" spans="3:11">
      <c r="C252" s="7">
        <v>1247</v>
      </c>
      <c r="D252" s="7" t="s">
        <v>275</v>
      </c>
      <c r="E252" s="7">
        <v>1</v>
      </c>
      <c r="F252" s="7">
        <f t="shared" si="5"/>
        <v>5928</v>
      </c>
      <c r="G252" s="7">
        <v>1</v>
      </c>
      <c r="H252" s="7">
        <v>34</v>
      </c>
      <c r="I252" s="7">
        <v>3</v>
      </c>
      <c r="J252" s="7" t="s">
        <v>14</v>
      </c>
      <c r="K252" s="7" t="s">
        <v>238</v>
      </c>
    </row>
    <row r="253" customHeight="1" spans="3:11">
      <c r="C253" s="7">
        <v>1248</v>
      </c>
      <c r="D253" s="7" t="s">
        <v>276</v>
      </c>
      <c r="E253" s="7">
        <v>1</v>
      </c>
      <c r="F253" s="7">
        <f t="shared" si="5"/>
        <v>5952</v>
      </c>
      <c r="G253" s="7">
        <v>1</v>
      </c>
      <c r="H253" s="7">
        <v>35</v>
      </c>
      <c r="I253" s="7">
        <v>3</v>
      </c>
      <c r="J253" s="7" t="s">
        <v>14</v>
      </c>
      <c r="K253" s="7" t="s">
        <v>240</v>
      </c>
    </row>
    <row r="254" customHeight="1" spans="3:11">
      <c r="C254" s="7">
        <v>1249</v>
      </c>
      <c r="D254" s="7" t="s">
        <v>277</v>
      </c>
      <c r="E254" s="4">
        <v>1</v>
      </c>
      <c r="F254" s="4">
        <f t="shared" si="5"/>
        <v>5976</v>
      </c>
      <c r="G254" s="4">
        <v>1</v>
      </c>
      <c r="H254" s="4">
        <v>7</v>
      </c>
      <c r="I254" s="4">
        <v>3</v>
      </c>
      <c r="J254" s="4" t="s">
        <v>14</v>
      </c>
      <c r="K254" s="4" t="s">
        <v>33</v>
      </c>
    </row>
    <row r="255" customHeight="1" spans="3:11">
      <c r="C255" s="7">
        <v>1250</v>
      </c>
      <c r="D255" s="7" t="s">
        <v>278</v>
      </c>
      <c r="E255" s="7">
        <v>1</v>
      </c>
      <c r="F255" s="7">
        <f t="shared" si="5"/>
        <v>6000</v>
      </c>
      <c r="G255" s="7">
        <v>1</v>
      </c>
      <c r="H255" s="7">
        <v>14</v>
      </c>
      <c r="I255" s="7">
        <v>15</v>
      </c>
      <c r="J255" s="7" t="s">
        <v>14</v>
      </c>
      <c r="K255" s="7" t="s">
        <v>15</v>
      </c>
    </row>
    <row r="256" customHeight="1" spans="3:11">
      <c r="C256" s="7">
        <v>1251</v>
      </c>
      <c r="D256" s="7" t="s">
        <v>279</v>
      </c>
      <c r="E256" s="7">
        <v>1</v>
      </c>
      <c r="F256" s="7">
        <f t="shared" si="5"/>
        <v>6024</v>
      </c>
      <c r="G256" s="7">
        <v>1</v>
      </c>
      <c r="H256" s="7">
        <v>15</v>
      </c>
      <c r="I256" s="7">
        <v>15</v>
      </c>
      <c r="J256" s="7" t="s">
        <v>14</v>
      </c>
      <c r="K256" s="7" t="s">
        <v>19</v>
      </c>
    </row>
    <row r="257" customHeight="1" spans="3:11">
      <c r="C257" s="7">
        <v>1252</v>
      </c>
      <c r="D257" s="7" t="s">
        <v>280</v>
      </c>
      <c r="E257" s="7">
        <v>1</v>
      </c>
      <c r="F257" s="7">
        <f t="shared" si="5"/>
        <v>6048</v>
      </c>
      <c r="G257" s="7">
        <v>1</v>
      </c>
      <c r="H257" s="7">
        <v>16</v>
      </c>
      <c r="I257" s="7">
        <v>15</v>
      </c>
      <c r="J257" s="7" t="s">
        <v>14</v>
      </c>
      <c r="K257" s="7" t="s">
        <v>21</v>
      </c>
    </row>
    <row r="258" customHeight="1" spans="3:11">
      <c r="C258" s="7">
        <v>1253</v>
      </c>
      <c r="D258" s="7" t="s">
        <v>281</v>
      </c>
      <c r="E258" s="7">
        <v>1</v>
      </c>
      <c r="F258" s="7">
        <f t="shared" si="5"/>
        <v>6072</v>
      </c>
      <c r="G258" s="7">
        <v>1</v>
      </c>
      <c r="H258" s="7">
        <v>9</v>
      </c>
      <c r="I258" s="7">
        <v>15</v>
      </c>
      <c r="J258" s="7" t="s">
        <v>14</v>
      </c>
      <c r="K258" s="7" t="s">
        <v>40</v>
      </c>
    </row>
    <row r="259" customHeight="1" spans="3:11">
      <c r="C259" s="7">
        <v>1254</v>
      </c>
      <c r="D259" s="7" t="s">
        <v>282</v>
      </c>
      <c r="E259" s="7">
        <v>1</v>
      </c>
      <c r="F259" s="7">
        <f t="shared" si="5"/>
        <v>6096</v>
      </c>
      <c r="G259" s="7">
        <v>1</v>
      </c>
      <c r="H259" s="7">
        <v>12</v>
      </c>
      <c r="I259" s="7">
        <v>3</v>
      </c>
      <c r="J259" s="7" t="s">
        <v>14</v>
      </c>
      <c r="K259" s="7" t="s">
        <v>62</v>
      </c>
    </row>
    <row r="260" customHeight="1" spans="3:11">
      <c r="C260" s="7">
        <v>1255</v>
      </c>
      <c r="D260" s="7" t="s">
        <v>283</v>
      </c>
      <c r="E260" s="7">
        <v>1</v>
      </c>
      <c r="F260" s="7">
        <f t="shared" si="5"/>
        <v>6120</v>
      </c>
      <c r="G260" s="7">
        <v>1</v>
      </c>
      <c r="H260" s="7">
        <v>33</v>
      </c>
      <c r="I260" s="7">
        <v>3</v>
      </c>
      <c r="J260" s="7" t="s">
        <v>14</v>
      </c>
      <c r="K260" s="7" t="s">
        <v>236</v>
      </c>
    </row>
    <row r="261" customHeight="1" spans="3:11">
      <c r="C261" s="7">
        <v>1256</v>
      </c>
      <c r="D261" s="7" t="s">
        <v>284</v>
      </c>
      <c r="E261" s="7">
        <v>1</v>
      </c>
      <c r="F261" s="7">
        <f t="shared" si="5"/>
        <v>6144</v>
      </c>
      <c r="G261" s="7">
        <v>1</v>
      </c>
      <c r="H261" s="7">
        <v>34</v>
      </c>
      <c r="I261" s="7">
        <v>3</v>
      </c>
      <c r="J261" s="7" t="s">
        <v>14</v>
      </c>
      <c r="K261" s="7" t="s">
        <v>238</v>
      </c>
    </row>
    <row r="262" customHeight="1" spans="3:11">
      <c r="C262" s="7">
        <v>1257</v>
      </c>
      <c r="D262" s="7" t="s">
        <v>285</v>
      </c>
      <c r="E262" s="7">
        <v>1</v>
      </c>
      <c r="F262" s="7">
        <f t="shared" si="5"/>
        <v>6168</v>
      </c>
      <c r="G262" s="7">
        <v>1</v>
      </c>
      <c r="H262" s="7">
        <v>35</v>
      </c>
      <c r="I262" s="7">
        <v>3</v>
      </c>
      <c r="J262" s="7" t="s">
        <v>14</v>
      </c>
      <c r="K262" s="7" t="s">
        <v>240</v>
      </c>
    </row>
    <row r="263" customHeight="1" spans="3:11">
      <c r="C263" s="7">
        <v>1258</v>
      </c>
      <c r="D263" s="7" t="s">
        <v>286</v>
      </c>
      <c r="E263" s="4">
        <v>1</v>
      </c>
      <c r="F263" s="4">
        <f t="shared" si="5"/>
        <v>6192</v>
      </c>
      <c r="G263" s="4">
        <v>1</v>
      </c>
      <c r="H263" s="4">
        <v>7</v>
      </c>
      <c r="I263" s="4">
        <v>3</v>
      </c>
      <c r="J263" s="4" t="s">
        <v>14</v>
      </c>
      <c r="K263" s="4" t="s">
        <v>33</v>
      </c>
    </row>
    <row r="264" customHeight="1" spans="3:11">
      <c r="C264" s="7">
        <v>1259</v>
      </c>
      <c r="D264" s="7" t="s">
        <v>287</v>
      </c>
      <c r="E264" s="7">
        <v>1</v>
      </c>
      <c r="F264" s="7">
        <f t="shared" si="5"/>
        <v>6216</v>
      </c>
      <c r="G264" s="7">
        <v>1</v>
      </c>
      <c r="H264" s="7">
        <v>14</v>
      </c>
      <c r="I264" s="7">
        <v>15</v>
      </c>
      <c r="J264" s="7" t="s">
        <v>14</v>
      </c>
      <c r="K264" s="7" t="s">
        <v>15</v>
      </c>
    </row>
    <row r="265" customHeight="1" spans="3:11">
      <c r="C265" s="7">
        <v>1260</v>
      </c>
      <c r="D265" s="7" t="s">
        <v>288</v>
      </c>
      <c r="E265" s="7">
        <v>1</v>
      </c>
      <c r="F265" s="7">
        <f t="shared" si="5"/>
        <v>6240</v>
      </c>
      <c r="G265" s="7">
        <v>1</v>
      </c>
      <c r="H265" s="7">
        <v>15</v>
      </c>
      <c r="I265" s="7">
        <v>15</v>
      </c>
      <c r="J265" s="7" t="s">
        <v>14</v>
      </c>
      <c r="K265" s="7" t="s">
        <v>19</v>
      </c>
    </row>
    <row r="266" customHeight="1" spans="3:11">
      <c r="C266" s="7">
        <v>1261</v>
      </c>
      <c r="D266" s="7" t="s">
        <v>289</v>
      </c>
      <c r="E266" s="7">
        <v>1</v>
      </c>
      <c r="F266" s="7">
        <f t="shared" si="5"/>
        <v>6264</v>
      </c>
      <c r="G266" s="7">
        <v>1</v>
      </c>
      <c r="H266" s="7">
        <v>16</v>
      </c>
      <c r="I266" s="7">
        <v>15</v>
      </c>
      <c r="J266" s="7" t="s">
        <v>14</v>
      </c>
      <c r="K266" s="7" t="s">
        <v>21</v>
      </c>
    </row>
    <row r="267" customHeight="1" spans="3:11">
      <c r="C267" s="7">
        <v>1262</v>
      </c>
      <c r="D267" s="7" t="s">
        <v>290</v>
      </c>
      <c r="E267" s="7">
        <v>1</v>
      </c>
      <c r="F267" s="7">
        <f t="shared" si="5"/>
        <v>6288</v>
      </c>
      <c r="G267" s="7">
        <v>1</v>
      </c>
      <c r="H267" s="7">
        <v>9</v>
      </c>
      <c r="I267" s="7">
        <v>15</v>
      </c>
      <c r="J267" s="7" t="s">
        <v>14</v>
      </c>
      <c r="K267" s="7" t="s">
        <v>40</v>
      </c>
    </row>
    <row r="268" customHeight="1" spans="3:11">
      <c r="C268" s="7">
        <v>1263</v>
      </c>
      <c r="D268" s="7" t="s">
        <v>291</v>
      </c>
      <c r="E268" s="7">
        <v>1</v>
      </c>
      <c r="F268" s="7">
        <f t="shared" si="5"/>
        <v>6312</v>
      </c>
      <c r="G268" s="7">
        <v>1</v>
      </c>
      <c r="H268" s="7">
        <v>12</v>
      </c>
      <c r="I268" s="7">
        <v>3</v>
      </c>
      <c r="J268" s="7" t="s">
        <v>14</v>
      </c>
      <c r="K268" s="7" t="s">
        <v>62</v>
      </c>
    </row>
    <row r="269" customHeight="1" spans="3:11">
      <c r="C269" s="7">
        <v>1264</v>
      </c>
      <c r="D269" s="7" t="s">
        <v>292</v>
      </c>
      <c r="E269" s="7">
        <v>1</v>
      </c>
      <c r="F269" s="7">
        <f t="shared" si="5"/>
        <v>6336</v>
      </c>
      <c r="G269" s="7">
        <v>1</v>
      </c>
      <c r="H269" s="7">
        <v>33</v>
      </c>
      <c r="I269" s="7">
        <v>3</v>
      </c>
      <c r="J269" s="7" t="s">
        <v>14</v>
      </c>
      <c r="K269" s="7" t="s">
        <v>236</v>
      </c>
    </row>
    <row r="270" customHeight="1" spans="3:11">
      <c r="C270" s="7">
        <v>1265</v>
      </c>
      <c r="D270" s="7" t="s">
        <v>293</v>
      </c>
      <c r="E270" s="7">
        <v>1</v>
      </c>
      <c r="F270" s="7">
        <f t="shared" si="5"/>
        <v>6360</v>
      </c>
      <c r="G270" s="7">
        <v>1</v>
      </c>
      <c r="H270" s="7">
        <v>34</v>
      </c>
      <c r="I270" s="7">
        <v>3</v>
      </c>
      <c r="J270" s="7" t="s">
        <v>14</v>
      </c>
      <c r="K270" s="7" t="s">
        <v>238</v>
      </c>
    </row>
    <row r="271" customHeight="1" spans="3:11">
      <c r="C271" s="7">
        <v>1266</v>
      </c>
      <c r="D271" s="7" t="s">
        <v>294</v>
      </c>
      <c r="E271" s="7">
        <v>1</v>
      </c>
      <c r="F271" s="7">
        <f t="shared" si="5"/>
        <v>6384</v>
      </c>
      <c r="G271" s="7">
        <v>1</v>
      </c>
      <c r="H271" s="7">
        <v>35</v>
      </c>
      <c r="I271" s="7">
        <v>3</v>
      </c>
      <c r="J271" s="7" t="s">
        <v>14</v>
      </c>
      <c r="K271" s="7" t="s">
        <v>240</v>
      </c>
    </row>
    <row r="272" customHeight="1" spans="3:11">
      <c r="C272" s="7">
        <v>1267</v>
      </c>
      <c r="D272" s="7" t="s">
        <v>295</v>
      </c>
      <c r="E272" s="4">
        <v>1</v>
      </c>
      <c r="F272" s="4">
        <f t="shared" si="5"/>
        <v>6408</v>
      </c>
      <c r="G272" s="4">
        <v>1</v>
      </c>
      <c r="H272" s="4">
        <v>7</v>
      </c>
      <c r="I272" s="4">
        <v>3</v>
      </c>
      <c r="J272" s="4" t="s">
        <v>14</v>
      </c>
      <c r="K272" s="4" t="s">
        <v>33</v>
      </c>
    </row>
    <row r="273" customHeight="1" spans="3:11">
      <c r="C273" s="7">
        <v>1268</v>
      </c>
      <c r="D273" s="7" t="s">
        <v>296</v>
      </c>
      <c r="E273" s="7">
        <v>1</v>
      </c>
      <c r="F273" s="7">
        <f t="shared" si="5"/>
        <v>6432</v>
      </c>
      <c r="G273" s="7">
        <v>1</v>
      </c>
      <c r="H273" s="7">
        <v>14</v>
      </c>
      <c r="I273" s="7">
        <v>15</v>
      </c>
      <c r="J273" s="7" t="s">
        <v>14</v>
      </c>
      <c r="K273" s="7" t="s">
        <v>15</v>
      </c>
    </row>
    <row r="274" customHeight="1" spans="3:11">
      <c r="C274" s="7">
        <v>1269</v>
      </c>
      <c r="D274" s="7" t="s">
        <v>297</v>
      </c>
      <c r="E274" s="7">
        <v>1</v>
      </c>
      <c r="F274" s="7">
        <f t="shared" si="5"/>
        <v>6456</v>
      </c>
      <c r="G274" s="7">
        <v>1</v>
      </c>
      <c r="H274" s="7">
        <v>15</v>
      </c>
      <c r="I274" s="7">
        <v>15</v>
      </c>
      <c r="J274" s="7" t="s">
        <v>14</v>
      </c>
      <c r="K274" s="7" t="s">
        <v>19</v>
      </c>
    </row>
    <row r="275" customHeight="1" spans="3:11">
      <c r="C275" s="7">
        <v>1270</v>
      </c>
      <c r="D275" s="7" t="s">
        <v>298</v>
      </c>
      <c r="E275" s="7">
        <v>1</v>
      </c>
      <c r="F275" s="7">
        <f t="shared" si="5"/>
        <v>6480</v>
      </c>
      <c r="G275" s="7">
        <v>1</v>
      </c>
      <c r="H275" s="7">
        <v>16</v>
      </c>
      <c r="I275" s="7">
        <v>15</v>
      </c>
      <c r="J275" s="7" t="s">
        <v>14</v>
      </c>
      <c r="K275" s="7" t="s">
        <v>21</v>
      </c>
    </row>
    <row r="276" customHeight="1" spans="3:11">
      <c r="C276" s="7">
        <v>1271</v>
      </c>
      <c r="D276" s="7" t="s">
        <v>299</v>
      </c>
      <c r="E276" s="7">
        <v>1</v>
      </c>
      <c r="F276" s="7">
        <f t="shared" si="5"/>
        <v>6504</v>
      </c>
      <c r="G276" s="7">
        <v>1</v>
      </c>
      <c r="H276" s="7">
        <v>9</v>
      </c>
      <c r="I276" s="7">
        <v>15</v>
      </c>
      <c r="J276" s="7" t="s">
        <v>14</v>
      </c>
      <c r="K276" s="7" t="s">
        <v>40</v>
      </c>
    </row>
    <row r="277" customHeight="1" spans="3:11">
      <c r="C277" s="7">
        <v>1272</v>
      </c>
      <c r="D277" s="7" t="s">
        <v>300</v>
      </c>
      <c r="E277" s="7">
        <v>1</v>
      </c>
      <c r="F277" s="7">
        <f t="shared" si="5"/>
        <v>6528</v>
      </c>
      <c r="G277" s="7">
        <v>1</v>
      </c>
      <c r="H277" s="7">
        <v>12</v>
      </c>
      <c r="I277" s="7">
        <v>3</v>
      </c>
      <c r="J277" s="7" t="s">
        <v>14</v>
      </c>
      <c r="K277" s="7" t="s">
        <v>62</v>
      </c>
    </row>
    <row r="278" customHeight="1" spans="3:11">
      <c r="C278" s="7">
        <v>1273</v>
      </c>
      <c r="D278" s="7" t="s">
        <v>301</v>
      </c>
      <c r="E278" s="7">
        <v>1</v>
      </c>
      <c r="F278" s="7">
        <f t="shared" si="5"/>
        <v>6552</v>
      </c>
      <c r="G278" s="7">
        <v>1</v>
      </c>
      <c r="H278" s="7">
        <v>33</v>
      </c>
      <c r="I278" s="7">
        <v>3</v>
      </c>
      <c r="J278" s="7" t="s">
        <v>14</v>
      </c>
      <c r="K278" s="7" t="s">
        <v>236</v>
      </c>
    </row>
    <row r="279" customHeight="1" spans="3:11">
      <c r="C279" s="7">
        <v>1274</v>
      </c>
      <c r="D279" s="7" t="s">
        <v>302</v>
      </c>
      <c r="E279" s="7">
        <v>1</v>
      </c>
      <c r="F279" s="7">
        <f t="shared" si="5"/>
        <v>6576</v>
      </c>
      <c r="G279" s="7">
        <v>1</v>
      </c>
      <c r="H279" s="7">
        <v>34</v>
      </c>
      <c r="I279" s="7">
        <v>3</v>
      </c>
      <c r="J279" s="7" t="s">
        <v>14</v>
      </c>
      <c r="K279" s="7" t="s">
        <v>238</v>
      </c>
    </row>
    <row r="280" customHeight="1" spans="3:11">
      <c r="C280" s="7">
        <v>1275</v>
      </c>
      <c r="D280" s="7" t="s">
        <v>303</v>
      </c>
      <c r="E280" s="7">
        <v>1</v>
      </c>
      <c r="F280" s="7">
        <f t="shared" si="5"/>
        <v>6600</v>
      </c>
      <c r="G280" s="7">
        <v>1</v>
      </c>
      <c r="H280" s="7">
        <v>35</v>
      </c>
      <c r="I280" s="7">
        <v>3</v>
      </c>
      <c r="J280" s="7" t="s">
        <v>14</v>
      </c>
      <c r="K280" s="7" t="s">
        <v>240</v>
      </c>
    </row>
    <row r="281" customHeight="1" spans="3:11">
      <c r="C281" s="7">
        <v>1276</v>
      </c>
      <c r="D281" s="7" t="s">
        <v>304</v>
      </c>
      <c r="E281" s="4">
        <v>1</v>
      </c>
      <c r="F281" s="4">
        <f t="shared" si="5"/>
        <v>6624</v>
      </c>
      <c r="G281" s="4">
        <v>1</v>
      </c>
      <c r="H281" s="4">
        <v>7</v>
      </c>
      <c r="I281" s="4">
        <v>3</v>
      </c>
      <c r="J281" s="4" t="s">
        <v>14</v>
      </c>
      <c r="K281" s="4" t="s">
        <v>33</v>
      </c>
    </row>
    <row r="282" customHeight="1" spans="3:11">
      <c r="C282" s="7">
        <v>1277</v>
      </c>
      <c r="D282" s="7" t="s">
        <v>305</v>
      </c>
      <c r="E282" s="7">
        <v>1</v>
      </c>
      <c r="F282" s="7">
        <f t="shared" ref="F282:F345" si="6">(C282-1000)*24</f>
        <v>6648</v>
      </c>
      <c r="G282" s="7">
        <v>1</v>
      </c>
      <c r="H282" s="7">
        <v>14</v>
      </c>
      <c r="I282" s="7">
        <v>15</v>
      </c>
      <c r="J282" s="7" t="s">
        <v>14</v>
      </c>
      <c r="K282" s="7" t="s">
        <v>15</v>
      </c>
    </row>
    <row r="283" customHeight="1" spans="3:11">
      <c r="C283" s="7">
        <v>1278</v>
      </c>
      <c r="D283" s="7" t="s">
        <v>306</v>
      </c>
      <c r="E283" s="7">
        <v>1</v>
      </c>
      <c r="F283" s="7">
        <f t="shared" si="6"/>
        <v>6672</v>
      </c>
      <c r="G283" s="7">
        <v>1</v>
      </c>
      <c r="H283" s="7">
        <v>15</v>
      </c>
      <c r="I283" s="7">
        <v>15</v>
      </c>
      <c r="J283" s="7" t="s">
        <v>14</v>
      </c>
      <c r="K283" s="7" t="s">
        <v>19</v>
      </c>
    </row>
    <row r="284" customHeight="1" spans="3:11">
      <c r="C284" s="7">
        <v>1279</v>
      </c>
      <c r="D284" s="7" t="s">
        <v>307</v>
      </c>
      <c r="E284" s="7">
        <v>1</v>
      </c>
      <c r="F284" s="7">
        <f t="shared" si="6"/>
        <v>6696</v>
      </c>
      <c r="G284" s="7">
        <v>1</v>
      </c>
      <c r="H284" s="7">
        <v>16</v>
      </c>
      <c r="I284" s="7">
        <v>15</v>
      </c>
      <c r="J284" s="7" t="s">
        <v>14</v>
      </c>
      <c r="K284" s="7" t="s">
        <v>21</v>
      </c>
    </row>
    <row r="285" customHeight="1" spans="3:11">
      <c r="C285" s="7">
        <v>1280</v>
      </c>
      <c r="D285" s="7" t="s">
        <v>308</v>
      </c>
      <c r="E285" s="7">
        <v>1</v>
      </c>
      <c r="F285" s="7">
        <f t="shared" si="6"/>
        <v>6720</v>
      </c>
      <c r="G285" s="7">
        <v>1</v>
      </c>
      <c r="H285" s="7">
        <v>9</v>
      </c>
      <c r="I285" s="7">
        <v>15</v>
      </c>
      <c r="J285" s="7" t="s">
        <v>14</v>
      </c>
      <c r="K285" s="7" t="s">
        <v>40</v>
      </c>
    </row>
    <row r="286" customHeight="1" spans="3:11">
      <c r="C286" s="7">
        <v>1281</v>
      </c>
      <c r="D286" s="7" t="s">
        <v>309</v>
      </c>
      <c r="E286" s="7">
        <v>1</v>
      </c>
      <c r="F286" s="7">
        <f t="shared" si="6"/>
        <v>6744</v>
      </c>
      <c r="G286" s="7">
        <v>1</v>
      </c>
      <c r="H286" s="7">
        <v>12</v>
      </c>
      <c r="I286" s="7">
        <v>3</v>
      </c>
      <c r="J286" s="7" t="s">
        <v>14</v>
      </c>
      <c r="K286" s="7" t="s">
        <v>62</v>
      </c>
    </row>
    <row r="287" customHeight="1" spans="3:11">
      <c r="C287" s="7">
        <v>1282</v>
      </c>
      <c r="D287" s="7" t="s">
        <v>310</v>
      </c>
      <c r="E287" s="7">
        <v>1</v>
      </c>
      <c r="F287" s="7">
        <f t="shared" si="6"/>
        <v>6768</v>
      </c>
      <c r="G287" s="7">
        <v>1</v>
      </c>
      <c r="H287" s="7">
        <v>33</v>
      </c>
      <c r="I287" s="7">
        <v>3</v>
      </c>
      <c r="J287" s="7" t="s">
        <v>14</v>
      </c>
      <c r="K287" s="7" t="s">
        <v>236</v>
      </c>
    </row>
    <row r="288" customHeight="1" spans="3:11">
      <c r="C288" s="7">
        <v>1283</v>
      </c>
      <c r="D288" s="7" t="s">
        <v>311</v>
      </c>
      <c r="E288" s="7">
        <v>1</v>
      </c>
      <c r="F288" s="7">
        <f t="shared" si="6"/>
        <v>6792</v>
      </c>
      <c r="G288" s="7">
        <v>1</v>
      </c>
      <c r="H288" s="7">
        <v>34</v>
      </c>
      <c r="I288" s="7">
        <v>3</v>
      </c>
      <c r="J288" s="7" t="s">
        <v>14</v>
      </c>
      <c r="K288" s="7" t="s">
        <v>238</v>
      </c>
    </row>
    <row r="289" customHeight="1" spans="3:11">
      <c r="C289" s="7">
        <v>1284</v>
      </c>
      <c r="D289" s="7" t="s">
        <v>312</v>
      </c>
      <c r="E289" s="7">
        <v>1</v>
      </c>
      <c r="F289" s="7">
        <f t="shared" si="6"/>
        <v>6816</v>
      </c>
      <c r="G289" s="7">
        <v>1</v>
      </c>
      <c r="H289" s="7">
        <v>35</v>
      </c>
      <c r="I289" s="7">
        <v>3</v>
      </c>
      <c r="J289" s="7" t="s">
        <v>14</v>
      </c>
      <c r="K289" s="7" t="s">
        <v>240</v>
      </c>
    </row>
    <row r="290" customHeight="1" spans="3:11">
      <c r="C290" s="7">
        <v>1285</v>
      </c>
      <c r="D290" s="7" t="s">
        <v>313</v>
      </c>
      <c r="E290" s="4">
        <v>1</v>
      </c>
      <c r="F290" s="4">
        <f t="shared" si="6"/>
        <v>6840</v>
      </c>
      <c r="G290" s="4">
        <v>1</v>
      </c>
      <c r="H290" s="4">
        <v>7</v>
      </c>
      <c r="I290" s="4">
        <v>3</v>
      </c>
      <c r="J290" s="4" t="s">
        <v>14</v>
      </c>
      <c r="K290" s="4" t="s">
        <v>33</v>
      </c>
    </row>
    <row r="291" customHeight="1" spans="3:11">
      <c r="C291" s="7">
        <v>1286</v>
      </c>
      <c r="D291" s="7" t="s">
        <v>314</v>
      </c>
      <c r="E291" s="7">
        <v>1</v>
      </c>
      <c r="F291" s="7">
        <f t="shared" si="6"/>
        <v>6864</v>
      </c>
      <c r="G291" s="7">
        <v>1</v>
      </c>
      <c r="H291" s="7">
        <v>14</v>
      </c>
      <c r="I291" s="7">
        <v>15</v>
      </c>
      <c r="J291" s="7" t="s">
        <v>14</v>
      </c>
      <c r="K291" s="7" t="s">
        <v>15</v>
      </c>
    </row>
    <row r="292" customHeight="1" spans="3:11">
      <c r="C292" s="7">
        <v>1287</v>
      </c>
      <c r="D292" s="7" t="s">
        <v>315</v>
      </c>
      <c r="E292" s="7">
        <v>1</v>
      </c>
      <c r="F292" s="7">
        <f t="shared" si="6"/>
        <v>6888</v>
      </c>
      <c r="G292" s="7">
        <v>1</v>
      </c>
      <c r="H292" s="7">
        <v>15</v>
      </c>
      <c r="I292" s="7">
        <v>15</v>
      </c>
      <c r="J292" s="7" t="s">
        <v>14</v>
      </c>
      <c r="K292" s="7" t="s">
        <v>19</v>
      </c>
    </row>
    <row r="293" customHeight="1" spans="3:11">
      <c r="C293" s="7">
        <v>1288</v>
      </c>
      <c r="D293" s="7" t="s">
        <v>316</v>
      </c>
      <c r="E293" s="7">
        <v>1</v>
      </c>
      <c r="F293" s="7">
        <f t="shared" si="6"/>
        <v>6912</v>
      </c>
      <c r="G293" s="7">
        <v>1</v>
      </c>
      <c r="H293" s="7">
        <v>16</v>
      </c>
      <c r="I293" s="7">
        <v>15</v>
      </c>
      <c r="J293" s="7" t="s">
        <v>14</v>
      </c>
      <c r="K293" s="7" t="s">
        <v>21</v>
      </c>
    </row>
    <row r="294" customHeight="1" spans="3:11">
      <c r="C294" s="7">
        <v>1289</v>
      </c>
      <c r="D294" s="7" t="s">
        <v>317</v>
      </c>
      <c r="E294" s="7">
        <v>1</v>
      </c>
      <c r="F294" s="7">
        <f t="shared" si="6"/>
        <v>6936</v>
      </c>
      <c r="G294" s="7">
        <v>1</v>
      </c>
      <c r="H294" s="7">
        <v>9</v>
      </c>
      <c r="I294" s="7">
        <v>15</v>
      </c>
      <c r="J294" s="7" t="s">
        <v>14</v>
      </c>
      <c r="K294" s="7" t="s">
        <v>40</v>
      </c>
    </row>
    <row r="295" customHeight="1" spans="3:11">
      <c r="C295" s="7">
        <v>1290</v>
      </c>
      <c r="D295" s="7" t="s">
        <v>318</v>
      </c>
      <c r="E295" s="7">
        <v>1</v>
      </c>
      <c r="F295" s="7">
        <f t="shared" si="6"/>
        <v>6960</v>
      </c>
      <c r="G295" s="7">
        <v>1</v>
      </c>
      <c r="H295" s="7">
        <v>12</v>
      </c>
      <c r="I295" s="7">
        <v>3</v>
      </c>
      <c r="J295" s="7" t="s">
        <v>14</v>
      </c>
      <c r="K295" s="7" t="s">
        <v>62</v>
      </c>
    </row>
    <row r="296" customHeight="1" spans="3:11">
      <c r="C296" s="7">
        <v>1291</v>
      </c>
      <c r="D296" s="7" t="s">
        <v>319</v>
      </c>
      <c r="E296" s="7">
        <v>1</v>
      </c>
      <c r="F296" s="7">
        <f t="shared" si="6"/>
        <v>6984</v>
      </c>
      <c r="G296" s="7">
        <v>1</v>
      </c>
      <c r="H296" s="7">
        <v>33</v>
      </c>
      <c r="I296" s="7">
        <v>3</v>
      </c>
      <c r="J296" s="7" t="s">
        <v>14</v>
      </c>
      <c r="K296" s="7" t="s">
        <v>236</v>
      </c>
    </row>
    <row r="297" customHeight="1" spans="3:11">
      <c r="C297" s="7">
        <v>1292</v>
      </c>
      <c r="D297" s="7" t="s">
        <v>320</v>
      </c>
      <c r="E297" s="7">
        <v>1</v>
      </c>
      <c r="F297" s="7">
        <f t="shared" si="6"/>
        <v>7008</v>
      </c>
      <c r="G297" s="7">
        <v>1</v>
      </c>
      <c r="H297" s="7">
        <v>34</v>
      </c>
      <c r="I297" s="7">
        <v>3</v>
      </c>
      <c r="J297" s="7" t="s">
        <v>14</v>
      </c>
      <c r="K297" s="7" t="s">
        <v>238</v>
      </c>
    </row>
    <row r="298" customHeight="1" spans="3:11">
      <c r="C298" s="7">
        <v>1293</v>
      </c>
      <c r="D298" s="7" t="s">
        <v>321</v>
      </c>
      <c r="E298" s="7">
        <v>1</v>
      </c>
      <c r="F298" s="7">
        <f t="shared" si="6"/>
        <v>7032</v>
      </c>
      <c r="G298" s="7">
        <v>1</v>
      </c>
      <c r="H298" s="7">
        <v>35</v>
      </c>
      <c r="I298" s="7">
        <v>3</v>
      </c>
      <c r="J298" s="7" t="s">
        <v>14</v>
      </c>
      <c r="K298" s="7" t="s">
        <v>240</v>
      </c>
    </row>
    <row r="299" customHeight="1" spans="3:11">
      <c r="C299" s="7">
        <v>1294</v>
      </c>
      <c r="D299" s="7" t="s">
        <v>322</v>
      </c>
      <c r="E299" s="4">
        <v>1</v>
      </c>
      <c r="F299" s="4">
        <f t="shared" si="6"/>
        <v>7056</v>
      </c>
      <c r="G299" s="4">
        <v>1</v>
      </c>
      <c r="H299" s="4">
        <v>7</v>
      </c>
      <c r="I299" s="4">
        <v>3</v>
      </c>
      <c r="J299" s="4" t="s">
        <v>14</v>
      </c>
      <c r="K299" s="4" t="s">
        <v>33</v>
      </c>
    </row>
    <row r="300" customHeight="1" spans="3:11">
      <c r="C300" s="7">
        <v>1295</v>
      </c>
      <c r="D300" s="7" t="s">
        <v>323</v>
      </c>
      <c r="E300" s="7">
        <v>1</v>
      </c>
      <c r="F300" s="7">
        <f t="shared" si="6"/>
        <v>7080</v>
      </c>
      <c r="G300" s="7">
        <v>1</v>
      </c>
      <c r="H300" s="7">
        <v>14</v>
      </c>
      <c r="I300" s="7">
        <v>20</v>
      </c>
      <c r="J300" s="7" t="s">
        <v>14</v>
      </c>
      <c r="K300" s="7" t="s">
        <v>15</v>
      </c>
    </row>
    <row r="301" customHeight="1" spans="3:11">
      <c r="C301" s="7">
        <v>1296</v>
      </c>
      <c r="D301" s="7" t="s">
        <v>324</v>
      </c>
      <c r="E301" s="7">
        <v>1</v>
      </c>
      <c r="F301" s="7">
        <f t="shared" si="6"/>
        <v>7104</v>
      </c>
      <c r="G301" s="7">
        <v>1</v>
      </c>
      <c r="H301" s="7">
        <v>15</v>
      </c>
      <c r="I301" s="7">
        <v>20</v>
      </c>
      <c r="J301" s="7" t="s">
        <v>14</v>
      </c>
      <c r="K301" s="7" t="s">
        <v>19</v>
      </c>
    </row>
    <row r="302" customHeight="1" spans="3:11">
      <c r="C302" s="7">
        <v>1297</v>
      </c>
      <c r="D302" s="7" t="s">
        <v>325</v>
      </c>
      <c r="E302" s="7">
        <v>1</v>
      </c>
      <c r="F302" s="7">
        <f t="shared" si="6"/>
        <v>7128</v>
      </c>
      <c r="G302" s="7">
        <v>1</v>
      </c>
      <c r="H302" s="7">
        <v>16</v>
      </c>
      <c r="I302" s="7">
        <v>20</v>
      </c>
      <c r="J302" s="7" t="s">
        <v>14</v>
      </c>
      <c r="K302" s="7" t="s">
        <v>21</v>
      </c>
    </row>
    <row r="303" customHeight="1" spans="3:11">
      <c r="C303" s="7">
        <v>1298</v>
      </c>
      <c r="D303" s="7" t="s">
        <v>326</v>
      </c>
      <c r="E303" s="7">
        <v>1</v>
      </c>
      <c r="F303" s="7">
        <f t="shared" si="6"/>
        <v>7152</v>
      </c>
      <c r="G303" s="7">
        <v>1</v>
      </c>
      <c r="H303" s="7">
        <v>9</v>
      </c>
      <c r="I303" s="7">
        <v>20</v>
      </c>
      <c r="J303" s="7" t="s">
        <v>14</v>
      </c>
      <c r="K303" s="7" t="s">
        <v>40</v>
      </c>
    </row>
    <row r="304" customHeight="1" spans="3:11">
      <c r="C304" s="7">
        <v>1299</v>
      </c>
      <c r="D304" s="7" t="s">
        <v>327</v>
      </c>
      <c r="E304" s="7">
        <v>1</v>
      </c>
      <c r="F304" s="7">
        <f t="shared" si="6"/>
        <v>7176</v>
      </c>
      <c r="G304" s="7">
        <v>1</v>
      </c>
      <c r="H304" s="7">
        <v>12</v>
      </c>
      <c r="I304" s="7">
        <v>4</v>
      </c>
      <c r="J304" s="7" t="s">
        <v>14</v>
      </c>
      <c r="K304" s="7" t="s">
        <v>62</v>
      </c>
    </row>
    <row r="305" customHeight="1" spans="3:11">
      <c r="C305" s="7">
        <v>1300</v>
      </c>
      <c r="D305" s="7" t="s">
        <v>328</v>
      </c>
      <c r="E305" s="7">
        <v>1</v>
      </c>
      <c r="F305" s="7">
        <f t="shared" si="6"/>
        <v>7200</v>
      </c>
      <c r="G305" s="7">
        <v>1</v>
      </c>
      <c r="H305" s="7">
        <v>33</v>
      </c>
      <c r="I305" s="7">
        <v>4</v>
      </c>
      <c r="J305" s="7" t="s">
        <v>14</v>
      </c>
      <c r="K305" s="7" t="s">
        <v>236</v>
      </c>
    </row>
    <row r="306" customHeight="1" spans="3:11">
      <c r="C306" s="7">
        <v>1301</v>
      </c>
      <c r="D306" s="7" t="s">
        <v>329</v>
      </c>
      <c r="E306" s="7">
        <v>1</v>
      </c>
      <c r="F306" s="7">
        <f t="shared" si="6"/>
        <v>7224</v>
      </c>
      <c r="G306" s="7">
        <v>1</v>
      </c>
      <c r="H306" s="7">
        <v>34</v>
      </c>
      <c r="I306" s="7">
        <v>4</v>
      </c>
      <c r="J306" s="7" t="s">
        <v>14</v>
      </c>
      <c r="K306" s="7" t="s">
        <v>238</v>
      </c>
    </row>
    <row r="307" customHeight="1" spans="3:11">
      <c r="C307" s="7">
        <v>1302</v>
      </c>
      <c r="D307" s="7" t="s">
        <v>330</v>
      </c>
      <c r="E307" s="7">
        <v>1</v>
      </c>
      <c r="F307" s="7">
        <f t="shared" si="6"/>
        <v>7248</v>
      </c>
      <c r="G307" s="7">
        <v>1</v>
      </c>
      <c r="H307" s="7">
        <v>35</v>
      </c>
      <c r="I307" s="7">
        <v>4</v>
      </c>
      <c r="J307" s="7" t="s">
        <v>14</v>
      </c>
      <c r="K307" s="7" t="s">
        <v>240</v>
      </c>
    </row>
    <row r="308" customHeight="1" spans="3:11">
      <c r="C308" s="7">
        <v>1303</v>
      </c>
      <c r="D308" s="7" t="s">
        <v>331</v>
      </c>
      <c r="E308" s="4">
        <v>1</v>
      </c>
      <c r="F308" s="4">
        <f t="shared" si="6"/>
        <v>7272</v>
      </c>
      <c r="G308" s="4">
        <v>1</v>
      </c>
      <c r="H308" s="4">
        <v>7</v>
      </c>
      <c r="I308" s="4">
        <v>4</v>
      </c>
      <c r="J308" s="4" t="s">
        <v>14</v>
      </c>
      <c r="K308" s="4" t="s">
        <v>33</v>
      </c>
    </row>
    <row r="309" customHeight="1" spans="3:11">
      <c r="C309" s="7">
        <v>1304</v>
      </c>
      <c r="D309" s="7" t="s">
        <v>332</v>
      </c>
      <c r="E309" s="7">
        <v>1</v>
      </c>
      <c r="F309" s="7">
        <f t="shared" si="6"/>
        <v>7296</v>
      </c>
      <c r="G309" s="7">
        <v>1</v>
      </c>
      <c r="H309" s="7">
        <v>14</v>
      </c>
      <c r="I309" s="7">
        <v>20</v>
      </c>
      <c r="J309" s="7" t="s">
        <v>14</v>
      </c>
      <c r="K309" s="7" t="s">
        <v>15</v>
      </c>
    </row>
    <row r="310" customHeight="1" spans="3:11">
      <c r="C310" s="7">
        <v>1305</v>
      </c>
      <c r="D310" s="7" t="s">
        <v>333</v>
      </c>
      <c r="E310" s="7">
        <v>1</v>
      </c>
      <c r="F310" s="7">
        <f t="shared" si="6"/>
        <v>7320</v>
      </c>
      <c r="G310" s="7">
        <v>1</v>
      </c>
      <c r="H310" s="7">
        <v>15</v>
      </c>
      <c r="I310" s="7">
        <v>20</v>
      </c>
      <c r="J310" s="7" t="s">
        <v>14</v>
      </c>
      <c r="K310" s="7" t="s">
        <v>19</v>
      </c>
    </row>
    <row r="311" customHeight="1" spans="3:11">
      <c r="C311" s="7">
        <v>1306</v>
      </c>
      <c r="D311" s="7" t="s">
        <v>334</v>
      </c>
      <c r="E311" s="7">
        <v>1</v>
      </c>
      <c r="F311" s="7">
        <f t="shared" si="6"/>
        <v>7344</v>
      </c>
      <c r="G311" s="7">
        <v>1</v>
      </c>
      <c r="H311" s="7">
        <v>16</v>
      </c>
      <c r="I311" s="7">
        <v>20</v>
      </c>
      <c r="J311" s="7" t="s">
        <v>14</v>
      </c>
      <c r="K311" s="7" t="s">
        <v>21</v>
      </c>
    </row>
    <row r="312" customHeight="1" spans="3:11">
      <c r="C312" s="7">
        <v>1307</v>
      </c>
      <c r="D312" s="7" t="s">
        <v>335</v>
      </c>
      <c r="E312" s="7">
        <v>1</v>
      </c>
      <c r="F312" s="7">
        <f t="shared" si="6"/>
        <v>7368</v>
      </c>
      <c r="G312" s="7">
        <v>1</v>
      </c>
      <c r="H312" s="7">
        <v>9</v>
      </c>
      <c r="I312" s="7">
        <v>20</v>
      </c>
      <c r="J312" s="7" t="s">
        <v>14</v>
      </c>
      <c r="K312" s="7" t="s">
        <v>40</v>
      </c>
    </row>
    <row r="313" customHeight="1" spans="3:11">
      <c r="C313" s="7">
        <v>1308</v>
      </c>
      <c r="D313" s="7" t="s">
        <v>336</v>
      </c>
      <c r="E313" s="7">
        <v>1</v>
      </c>
      <c r="F313" s="7">
        <f t="shared" si="6"/>
        <v>7392</v>
      </c>
      <c r="G313" s="7">
        <v>1</v>
      </c>
      <c r="H313" s="7">
        <v>12</v>
      </c>
      <c r="I313" s="7">
        <v>4</v>
      </c>
      <c r="J313" s="7" t="s">
        <v>14</v>
      </c>
      <c r="K313" s="7" t="s">
        <v>62</v>
      </c>
    </row>
    <row r="314" customHeight="1" spans="3:11">
      <c r="C314" s="7">
        <v>1309</v>
      </c>
      <c r="D314" s="7" t="s">
        <v>337</v>
      </c>
      <c r="E314" s="7">
        <v>1</v>
      </c>
      <c r="F314" s="7">
        <f t="shared" si="6"/>
        <v>7416</v>
      </c>
      <c r="G314" s="7">
        <v>1</v>
      </c>
      <c r="H314" s="7">
        <v>33</v>
      </c>
      <c r="I314" s="7">
        <v>4</v>
      </c>
      <c r="J314" s="7" t="s">
        <v>14</v>
      </c>
      <c r="K314" s="7" t="s">
        <v>236</v>
      </c>
    </row>
    <row r="315" customHeight="1" spans="3:11">
      <c r="C315" s="7">
        <v>1310</v>
      </c>
      <c r="D315" s="7" t="s">
        <v>338</v>
      </c>
      <c r="E315" s="7">
        <v>1</v>
      </c>
      <c r="F315" s="7">
        <f t="shared" si="6"/>
        <v>7440</v>
      </c>
      <c r="G315" s="7">
        <v>1</v>
      </c>
      <c r="H315" s="7">
        <v>34</v>
      </c>
      <c r="I315" s="7">
        <v>4</v>
      </c>
      <c r="J315" s="7" t="s">
        <v>14</v>
      </c>
      <c r="K315" s="7" t="s">
        <v>238</v>
      </c>
    </row>
    <row r="316" customHeight="1" spans="3:11">
      <c r="C316" s="7">
        <v>1311</v>
      </c>
      <c r="D316" s="7" t="s">
        <v>339</v>
      </c>
      <c r="E316" s="7">
        <v>1</v>
      </c>
      <c r="F316" s="7">
        <f t="shared" si="6"/>
        <v>7464</v>
      </c>
      <c r="G316" s="7">
        <v>1</v>
      </c>
      <c r="H316" s="7">
        <v>35</v>
      </c>
      <c r="I316" s="7">
        <v>4</v>
      </c>
      <c r="J316" s="7" t="s">
        <v>14</v>
      </c>
      <c r="K316" s="7" t="s">
        <v>240</v>
      </c>
    </row>
    <row r="317" customHeight="1" spans="3:11">
      <c r="C317" s="7">
        <v>1312</v>
      </c>
      <c r="D317" s="7" t="s">
        <v>340</v>
      </c>
      <c r="E317" s="4">
        <v>1</v>
      </c>
      <c r="F317" s="4">
        <f t="shared" si="6"/>
        <v>7488</v>
      </c>
      <c r="G317" s="4">
        <v>1</v>
      </c>
      <c r="H317" s="4">
        <v>7</v>
      </c>
      <c r="I317" s="4">
        <v>4</v>
      </c>
      <c r="J317" s="4" t="s">
        <v>14</v>
      </c>
      <c r="K317" s="4" t="s">
        <v>33</v>
      </c>
    </row>
    <row r="318" customHeight="1" spans="3:11">
      <c r="C318" s="7">
        <v>1313</v>
      </c>
      <c r="D318" s="7" t="s">
        <v>341</v>
      </c>
      <c r="E318" s="7">
        <v>1</v>
      </c>
      <c r="F318" s="7">
        <f t="shared" si="6"/>
        <v>7512</v>
      </c>
      <c r="G318" s="7">
        <v>1</v>
      </c>
      <c r="H318" s="7">
        <v>14</v>
      </c>
      <c r="I318" s="7">
        <v>20</v>
      </c>
      <c r="J318" s="7" t="s">
        <v>14</v>
      </c>
      <c r="K318" s="7" t="s">
        <v>15</v>
      </c>
    </row>
    <row r="319" customHeight="1" spans="3:11">
      <c r="C319" s="7">
        <v>1314</v>
      </c>
      <c r="D319" s="7" t="s">
        <v>342</v>
      </c>
      <c r="E319" s="7">
        <v>1</v>
      </c>
      <c r="F319" s="7">
        <f t="shared" si="6"/>
        <v>7536</v>
      </c>
      <c r="G319" s="7">
        <v>1</v>
      </c>
      <c r="H319" s="7">
        <v>15</v>
      </c>
      <c r="I319" s="7">
        <v>20</v>
      </c>
      <c r="J319" s="7" t="s">
        <v>14</v>
      </c>
      <c r="K319" s="7" t="s">
        <v>19</v>
      </c>
    </row>
    <row r="320" customHeight="1" spans="3:11">
      <c r="C320" s="7">
        <v>1315</v>
      </c>
      <c r="D320" s="7" t="s">
        <v>343</v>
      </c>
      <c r="E320" s="7">
        <v>1</v>
      </c>
      <c r="F320" s="7">
        <f t="shared" si="6"/>
        <v>7560</v>
      </c>
      <c r="G320" s="7">
        <v>1</v>
      </c>
      <c r="H320" s="7">
        <v>16</v>
      </c>
      <c r="I320" s="7">
        <v>20</v>
      </c>
      <c r="J320" s="7" t="s">
        <v>14</v>
      </c>
      <c r="K320" s="7" t="s">
        <v>21</v>
      </c>
    </row>
    <row r="321" customHeight="1" spans="3:11">
      <c r="C321" s="7">
        <v>1316</v>
      </c>
      <c r="D321" s="7" t="s">
        <v>344</v>
      </c>
      <c r="E321" s="7">
        <v>1</v>
      </c>
      <c r="F321" s="7">
        <f t="shared" si="6"/>
        <v>7584</v>
      </c>
      <c r="G321" s="7">
        <v>1</v>
      </c>
      <c r="H321" s="7">
        <v>9</v>
      </c>
      <c r="I321" s="7">
        <v>20</v>
      </c>
      <c r="J321" s="7" t="s">
        <v>14</v>
      </c>
      <c r="K321" s="7" t="s">
        <v>40</v>
      </c>
    </row>
    <row r="322" customHeight="1" spans="3:11">
      <c r="C322" s="7">
        <v>1317</v>
      </c>
      <c r="D322" s="7" t="s">
        <v>345</v>
      </c>
      <c r="E322" s="7">
        <v>1</v>
      </c>
      <c r="F322" s="7">
        <f t="shared" si="6"/>
        <v>7608</v>
      </c>
      <c r="G322" s="7">
        <v>1</v>
      </c>
      <c r="H322" s="7">
        <v>12</v>
      </c>
      <c r="I322" s="7">
        <v>4</v>
      </c>
      <c r="J322" s="7" t="s">
        <v>14</v>
      </c>
      <c r="K322" s="7" t="s">
        <v>62</v>
      </c>
    </row>
    <row r="323" customHeight="1" spans="3:11">
      <c r="C323" s="7">
        <v>1318</v>
      </c>
      <c r="D323" s="7" t="s">
        <v>346</v>
      </c>
      <c r="E323" s="7">
        <v>1</v>
      </c>
      <c r="F323" s="7">
        <f t="shared" si="6"/>
        <v>7632</v>
      </c>
      <c r="G323" s="7">
        <v>1</v>
      </c>
      <c r="H323" s="7">
        <v>33</v>
      </c>
      <c r="I323" s="7">
        <v>4</v>
      </c>
      <c r="J323" s="7" t="s">
        <v>14</v>
      </c>
      <c r="K323" s="7" t="s">
        <v>236</v>
      </c>
    </row>
    <row r="324" customHeight="1" spans="3:11">
      <c r="C324" s="7">
        <v>1319</v>
      </c>
      <c r="D324" s="7" t="s">
        <v>347</v>
      </c>
      <c r="E324" s="7">
        <v>1</v>
      </c>
      <c r="F324" s="7">
        <f t="shared" si="6"/>
        <v>7656</v>
      </c>
      <c r="G324" s="7">
        <v>1</v>
      </c>
      <c r="H324" s="7">
        <v>34</v>
      </c>
      <c r="I324" s="7">
        <v>4</v>
      </c>
      <c r="J324" s="7" t="s">
        <v>14</v>
      </c>
      <c r="K324" s="7" t="s">
        <v>238</v>
      </c>
    </row>
    <row r="325" customHeight="1" spans="3:11">
      <c r="C325" s="7">
        <v>1320</v>
      </c>
      <c r="D325" s="7" t="s">
        <v>348</v>
      </c>
      <c r="E325" s="7">
        <v>1</v>
      </c>
      <c r="F325" s="7">
        <f t="shared" si="6"/>
        <v>7680</v>
      </c>
      <c r="G325" s="7">
        <v>1</v>
      </c>
      <c r="H325" s="7">
        <v>35</v>
      </c>
      <c r="I325" s="7">
        <v>4</v>
      </c>
      <c r="J325" s="7" t="s">
        <v>14</v>
      </c>
      <c r="K325" s="7" t="s">
        <v>240</v>
      </c>
    </row>
    <row r="326" customHeight="1" spans="3:11">
      <c r="C326" s="7">
        <v>1321</v>
      </c>
      <c r="D326" s="7" t="s">
        <v>349</v>
      </c>
      <c r="E326" s="4">
        <v>1</v>
      </c>
      <c r="F326" s="4">
        <f t="shared" si="6"/>
        <v>7704</v>
      </c>
      <c r="G326" s="4">
        <v>1</v>
      </c>
      <c r="H326" s="4">
        <v>7</v>
      </c>
      <c r="I326" s="4">
        <v>4</v>
      </c>
      <c r="J326" s="4" t="s">
        <v>14</v>
      </c>
      <c r="K326" s="4" t="s">
        <v>33</v>
      </c>
    </row>
    <row r="327" customHeight="1" spans="3:11">
      <c r="C327" s="7">
        <v>1322</v>
      </c>
      <c r="D327" s="7" t="s">
        <v>350</v>
      </c>
      <c r="E327" s="7">
        <v>1</v>
      </c>
      <c r="F327" s="7">
        <f t="shared" si="6"/>
        <v>7728</v>
      </c>
      <c r="G327" s="7">
        <v>1</v>
      </c>
      <c r="H327" s="7">
        <v>14</v>
      </c>
      <c r="I327" s="7">
        <v>30</v>
      </c>
      <c r="J327" s="7" t="s">
        <v>14</v>
      </c>
      <c r="K327" s="7" t="s">
        <v>15</v>
      </c>
    </row>
    <row r="328" customHeight="1" spans="3:11">
      <c r="C328" s="7">
        <v>1323</v>
      </c>
      <c r="D328" s="7" t="s">
        <v>351</v>
      </c>
      <c r="E328" s="7">
        <v>1</v>
      </c>
      <c r="F328" s="7">
        <f t="shared" si="6"/>
        <v>7752</v>
      </c>
      <c r="G328" s="7">
        <v>1</v>
      </c>
      <c r="H328" s="7">
        <v>15</v>
      </c>
      <c r="I328" s="7">
        <v>30</v>
      </c>
      <c r="J328" s="7" t="s">
        <v>14</v>
      </c>
      <c r="K328" s="7" t="s">
        <v>19</v>
      </c>
    </row>
    <row r="329" customHeight="1" spans="3:11">
      <c r="C329" s="7">
        <v>1324</v>
      </c>
      <c r="D329" s="7" t="s">
        <v>352</v>
      </c>
      <c r="E329" s="7">
        <v>1</v>
      </c>
      <c r="F329" s="7">
        <f t="shared" si="6"/>
        <v>7776</v>
      </c>
      <c r="G329" s="7">
        <v>1</v>
      </c>
      <c r="H329" s="7">
        <v>16</v>
      </c>
      <c r="I329" s="7">
        <v>30</v>
      </c>
      <c r="J329" s="7" t="s">
        <v>14</v>
      </c>
      <c r="K329" s="7" t="s">
        <v>21</v>
      </c>
    </row>
    <row r="330" customHeight="1" spans="3:11">
      <c r="C330" s="7">
        <v>1325</v>
      </c>
      <c r="D330" s="7" t="s">
        <v>353</v>
      </c>
      <c r="E330" s="7">
        <v>1</v>
      </c>
      <c r="F330" s="7">
        <f t="shared" si="6"/>
        <v>7800</v>
      </c>
      <c r="G330" s="7">
        <v>1</v>
      </c>
      <c r="H330" s="7">
        <v>9</v>
      </c>
      <c r="I330" s="7">
        <v>30</v>
      </c>
      <c r="J330" s="7" t="s">
        <v>14</v>
      </c>
      <c r="K330" s="7" t="s">
        <v>40</v>
      </c>
    </row>
    <row r="331" customHeight="1" spans="3:11">
      <c r="C331" s="7">
        <v>1326</v>
      </c>
      <c r="D331" s="7" t="s">
        <v>354</v>
      </c>
      <c r="E331" s="7">
        <v>1</v>
      </c>
      <c r="F331" s="7">
        <f t="shared" si="6"/>
        <v>7824</v>
      </c>
      <c r="G331" s="7">
        <v>1</v>
      </c>
      <c r="H331" s="7">
        <v>12</v>
      </c>
      <c r="I331" s="7">
        <v>5</v>
      </c>
      <c r="J331" s="7" t="s">
        <v>14</v>
      </c>
      <c r="K331" s="7" t="s">
        <v>62</v>
      </c>
    </row>
    <row r="332" customHeight="1" spans="3:11">
      <c r="C332" s="7">
        <v>1327</v>
      </c>
      <c r="D332" s="7" t="s">
        <v>355</v>
      </c>
      <c r="E332" s="7">
        <v>1</v>
      </c>
      <c r="F332" s="7">
        <f t="shared" si="6"/>
        <v>7848</v>
      </c>
      <c r="G332" s="7">
        <v>1</v>
      </c>
      <c r="H332" s="7">
        <v>33</v>
      </c>
      <c r="I332" s="7">
        <v>5</v>
      </c>
      <c r="J332" s="7" t="s">
        <v>14</v>
      </c>
      <c r="K332" s="7" t="s">
        <v>236</v>
      </c>
    </row>
    <row r="333" customHeight="1" spans="3:11">
      <c r="C333" s="7">
        <v>1328</v>
      </c>
      <c r="D333" s="7" t="s">
        <v>356</v>
      </c>
      <c r="E333" s="7">
        <v>1</v>
      </c>
      <c r="F333" s="7">
        <f t="shared" si="6"/>
        <v>7872</v>
      </c>
      <c r="G333" s="7">
        <v>1</v>
      </c>
      <c r="H333" s="7">
        <v>34</v>
      </c>
      <c r="I333" s="7">
        <v>5</v>
      </c>
      <c r="J333" s="7" t="s">
        <v>14</v>
      </c>
      <c r="K333" s="7" t="s">
        <v>238</v>
      </c>
    </row>
    <row r="334" customHeight="1" spans="3:11">
      <c r="C334" s="7">
        <v>1329</v>
      </c>
      <c r="D334" s="7" t="s">
        <v>357</v>
      </c>
      <c r="E334" s="7">
        <v>1</v>
      </c>
      <c r="F334" s="7">
        <f t="shared" si="6"/>
        <v>7896</v>
      </c>
      <c r="G334" s="7">
        <v>1</v>
      </c>
      <c r="H334" s="7">
        <v>35</v>
      </c>
      <c r="I334" s="7">
        <v>5</v>
      </c>
      <c r="J334" s="7" t="s">
        <v>14</v>
      </c>
      <c r="K334" s="7" t="s">
        <v>240</v>
      </c>
    </row>
    <row r="335" customHeight="1" spans="3:11">
      <c r="C335" s="7">
        <v>1330</v>
      </c>
      <c r="D335" s="7" t="s">
        <v>358</v>
      </c>
      <c r="E335" s="4">
        <v>1</v>
      </c>
      <c r="F335" s="4">
        <f t="shared" si="6"/>
        <v>7920</v>
      </c>
      <c r="G335" s="4">
        <v>1</v>
      </c>
      <c r="H335" s="4">
        <v>7</v>
      </c>
      <c r="I335" s="4">
        <v>5</v>
      </c>
      <c r="J335" s="4" t="s">
        <v>14</v>
      </c>
      <c r="K335" s="4" t="s">
        <v>33</v>
      </c>
    </row>
    <row r="336" customHeight="1" spans="3:11">
      <c r="C336" s="7">
        <v>1331</v>
      </c>
      <c r="D336" s="7" t="s">
        <v>359</v>
      </c>
      <c r="E336" s="7">
        <v>1</v>
      </c>
      <c r="F336" s="7">
        <f t="shared" si="6"/>
        <v>7944</v>
      </c>
      <c r="G336" s="7">
        <v>1</v>
      </c>
      <c r="H336" s="7">
        <v>14</v>
      </c>
      <c r="I336" s="7">
        <v>30</v>
      </c>
      <c r="J336" s="7" t="s">
        <v>14</v>
      </c>
      <c r="K336" s="7" t="s">
        <v>15</v>
      </c>
    </row>
    <row r="337" customHeight="1" spans="3:11">
      <c r="C337" s="7">
        <v>1332</v>
      </c>
      <c r="D337" s="7" t="s">
        <v>360</v>
      </c>
      <c r="E337" s="7">
        <v>1</v>
      </c>
      <c r="F337" s="7">
        <f t="shared" si="6"/>
        <v>7968</v>
      </c>
      <c r="G337" s="7">
        <v>1</v>
      </c>
      <c r="H337" s="7">
        <v>15</v>
      </c>
      <c r="I337" s="7">
        <v>30</v>
      </c>
      <c r="J337" s="7" t="s">
        <v>14</v>
      </c>
      <c r="K337" s="7" t="s">
        <v>19</v>
      </c>
    </row>
    <row r="338" customHeight="1" spans="3:11">
      <c r="C338" s="7">
        <v>1333</v>
      </c>
      <c r="D338" s="7" t="s">
        <v>361</v>
      </c>
      <c r="E338" s="7">
        <v>1</v>
      </c>
      <c r="F338" s="7">
        <f t="shared" si="6"/>
        <v>7992</v>
      </c>
      <c r="G338" s="7">
        <v>1</v>
      </c>
      <c r="H338" s="7">
        <v>16</v>
      </c>
      <c r="I338" s="7">
        <v>30</v>
      </c>
      <c r="J338" s="7" t="s">
        <v>14</v>
      </c>
      <c r="K338" s="7" t="s">
        <v>21</v>
      </c>
    </row>
    <row r="339" customHeight="1" spans="3:11">
      <c r="C339" s="7">
        <v>1334</v>
      </c>
      <c r="D339" s="7" t="s">
        <v>362</v>
      </c>
      <c r="E339" s="7">
        <v>1</v>
      </c>
      <c r="F339" s="7">
        <f t="shared" si="6"/>
        <v>8016</v>
      </c>
      <c r="G339" s="7">
        <v>1</v>
      </c>
      <c r="H339" s="7">
        <v>9</v>
      </c>
      <c r="I339" s="7">
        <v>30</v>
      </c>
      <c r="J339" s="7" t="s">
        <v>14</v>
      </c>
      <c r="K339" s="7" t="s">
        <v>40</v>
      </c>
    </row>
    <row r="340" customHeight="1" spans="3:11">
      <c r="C340" s="7">
        <v>1335</v>
      </c>
      <c r="D340" s="7" t="s">
        <v>363</v>
      </c>
      <c r="E340" s="7">
        <v>1</v>
      </c>
      <c r="F340" s="7">
        <f t="shared" si="6"/>
        <v>8040</v>
      </c>
      <c r="G340" s="7">
        <v>1</v>
      </c>
      <c r="H340" s="7">
        <v>12</v>
      </c>
      <c r="I340" s="7">
        <v>5</v>
      </c>
      <c r="J340" s="7" t="s">
        <v>14</v>
      </c>
      <c r="K340" s="7" t="s">
        <v>62</v>
      </c>
    </row>
    <row r="341" customHeight="1" spans="3:11">
      <c r="C341" s="7">
        <v>1336</v>
      </c>
      <c r="D341" s="7" t="s">
        <v>364</v>
      </c>
      <c r="E341" s="7">
        <v>1</v>
      </c>
      <c r="F341" s="7">
        <f t="shared" si="6"/>
        <v>8064</v>
      </c>
      <c r="G341" s="7">
        <v>1</v>
      </c>
      <c r="H341" s="7">
        <v>33</v>
      </c>
      <c r="I341" s="7">
        <v>5</v>
      </c>
      <c r="J341" s="7" t="s">
        <v>14</v>
      </c>
      <c r="K341" s="7" t="s">
        <v>236</v>
      </c>
    </row>
    <row r="342" customHeight="1" spans="3:11">
      <c r="C342" s="7">
        <v>1337</v>
      </c>
      <c r="D342" s="7" t="s">
        <v>365</v>
      </c>
      <c r="E342" s="7">
        <v>1</v>
      </c>
      <c r="F342" s="7">
        <f t="shared" si="6"/>
        <v>8088</v>
      </c>
      <c r="G342" s="7">
        <v>1</v>
      </c>
      <c r="H342" s="7">
        <v>34</v>
      </c>
      <c r="I342" s="7">
        <v>5</v>
      </c>
      <c r="J342" s="7" t="s">
        <v>14</v>
      </c>
      <c r="K342" s="7" t="s">
        <v>238</v>
      </c>
    </row>
    <row r="343" customHeight="1" spans="3:11">
      <c r="C343" s="7">
        <v>1338</v>
      </c>
      <c r="D343" s="7" t="s">
        <v>366</v>
      </c>
      <c r="E343" s="7">
        <v>1</v>
      </c>
      <c r="F343" s="7">
        <f t="shared" si="6"/>
        <v>8112</v>
      </c>
      <c r="G343" s="7">
        <v>1</v>
      </c>
      <c r="H343" s="7">
        <v>35</v>
      </c>
      <c r="I343" s="7">
        <v>5</v>
      </c>
      <c r="J343" s="7" t="s">
        <v>14</v>
      </c>
      <c r="K343" s="7" t="s">
        <v>240</v>
      </c>
    </row>
    <row r="344" customHeight="1" spans="3:11">
      <c r="C344" s="7">
        <v>1339</v>
      </c>
      <c r="D344" s="7" t="s">
        <v>367</v>
      </c>
      <c r="E344" s="4">
        <v>1</v>
      </c>
      <c r="F344" s="4">
        <f t="shared" si="6"/>
        <v>8136</v>
      </c>
      <c r="G344" s="4">
        <v>1</v>
      </c>
      <c r="H344" s="4">
        <v>7</v>
      </c>
      <c r="I344" s="4">
        <v>5</v>
      </c>
      <c r="J344" s="4" t="s">
        <v>14</v>
      </c>
      <c r="K344" s="4" t="s">
        <v>33</v>
      </c>
    </row>
    <row r="345" customHeight="1" spans="3:11">
      <c r="C345" s="7">
        <v>1340</v>
      </c>
      <c r="D345" s="7" t="s">
        <v>368</v>
      </c>
      <c r="E345" s="7">
        <v>1</v>
      </c>
      <c r="F345" s="7">
        <f t="shared" si="6"/>
        <v>8160</v>
      </c>
      <c r="G345" s="7">
        <v>1</v>
      </c>
      <c r="H345" s="7">
        <v>14</v>
      </c>
      <c r="I345" s="7">
        <v>30</v>
      </c>
      <c r="J345" s="7" t="s">
        <v>14</v>
      </c>
      <c r="K345" s="7" t="s">
        <v>15</v>
      </c>
    </row>
    <row r="346" customHeight="1" spans="3:11">
      <c r="C346" s="7">
        <v>1341</v>
      </c>
      <c r="D346" s="7" t="s">
        <v>369</v>
      </c>
      <c r="E346" s="7">
        <v>1</v>
      </c>
      <c r="F346" s="7">
        <f t="shared" ref="F346:F409" si="7">(C346-1000)*24</f>
        <v>8184</v>
      </c>
      <c r="G346" s="7">
        <v>1</v>
      </c>
      <c r="H346" s="7">
        <v>15</v>
      </c>
      <c r="I346" s="7">
        <v>30</v>
      </c>
      <c r="J346" s="7" t="s">
        <v>14</v>
      </c>
      <c r="K346" s="7" t="s">
        <v>19</v>
      </c>
    </row>
    <row r="347" customHeight="1" spans="3:11">
      <c r="C347" s="7">
        <v>1342</v>
      </c>
      <c r="D347" s="7" t="s">
        <v>370</v>
      </c>
      <c r="E347" s="7">
        <v>1</v>
      </c>
      <c r="F347" s="7">
        <f t="shared" si="7"/>
        <v>8208</v>
      </c>
      <c r="G347" s="7">
        <v>1</v>
      </c>
      <c r="H347" s="7">
        <v>16</v>
      </c>
      <c r="I347" s="7">
        <v>30</v>
      </c>
      <c r="J347" s="7" t="s">
        <v>14</v>
      </c>
      <c r="K347" s="7" t="s">
        <v>21</v>
      </c>
    </row>
    <row r="348" customHeight="1" spans="3:11">
      <c r="C348" s="7">
        <v>1343</v>
      </c>
      <c r="D348" s="7" t="s">
        <v>371</v>
      </c>
      <c r="E348" s="7">
        <v>1</v>
      </c>
      <c r="F348" s="7">
        <f t="shared" si="7"/>
        <v>8232</v>
      </c>
      <c r="G348" s="7">
        <v>1</v>
      </c>
      <c r="H348" s="7">
        <v>9</v>
      </c>
      <c r="I348" s="7">
        <v>30</v>
      </c>
      <c r="J348" s="7" t="s">
        <v>14</v>
      </c>
      <c r="K348" s="7" t="s">
        <v>40</v>
      </c>
    </row>
    <row r="349" customHeight="1" spans="3:11">
      <c r="C349" s="7">
        <v>1344</v>
      </c>
      <c r="D349" s="7" t="s">
        <v>372</v>
      </c>
      <c r="E349" s="7">
        <v>1</v>
      </c>
      <c r="F349" s="7">
        <f t="shared" si="7"/>
        <v>8256</v>
      </c>
      <c r="G349" s="7">
        <v>1</v>
      </c>
      <c r="H349" s="7">
        <v>12</v>
      </c>
      <c r="I349" s="7">
        <v>5</v>
      </c>
      <c r="J349" s="7" t="s">
        <v>14</v>
      </c>
      <c r="K349" s="7" t="s">
        <v>62</v>
      </c>
    </row>
    <row r="350" customHeight="1" spans="3:11">
      <c r="C350" s="7">
        <v>1345</v>
      </c>
      <c r="D350" s="7" t="s">
        <v>373</v>
      </c>
      <c r="E350" s="7">
        <v>1</v>
      </c>
      <c r="F350" s="7">
        <f t="shared" si="7"/>
        <v>8280</v>
      </c>
      <c r="G350" s="7">
        <v>1</v>
      </c>
      <c r="H350" s="7">
        <v>33</v>
      </c>
      <c r="I350" s="7">
        <v>5</v>
      </c>
      <c r="J350" s="7" t="s">
        <v>14</v>
      </c>
      <c r="K350" s="7" t="s">
        <v>236</v>
      </c>
    </row>
    <row r="351" customHeight="1" spans="3:11">
      <c r="C351" s="7">
        <v>1346</v>
      </c>
      <c r="D351" s="7" t="s">
        <v>374</v>
      </c>
      <c r="E351" s="7">
        <v>1</v>
      </c>
      <c r="F351" s="7">
        <f t="shared" si="7"/>
        <v>8304</v>
      </c>
      <c r="G351" s="7">
        <v>1</v>
      </c>
      <c r="H351" s="7">
        <v>34</v>
      </c>
      <c r="I351" s="7">
        <v>5</v>
      </c>
      <c r="J351" s="7" t="s">
        <v>14</v>
      </c>
      <c r="K351" s="7" t="s">
        <v>238</v>
      </c>
    </row>
    <row r="352" customHeight="1" spans="3:11">
      <c r="C352" s="7">
        <v>1347</v>
      </c>
      <c r="D352" s="7" t="s">
        <v>375</v>
      </c>
      <c r="E352" s="7">
        <v>1</v>
      </c>
      <c r="F352" s="7">
        <f t="shared" si="7"/>
        <v>8328</v>
      </c>
      <c r="G352" s="7">
        <v>1</v>
      </c>
      <c r="H352" s="7">
        <v>35</v>
      </c>
      <c r="I352" s="7">
        <v>5</v>
      </c>
      <c r="J352" s="7" t="s">
        <v>14</v>
      </c>
      <c r="K352" s="7" t="s">
        <v>240</v>
      </c>
    </row>
    <row r="353" customHeight="1" spans="3:11">
      <c r="C353" s="7">
        <v>1348</v>
      </c>
      <c r="D353" s="7" t="s">
        <v>376</v>
      </c>
      <c r="E353" s="4">
        <v>1</v>
      </c>
      <c r="F353" s="4">
        <f t="shared" si="7"/>
        <v>8352</v>
      </c>
      <c r="G353" s="4">
        <v>1</v>
      </c>
      <c r="H353" s="4">
        <v>7</v>
      </c>
      <c r="I353" s="4">
        <v>5</v>
      </c>
      <c r="J353" s="4" t="s">
        <v>14</v>
      </c>
      <c r="K353" s="4" t="s">
        <v>33</v>
      </c>
    </row>
    <row r="354" customHeight="1" spans="3:11">
      <c r="C354" s="7">
        <v>1349</v>
      </c>
      <c r="D354" s="7" t="s">
        <v>377</v>
      </c>
      <c r="E354" s="7">
        <v>1</v>
      </c>
      <c r="F354" s="7">
        <f t="shared" si="7"/>
        <v>8376</v>
      </c>
      <c r="G354" s="7">
        <v>1</v>
      </c>
      <c r="H354" s="7">
        <v>14</v>
      </c>
      <c r="I354" s="7">
        <v>30</v>
      </c>
      <c r="J354" s="7" t="s">
        <v>14</v>
      </c>
      <c r="K354" s="7" t="s">
        <v>15</v>
      </c>
    </row>
    <row r="355" customHeight="1" spans="3:11">
      <c r="C355" s="7">
        <v>1350</v>
      </c>
      <c r="D355" s="7" t="s">
        <v>378</v>
      </c>
      <c r="E355" s="7">
        <v>1</v>
      </c>
      <c r="F355" s="7">
        <f t="shared" si="7"/>
        <v>8400</v>
      </c>
      <c r="G355" s="7">
        <v>1</v>
      </c>
      <c r="H355" s="7">
        <v>15</v>
      </c>
      <c r="I355" s="7">
        <v>30</v>
      </c>
      <c r="J355" s="7" t="s">
        <v>14</v>
      </c>
      <c r="K355" s="7" t="s">
        <v>19</v>
      </c>
    </row>
    <row r="356" customHeight="1" spans="3:11">
      <c r="C356" s="7">
        <v>1351</v>
      </c>
      <c r="D356" s="7" t="s">
        <v>379</v>
      </c>
      <c r="E356" s="7">
        <v>1</v>
      </c>
      <c r="F356" s="7">
        <f t="shared" si="7"/>
        <v>8424</v>
      </c>
      <c r="G356" s="7">
        <v>1</v>
      </c>
      <c r="H356" s="7">
        <v>16</v>
      </c>
      <c r="I356" s="7">
        <v>30</v>
      </c>
      <c r="J356" s="7" t="s">
        <v>14</v>
      </c>
      <c r="K356" s="7" t="s">
        <v>21</v>
      </c>
    </row>
    <row r="357" customHeight="1" spans="3:11">
      <c r="C357" s="7">
        <v>1352</v>
      </c>
      <c r="D357" s="7" t="s">
        <v>380</v>
      </c>
      <c r="E357" s="7">
        <v>1</v>
      </c>
      <c r="F357" s="7">
        <f t="shared" si="7"/>
        <v>8448</v>
      </c>
      <c r="G357" s="7">
        <v>1</v>
      </c>
      <c r="H357" s="7">
        <v>9</v>
      </c>
      <c r="I357" s="7">
        <v>30</v>
      </c>
      <c r="J357" s="7" t="s">
        <v>14</v>
      </c>
      <c r="K357" s="7" t="s">
        <v>40</v>
      </c>
    </row>
    <row r="358" customHeight="1" spans="3:11">
      <c r="C358" s="7">
        <v>1353</v>
      </c>
      <c r="D358" s="7" t="s">
        <v>381</v>
      </c>
      <c r="E358" s="7">
        <v>1</v>
      </c>
      <c r="F358" s="7">
        <f t="shared" si="7"/>
        <v>8472</v>
      </c>
      <c r="G358" s="7">
        <v>1</v>
      </c>
      <c r="H358" s="7">
        <v>12</v>
      </c>
      <c r="I358" s="7">
        <v>5</v>
      </c>
      <c r="J358" s="7" t="s">
        <v>14</v>
      </c>
      <c r="K358" s="7" t="s">
        <v>62</v>
      </c>
    </row>
    <row r="359" customHeight="1" spans="3:11">
      <c r="C359" s="7">
        <v>1354</v>
      </c>
      <c r="D359" s="7" t="s">
        <v>382</v>
      </c>
      <c r="E359" s="7">
        <v>1</v>
      </c>
      <c r="F359" s="7">
        <f t="shared" si="7"/>
        <v>8496</v>
      </c>
      <c r="G359" s="7">
        <v>1</v>
      </c>
      <c r="H359" s="7">
        <v>33</v>
      </c>
      <c r="I359" s="7">
        <v>5</v>
      </c>
      <c r="J359" s="7" t="s">
        <v>14</v>
      </c>
      <c r="K359" s="7" t="s">
        <v>236</v>
      </c>
    </row>
    <row r="360" customHeight="1" spans="3:11">
      <c r="C360" s="7">
        <v>1355</v>
      </c>
      <c r="D360" s="7" t="s">
        <v>383</v>
      </c>
      <c r="E360" s="7">
        <v>1</v>
      </c>
      <c r="F360" s="7">
        <f t="shared" si="7"/>
        <v>8520</v>
      </c>
      <c r="G360" s="7">
        <v>1</v>
      </c>
      <c r="H360" s="7">
        <v>34</v>
      </c>
      <c r="I360" s="7">
        <v>5</v>
      </c>
      <c r="J360" s="7" t="s">
        <v>14</v>
      </c>
      <c r="K360" s="7" t="s">
        <v>238</v>
      </c>
    </row>
    <row r="361" customHeight="1" spans="3:11">
      <c r="C361" s="7">
        <v>1356</v>
      </c>
      <c r="D361" s="7" t="s">
        <v>384</v>
      </c>
      <c r="E361" s="7">
        <v>1</v>
      </c>
      <c r="F361" s="7">
        <f t="shared" si="7"/>
        <v>8544</v>
      </c>
      <c r="G361" s="7">
        <v>1</v>
      </c>
      <c r="H361" s="7">
        <v>35</v>
      </c>
      <c r="I361" s="7">
        <v>5</v>
      </c>
      <c r="J361" s="7" t="s">
        <v>14</v>
      </c>
      <c r="K361" s="7" t="s">
        <v>240</v>
      </c>
    </row>
    <row r="362" customHeight="1" spans="3:11">
      <c r="C362" s="7">
        <v>1357</v>
      </c>
      <c r="D362" s="7" t="s">
        <v>385</v>
      </c>
      <c r="E362" s="4">
        <v>1</v>
      </c>
      <c r="F362" s="4">
        <f t="shared" si="7"/>
        <v>8568</v>
      </c>
      <c r="G362" s="4">
        <v>1</v>
      </c>
      <c r="H362" s="4">
        <v>7</v>
      </c>
      <c r="I362" s="4">
        <v>5</v>
      </c>
      <c r="J362" s="4" t="s">
        <v>14</v>
      </c>
      <c r="K362" s="4" t="s">
        <v>33</v>
      </c>
    </row>
    <row r="363" customHeight="1" spans="3:11">
      <c r="C363" s="7">
        <v>1358</v>
      </c>
      <c r="D363" s="7" t="s">
        <v>386</v>
      </c>
      <c r="E363" s="7">
        <v>1</v>
      </c>
      <c r="F363" s="7">
        <f t="shared" si="7"/>
        <v>8592</v>
      </c>
      <c r="G363" s="7">
        <v>1</v>
      </c>
      <c r="H363" s="7">
        <v>14</v>
      </c>
      <c r="I363" s="7">
        <v>30</v>
      </c>
      <c r="J363" s="7" t="s">
        <v>14</v>
      </c>
      <c r="K363" s="7" t="s">
        <v>15</v>
      </c>
    </row>
    <row r="364" customHeight="1" spans="3:11">
      <c r="C364" s="7">
        <v>1359</v>
      </c>
      <c r="D364" s="7" t="s">
        <v>387</v>
      </c>
      <c r="E364" s="7">
        <v>1</v>
      </c>
      <c r="F364" s="7">
        <f t="shared" si="7"/>
        <v>8616</v>
      </c>
      <c r="G364" s="7">
        <v>1</v>
      </c>
      <c r="H364" s="7">
        <v>15</v>
      </c>
      <c r="I364" s="7">
        <v>30</v>
      </c>
      <c r="J364" s="7" t="s">
        <v>14</v>
      </c>
      <c r="K364" s="7" t="s">
        <v>19</v>
      </c>
    </row>
    <row r="365" customHeight="1" spans="3:11">
      <c r="C365" s="7">
        <v>1360</v>
      </c>
      <c r="D365" s="7" t="s">
        <v>388</v>
      </c>
      <c r="E365" s="7">
        <v>1</v>
      </c>
      <c r="F365" s="7">
        <f t="shared" si="7"/>
        <v>8640</v>
      </c>
      <c r="G365" s="7">
        <v>1</v>
      </c>
      <c r="H365" s="7">
        <v>16</v>
      </c>
      <c r="I365" s="7">
        <v>30</v>
      </c>
      <c r="J365" s="7" t="s">
        <v>14</v>
      </c>
      <c r="K365" s="7" t="s">
        <v>21</v>
      </c>
    </row>
    <row r="366" customHeight="1" spans="3:11">
      <c r="C366" s="7">
        <v>1361</v>
      </c>
      <c r="D366" s="7" t="s">
        <v>389</v>
      </c>
      <c r="E366" s="7">
        <v>1</v>
      </c>
      <c r="F366" s="7">
        <f t="shared" si="7"/>
        <v>8664</v>
      </c>
      <c r="G366" s="7">
        <v>1</v>
      </c>
      <c r="H366" s="7">
        <v>9</v>
      </c>
      <c r="I366" s="7">
        <v>30</v>
      </c>
      <c r="J366" s="7" t="s">
        <v>14</v>
      </c>
      <c r="K366" s="7" t="s">
        <v>40</v>
      </c>
    </row>
    <row r="367" customHeight="1" spans="3:11">
      <c r="C367" s="7">
        <v>1362</v>
      </c>
      <c r="D367" s="7" t="s">
        <v>390</v>
      </c>
      <c r="E367" s="7">
        <v>1</v>
      </c>
      <c r="F367" s="7">
        <f t="shared" si="7"/>
        <v>8688</v>
      </c>
      <c r="G367" s="7">
        <v>1</v>
      </c>
      <c r="H367" s="7">
        <v>12</v>
      </c>
      <c r="I367" s="7">
        <v>5</v>
      </c>
      <c r="J367" s="7" t="s">
        <v>14</v>
      </c>
      <c r="K367" s="7" t="s">
        <v>62</v>
      </c>
    </row>
    <row r="368" customHeight="1" spans="3:11">
      <c r="C368" s="7">
        <v>1363</v>
      </c>
      <c r="D368" s="7" t="s">
        <v>391</v>
      </c>
      <c r="E368" s="7">
        <v>1</v>
      </c>
      <c r="F368" s="7">
        <f t="shared" si="7"/>
        <v>8712</v>
      </c>
      <c r="G368" s="7">
        <v>1</v>
      </c>
      <c r="H368" s="7">
        <v>33</v>
      </c>
      <c r="I368" s="7">
        <v>5</v>
      </c>
      <c r="J368" s="7" t="s">
        <v>14</v>
      </c>
      <c r="K368" s="7" t="s">
        <v>236</v>
      </c>
    </row>
    <row r="369" customHeight="1" spans="3:11">
      <c r="C369" s="7">
        <v>1364</v>
      </c>
      <c r="D369" s="7" t="s">
        <v>392</v>
      </c>
      <c r="E369" s="7">
        <v>1</v>
      </c>
      <c r="F369" s="7">
        <f t="shared" si="7"/>
        <v>8736</v>
      </c>
      <c r="G369" s="7">
        <v>1</v>
      </c>
      <c r="H369" s="7">
        <v>34</v>
      </c>
      <c r="I369" s="7">
        <v>5</v>
      </c>
      <c r="J369" s="7" t="s">
        <v>14</v>
      </c>
      <c r="K369" s="7" t="s">
        <v>238</v>
      </c>
    </row>
    <row r="370" customHeight="1" spans="3:11">
      <c r="C370" s="7">
        <v>1365</v>
      </c>
      <c r="D370" s="7" t="s">
        <v>393</v>
      </c>
      <c r="E370" s="7">
        <v>1</v>
      </c>
      <c r="F370" s="7">
        <f t="shared" si="7"/>
        <v>8760</v>
      </c>
      <c r="G370" s="7">
        <v>1</v>
      </c>
      <c r="H370" s="7">
        <v>35</v>
      </c>
      <c r="I370" s="7">
        <v>5</v>
      </c>
      <c r="J370" s="7" t="s">
        <v>14</v>
      </c>
      <c r="K370" s="7" t="s">
        <v>240</v>
      </c>
    </row>
    <row r="371" customHeight="1" spans="3:11">
      <c r="C371" s="7">
        <v>1366</v>
      </c>
      <c r="D371" s="7" t="s">
        <v>394</v>
      </c>
      <c r="E371" s="4">
        <v>1</v>
      </c>
      <c r="F371" s="4">
        <f t="shared" si="7"/>
        <v>8784</v>
      </c>
      <c r="G371" s="4">
        <v>1</v>
      </c>
      <c r="H371" s="4">
        <v>7</v>
      </c>
      <c r="I371" s="4">
        <v>5</v>
      </c>
      <c r="J371" s="4" t="s">
        <v>14</v>
      </c>
      <c r="K371" s="4" t="s">
        <v>33</v>
      </c>
    </row>
    <row r="372" customHeight="1" spans="3:11">
      <c r="C372" s="7">
        <v>1367</v>
      </c>
      <c r="D372" s="7" t="s">
        <v>395</v>
      </c>
      <c r="E372" s="7">
        <v>1</v>
      </c>
      <c r="F372" s="7">
        <f t="shared" si="7"/>
        <v>8808</v>
      </c>
      <c r="G372" s="7">
        <v>1</v>
      </c>
      <c r="H372" s="7">
        <v>14</v>
      </c>
      <c r="I372" s="7">
        <v>30</v>
      </c>
      <c r="J372" s="7" t="s">
        <v>14</v>
      </c>
      <c r="K372" s="7" t="s">
        <v>15</v>
      </c>
    </row>
    <row r="373" customHeight="1" spans="3:11">
      <c r="C373" s="7">
        <v>1368</v>
      </c>
      <c r="D373" s="7" t="s">
        <v>396</v>
      </c>
      <c r="E373" s="7">
        <v>1</v>
      </c>
      <c r="F373" s="7">
        <f t="shared" si="7"/>
        <v>8832</v>
      </c>
      <c r="G373" s="7">
        <v>1</v>
      </c>
      <c r="H373" s="7">
        <v>15</v>
      </c>
      <c r="I373" s="7">
        <v>30</v>
      </c>
      <c r="J373" s="7" t="s">
        <v>14</v>
      </c>
      <c r="K373" s="7" t="s">
        <v>19</v>
      </c>
    </row>
    <row r="374" customHeight="1" spans="3:11">
      <c r="C374" s="7">
        <v>1369</v>
      </c>
      <c r="D374" s="7" t="s">
        <v>397</v>
      </c>
      <c r="E374" s="7">
        <v>1</v>
      </c>
      <c r="F374" s="7">
        <f t="shared" si="7"/>
        <v>8856</v>
      </c>
      <c r="G374" s="7">
        <v>1</v>
      </c>
      <c r="H374" s="7">
        <v>16</v>
      </c>
      <c r="I374" s="7">
        <v>30</v>
      </c>
      <c r="J374" s="7" t="s">
        <v>14</v>
      </c>
      <c r="K374" s="7" t="s">
        <v>21</v>
      </c>
    </row>
    <row r="375" customHeight="1" spans="3:11">
      <c r="C375" s="7">
        <v>1370</v>
      </c>
      <c r="D375" s="7" t="s">
        <v>398</v>
      </c>
      <c r="E375" s="7">
        <v>1</v>
      </c>
      <c r="F375" s="7">
        <f t="shared" si="7"/>
        <v>8880</v>
      </c>
      <c r="G375" s="7">
        <v>1</v>
      </c>
      <c r="H375" s="7">
        <v>9</v>
      </c>
      <c r="I375" s="7">
        <v>30</v>
      </c>
      <c r="J375" s="7" t="s">
        <v>14</v>
      </c>
      <c r="K375" s="7" t="s">
        <v>40</v>
      </c>
    </row>
    <row r="376" customHeight="1" spans="3:11">
      <c r="C376" s="7">
        <v>1371</v>
      </c>
      <c r="D376" s="7" t="s">
        <v>399</v>
      </c>
      <c r="E376" s="7">
        <v>1</v>
      </c>
      <c r="F376" s="7">
        <f t="shared" si="7"/>
        <v>8904</v>
      </c>
      <c r="G376" s="7">
        <v>1</v>
      </c>
      <c r="H376" s="7">
        <v>12</v>
      </c>
      <c r="I376" s="7">
        <v>5</v>
      </c>
      <c r="J376" s="7" t="s">
        <v>14</v>
      </c>
      <c r="K376" s="7" t="s">
        <v>62</v>
      </c>
    </row>
    <row r="377" customHeight="1" spans="3:11">
      <c r="C377" s="7">
        <v>1372</v>
      </c>
      <c r="D377" s="7" t="s">
        <v>400</v>
      </c>
      <c r="E377" s="7">
        <v>1</v>
      </c>
      <c r="F377" s="7">
        <f t="shared" si="7"/>
        <v>8928</v>
      </c>
      <c r="G377" s="7">
        <v>1</v>
      </c>
      <c r="H377" s="7">
        <v>33</v>
      </c>
      <c r="I377" s="7">
        <v>5</v>
      </c>
      <c r="J377" s="7" t="s">
        <v>14</v>
      </c>
      <c r="K377" s="7" t="s">
        <v>236</v>
      </c>
    </row>
    <row r="378" customHeight="1" spans="3:11">
      <c r="C378" s="7">
        <v>1373</v>
      </c>
      <c r="D378" s="7" t="s">
        <v>401</v>
      </c>
      <c r="E378" s="7">
        <v>1</v>
      </c>
      <c r="F378" s="7">
        <f t="shared" si="7"/>
        <v>8952</v>
      </c>
      <c r="G378" s="7">
        <v>1</v>
      </c>
      <c r="H378" s="7">
        <v>34</v>
      </c>
      <c r="I378" s="7">
        <v>5</v>
      </c>
      <c r="J378" s="7" t="s">
        <v>14</v>
      </c>
      <c r="K378" s="7" t="s">
        <v>238</v>
      </c>
    </row>
    <row r="379" customHeight="1" spans="3:11">
      <c r="C379" s="7">
        <v>1374</v>
      </c>
      <c r="D379" s="7" t="s">
        <v>402</v>
      </c>
      <c r="E379" s="7">
        <v>1</v>
      </c>
      <c r="F379" s="7">
        <f t="shared" si="7"/>
        <v>8976</v>
      </c>
      <c r="G379" s="7">
        <v>1</v>
      </c>
      <c r="H379" s="7">
        <v>35</v>
      </c>
      <c r="I379" s="7">
        <v>5</v>
      </c>
      <c r="J379" s="7" t="s">
        <v>14</v>
      </c>
      <c r="K379" s="7" t="s">
        <v>240</v>
      </c>
    </row>
    <row r="380" customHeight="1" spans="3:11">
      <c r="C380" s="7">
        <v>1375</v>
      </c>
      <c r="D380" s="7" t="s">
        <v>403</v>
      </c>
      <c r="E380" s="4">
        <v>1</v>
      </c>
      <c r="F380" s="4">
        <f t="shared" si="7"/>
        <v>9000</v>
      </c>
      <c r="G380" s="4">
        <v>1</v>
      </c>
      <c r="H380" s="4">
        <v>7</v>
      </c>
      <c r="I380" s="4">
        <v>5</v>
      </c>
      <c r="J380" s="4" t="s">
        <v>14</v>
      </c>
      <c r="K380" s="4" t="s">
        <v>33</v>
      </c>
    </row>
    <row r="381" customHeight="1" spans="3:11">
      <c r="C381" s="7">
        <v>1376</v>
      </c>
      <c r="D381" s="7" t="s">
        <v>404</v>
      </c>
      <c r="E381" s="7">
        <v>1</v>
      </c>
      <c r="F381" s="7">
        <f t="shared" si="7"/>
        <v>9024</v>
      </c>
      <c r="G381" s="7">
        <v>1</v>
      </c>
      <c r="H381" s="7">
        <v>14</v>
      </c>
      <c r="I381" s="7">
        <v>30</v>
      </c>
      <c r="J381" s="7" t="s">
        <v>14</v>
      </c>
      <c r="K381" s="7" t="s">
        <v>15</v>
      </c>
    </row>
    <row r="382" customHeight="1" spans="3:11">
      <c r="C382" s="7">
        <v>1377</v>
      </c>
      <c r="D382" s="7" t="s">
        <v>405</v>
      </c>
      <c r="E382" s="7">
        <v>1</v>
      </c>
      <c r="F382" s="7">
        <f t="shared" si="7"/>
        <v>9048</v>
      </c>
      <c r="G382" s="7">
        <v>1</v>
      </c>
      <c r="H382" s="7">
        <v>15</v>
      </c>
      <c r="I382" s="7">
        <v>30</v>
      </c>
      <c r="J382" s="7" t="s">
        <v>14</v>
      </c>
      <c r="K382" s="7" t="s">
        <v>19</v>
      </c>
    </row>
    <row r="383" customHeight="1" spans="3:11">
      <c r="C383" s="7">
        <v>1378</v>
      </c>
      <c r="D383" s="7" t="s">
        <v>406</v>
      </c>
      <c r="E383" s="7">
        <v>1</v>
      </c>
      <c r="F383" s="7">
        <f t="shared" si="7"/>
        <v>9072</v>
      </c>
      <c r="G383" s="7">
        <v>1</v>
      </c>
      <c r="H383" s="7">
        <v>16</v>
      </c>
      <c r="I383" s="7">
        <v>30</v>
      </c>
      <c r="J383" s="7" t="s">
        <v>14</v>
      </c>
      <c r="K383" s="7" t="s">
        <v>21</v>
      </c>
    </row>
    <row r="384" customHeight="1" spans="3:11">
      <c r="C384" s="7">
        <v>1379</v>
      </c>
      <c r="D384" s="7" t="s">
        <v>407</v>
      </c>
      <c r="E384" s="7">
        <v>1</v>
      </c>
      <c r="F384" s="7">
        <f t="shared" si="7"/>
        <v>9096</v>
      </c>
      <c r="G384" s="7">
        <v>1</v>
      </c>
      <c r="H384" s="7">
        <v>9</v>
      </c>
      <c r="I384" s="7">
        <v>30</v>
      </c>
      <c r="J384" s="7" t="s">
        <v>14</v>
      </c>
      <c r="K384" s="7" t="s">
        <v>40</v>
      </c>
    </row>
    <row r="385" customHeight="1" spans="3:11">
      <c r="C385" s="7">
        <v>1380</v>
      </c>
      <c r="D385" s="7" t="s">
        <v>408</v>
      </c>
      <c r="E385" s="7">
        <v>1</v>
      </c>
      <c r="F385" s="7">
        <f t="shared" si="7"/>
        <v>9120</v>
      </c>
      <c r="G385" s="7">
        <v>1</v>
      </c>
      <c r="H385" s="7">
        <v>12</v>
      </c>
      <c r="I385" s="7">
        <v>5</v>
      </c>
      <c r="J385" s="7" t="s">
        <v>14</v>
      </c>
      <c r="K385" s="7" t="s">
        <v>62</v>
      </c>
    </row>
    <row r="386" customHeight="1" spans="3:11">
      <c r="C386" s="7">
        <v>1381</v>
      </c>
      <c r="D386" s="7" t="s">
        <v>409</v>
      </c>
      <c r="E386" s="7">
        <v>1</v>
      </c>
      <c r="F386" s="7">
        <f t="shared" si="7"/>
        <v>9144</v>
      </c>
      <c r="G386" s="7">
        <v>1</v>
      </c>
      <c r="H386" s="7">
        <v>33</v>
      </c>
      <c r="I386" s="7">
        <v>5</v>
      </c>
      <c r="J386" s="7" t="s">
        <v>14</v>
      </c>
      <c r="K386" s="7" t="s">
        <v>236</v>
      </c>
    </row>
    <row r="387" customHeight="1" spans="3:11">
      <c r="C387" s="7">
        <v>1382</v>
      </c>
      <c r="D387" s="7" t="s">
        <v>410</v>
      </c>
      <c r="E387" s="7">
        <v>1</v>
      </c>
      <c r="F387" s="7">
        <f t="shared" si="7"/>
        <v>9168</v>
      </c>
      <c r="G387" s="7">
        <v>1</v>
      </c>
      <c r="H387" s="7">
        <v>34</v>
      </c>
      <c r="I387" s="7">
        <v>5</v>
      </c>
      <c r="J387" s="7" t="s">
        <v>14</v>
      </c>
      <c r="K387" s="7" t="s">
        <v>238</v>
      </c>
    </row>
    <row r="388" customHeight="1" spans="3:11">
      <c r="C388" s="7">
        <v>1383</v>
      </c>
      <c r="D388" s="7" t="s">
        <v>411</v>
      </c>
      <c r="E388" s="7">
        <v>1</v>
      </c>
      <c r="F388" s="7">
        <f t="shared" si="7"/>
        <v>9192</v>
      </c>
      <c r="G388" s="7">
        <v>1</v>
      </c>
      <c r="H388" s="7">
        <v>35</v>
      </c>
      <c r="I388" s="7">
        <v>5</v>
      </c>
      <c r="J388" s="7" t="s">
        <v>14</v>
      </c>
      <c r="K388" s="7" t="s">
        <v>240</v>
      </c>
    </row>
    <row r="389" customHeight="1" spans="3:11">
      <c r="C389" s="7">
        <v>1384</v>
      </c>
      <c r="D389" s="7" t="s">
        <v>412</v>
      </c>
      <c r="E389" s="4">
        <v>1</v>
      </c>
      <c r="F389" s="4">
        <f t="shared" si="7"/>
        <v>9216</v>
      </c>
      <c r="G389" s="4">
        <v>1</v>
      </c>
      <c r="H389" s="4">
        <v>7</v>
      </c>
      <c r="I389" s="4">
        <v>5</v>
      </c>
      <c r="J389" s="4" t="s">
        <v>14</v>
      </c>
      <c r="K389" s="4" t="s">
        <v>33</v>
      </c>
    </row>
    <row r="390" customHeight="1" spans="3:11">
      <c r="C390" s="7">
        <v>1385</v>
      </c>
      <c r="D390" s="7" t="s">
        <v>413</v>
      </c>
      <c r="E390" s="7">
        <v>1</v>
      </c>
      <c r="F390" s="7">
        <f t="shared" si="7"/>
        <v>9240</v>
      </c>
      <c r="G390" s="7">
        <v>1</v>
      </c>
      <c r="H390" s="7">
        <v>14</v>
      </c>
      <c r="I390" s="7">
        <v>30</v>
      </c>
      <c r="J390" s="7" t="s">
        <v>14</v>
      </c>
      <c r="K390" s="7" t="s">
        <v>15</v>
      </c>
    </row>
    <row r="391" customHeight="1" spans="3:11">
      <c r="C391" s="7">
        <v>1386</v>
      </c>
      <c r="D391" s="7" t="s">
        <v>414</v>
      </c>
      <c r="E391" s="7">
        <v>1</v>
      </c>
      <c r="F391" s="7">
        <f t="shared" si="7"/>
        <v>9264</v>
      </c>
      <c r="G391" s="7">
        <v>1</v>
      </c>
      <c r="H391" s="7">
        <v>15</v>
      </c>
      <c r="I391" s="7">
        <v>30</v>
      </c>
      <c r="J391" s="7" t="s">
        <v>14</v>
      </c>
      <c r="K391" s="7" t="s">
        <v>19</v>
      </c>
    </row>
    <row r="392" customHeight="1" spans="3:11">
      <c r="C392" s="7">
        <v>1387</v>
      </c>
      <c r="D392" s="7" t="s">
        <v>415</v>
      </c>
      <c r="E392" s="7">
        <v>1</v>
      </c>
      <c r="F392" s="7">
        <f t="shared" si="7"/>
        <v>9288</v>
      </c>
      <c r="G392" s="7">
        <v>1</v>
      </c>
      <c r="H392" s="7">
        <v>16</v>
      </c>
      <c r="I392" s="7">
        <v>30</v>
      </c>
      <c r="J392" s="7" t="s">
        <v>14</v>
      </c>
      <c r="K392" s="7" t="s">
        <v>21</v>
      </c>
    </row>
    <row r="393" customHeight="1" spans="3:11">
      <c r="C393" s="7">
        <v>1388</v>
      </c>
      <c r="D393" s="7" t="s">
        <v>416</v>
      </c>
      <c r="E393" s="7">
        <v>1</v>
      </c>
      <c r="F393" s="7">
        <f t="shared" si="7"/>
        <v>9312</v>
      </c>
      <c r="G393" s="7">
        <v>1</v>
      </c>
      <c r="H393" s="7">
        <v>9</v>
      </c>
      <c r="I393" s="7">
        <v>30</v>
      </c>
      <c r="J393" s="7" t="s">
        <v>14</v>
      </c>
      <c r="K393" s="7" t="s">
        <v>40</v>
      </c>
    </row>
    <row r="394" customHeight="1" spans="3:11">
      <c r="C394" s="7">
        <v>1389</v>
      </c>
      <c r="D394" s="7" t="s">
        <v>417</v>
      </c>
      <c r="E394" s="7">
        <v>1</v>
      </c>
      <c r="F394" s="7">
        <f t="shared" si="7"/>
        <v>9336</v>
      </c>
      <c r="G394" s="7">
        <v>1</v>
      </c>
      <c r="H394" s="7">
        <v>12</v>
      </c>
      <c r="I394" s="7">
        <v>5</v>
      </c>
      <c r="J394" s="7" t="s">
        <v>14</v>
      </c>
      <c r="K394" s="7" t="s">
        <v>62</v>
      </c>
    </row>
    <row r="395" customHeight="1" spans="3:11">
      <c r="C395" s="7">
        <v>1390</v>
      </c>
      <c r="D395" s="7" t="s">
        <v>418</v>
      </c>
      <c r="E395" s="7">
        <v>1</v>
      </c>
      <c r="F395" s="7">
        <f t="shared" si="7"/>
        <v>9360</v>
      </c>
      <c r="G395" s="7">
        <v>1</v>
      </c>
      <c r="H395" s="7">
        <v>33</v>
      </c>
      <c r="I395" s="7">
        <v>5</v>
      </c>
      <c r="J395" s="7" t="s">
        <v>14</v>
      </c>
      <c r="K395" s="7" t="s">
        <v>236</v>
      </c>
    </row>
    <row r="396" customHeight="1" spans="3:11">
      <c r="C396" s="7">
        <v>1391</v>
      </c>
      <c r="D396" s="7" t="s">
        <v>419</v>
      </c>
      <c r="E396" s="7">
        <v>1</v>
      </c>
      <c r="F396" s="7">
        <f t="shared" si="7"/>
        <v>9384</v>
      </c>
      <c r="G396" s="7">
        <v>1</v>
      </c>
      <c r="H396" s="7">
        <v>34</v>
      </c>
      <c r="I396" s="7">
        <v>5</v>
      </c>
      <c r="J396" s="7" t="s">
        <v>14</v>
      </c>
      <c r="K396" s="7" t="s">
        <v>238</v>
      </c>
    </row>
    <row r="397" customHeight="1" spans="3:11">
      <c r="C397" s="7">
        <v>1392</v>
      </c>
      <c r="D397" s="7" t="s">
        <v>420</v>
      </c>
      <c r="E397" s="7">
        <v>1</v>
      </c>
      <c r="F397" s="7">
        <f t="shared" si="7"/>
        <v>9408</v>
      </c>
      <c r="G397" s="7">
        <v>1</v>
      </c>
      <c r="H397" s="7">
        <v>35</v>
      </c>
      <c r="I397" s="7">
        <v>5</v>
      </c>
      <c r="J397" s="7" t="s">
        <v>14</v>
      </c>
      <c r="K397" s="7" t="s">
        <v>240</v>
      </c>
    </row>
    <row r="398" customHeight="1" spans="3:11">
      <c r="C398" s="7">
        <v>1393</v>
      </c>
      <c r="D398" s="7" t="s">
        <v>421</v>
      </c>
      <c r="E398" s="4">
        <v>1</v>
      </c>
      <c r="F398" s="4">
        <f t="shared" si="7"/>
        <v>9432</v>
      </c>
      <c r="G398" s="4">
        <v>1</v>
      </c>
      <c r="H398" s="4">
        <v>7</v>
      </c>
      <c r="I398" s="4">
        <v>5</v>
      </c>
      <c r="J398" s="4" t="s">
        <v>14</v>
      </c>
      <c r="K398" s="4" t="s">
        <v>33</v>
      </c>
    </row>
    <row r="399" customHeight="1" spans="3:11">
      <c r="C399" s="7">
        <v>1394</v>
      </c>
      <c r="D399" s="7" t="s">
        <v>422</v>
      </c>
      <c r="E399" s="7">
        <v>1</v>
      </c>
      <c r="F399" s="7">
        <f t="shared" si="7"/>
        <v>9456</v>
      </c>
      <c r="G399" s="7">
        <v>1</v>
      </c>
      <c r="H399" s="7">
        <v>14</v>
      </c>
      <c r="I399" s="7">
        <v>30</v>
      </c>
      <c r="J399" s="7" t="s">
        <v>14</v>
      </c>
      <c r="K399" s="7" t="s">
        <v>15</v>
      </c>
    </row>
    <row r="400" customHeight="1" spans="3:11">
      <c r="C400" s="7">
        <v>1395</v>
      </c>
      <c r="D400" s="7" t="s">
        <v>423</v>
      </c>
      <c r="E400" s="7">
        <v>1</v>
      </c>
      <c r="F400" s="7">
        <f t="shared" si="7"/>
        <v>9480</v>
      </c>
      <c r="G400" s="7">
        <v>1</v>
      </c>
      <c r="H400" s="7">
        <v>15</v>
      </c>
      <c r="I400" s="7">
        <v>30</v>
      </c>
      <c r="J400" s="7" t="s">
        <v>14</v>
      </c>
      <c r="K400" s="7" t="s">
        <v>19</v>
      </c>
    </row>
    <row r="401" customHeight="1" spans="3:11">
      <c r="C401" s="7">
        <v>1396</v>
      </c>
      <c r="D401" s="7" t="s">
        <v>424</v>
      </c>
      <c r="E401" s="7">
        <v>1</v>
      </c>
      <c r="F401" s="7">
        <f t="shared" si="7"/>
        <v>9504</v>
      </c>
      <c r="G401" s="7">
        <v>1</v>
      </c>
      <c r="H401" s="7">
        <v>16</v>
      </c>
      <c r="I401" s="7">
        <v>30</v>
      </c>
      <c r="J401" s="7" t="s">
        <v>14</v>
      </c>
      <c r="K401" s="7" t="s">
        <v>21</v>
      </c>
    </row>
    <row r="402" customHeight="1" spans="3:11">
      <c r="C402" s="7">
        <v>1397</v>
      </c>
      <c r="D402" s="7" t="s">
        <v>425</v>
      </c>
      <c r="E402" s="7">
        <v>1</v>
      </c>
      <c r="F402" s="7">
        <f t="shared" si="7"/>
        <v>9528</v>
      </c>
      <c r="G402" s="7">
        <v>1</v>
      </c>
      <c r="H402" s="7">
        <v>9</v>
      </c>
      <c r="I402" s="7">
        <v>30</v>
      </c>
      <c r="J402" s="7" t="s">
        <v>14</v>
      </c>
      <c r="K402" s="7" t="s">
        <v>40</v>
      </c>
    </row>
    <row r="403" customHeight="1" spans="3:11">
      <c r="C403" s="7">
        <v>1398</v>
      </c>
      <c r="D403" s="7" t="s">
        <v>426</v>
      </c>
      <c r="E403" s="7">
        <v>1</v>
      </c>
      <c r="F403" s="7">
        <f t="shared" si="7"/>
        <v>9552</v>
      </c>
      <c r="G403" s="7">
        <v>1</v>
      </c>
      <c r="H403" s="7">
        <v>12</v>
      </c>
      <c r="I403" s="7">
        <v>5</v>
      </c>
      <c r="J403" s="7" t="s">
        <v>14</v>
      </c>
      <c r="K403" s="7" t="s">
        <v>62</v>
      </c>
    </row>
    <row r="404" customHeight="1" spans="3:11">
      <c r="C404" s="7">
        <v>1399</v>
      </c>
      <c r="D404" s="7" t="s">
        <v>427</v>
      </c>
      <c r="E404" s="7">
        <v>1</v>
      </c>
      <c r="F404" s="7">
        <f t="shared" si="7"/>
        <v>9576</v>
      </c>
      <c r="G404" s="7">
        <v>1</v>
      </c>
      <c r="H404" s="7">
        <v>33</v>
      </c>
      <c r="I404" s="7">
        <v>5</v>
      </c>
      <c r="J404" s="7" t="s">
        <v>14</v>
      </c>
      <c r="K404" s="7" t="s">
        <v>236</v>
      </c>
    </row>
    <row r="405" customHeight="1" spans="3:11">
      <c r="C405" s="7">
        <v>1400</v>
      </c>
      <c r="D405" s="7" t="s">
        <v>428</v>
      </c>
      <c r="E405" s="7">
        <v>1</v>
      </c>
      <c r="F405" s="7">
        <f t="shared" si="7"/>
        <v>9600</v>
      </c>
      <c r="G405" s="7">
        <v>1</v>
      </c>
      <c r="H405" s="7">
        <v>34</v>
      </c>
      <c r="I405" s="7">
        <v>5</v>
      </c>
      <c r="J405" s="7" t="s">
        <v>14</v>
      </c>
      <c r="K405" s="7" t="s">
        <v>238</v>
      </c>
    </row>
    <row r="406" customHeight="1" spans="3:11">
      <c r="C406" s="7">
        <v>1401</v>
      </c>
      <c r="D406" s="7" t="s">
        <v>429</v>
      </c>
      <c r="E406" s="7">
        <v>1</v>
      </c>
      <c r="F406" s="7">
        <f t="shared" si="7"/>
        <v>9624</v>
      </c>
      <c r="G406" s="7">
        <v>1</v>
      </c>
      <c r="H406" s="7">
        <v>35</v>
      </c>
      <c r="I406" s="7">
        <v>5</v>
      </c>
      <c r="J406" s="7" t="s">
        <v>14</v>
      </c>
      <c r="K406" s="7" t="s">
        <v>240</v>
      </c>
    </row>
    <row r="407" customHeight="1" spans="3:11">
      <c r="C407" s="7">
        <v>1402</v>
      </c>
      <c r="D407" s="7" t="s">
        <v>430</v>
      </c>
      <c r="E407" s="4">
        <v>1</v>
      </c>
      <c r="F407" s="4">
        <f t="shared" si="7"/>
        <v>9648</v>
      </c>
      <c r="G407" s="4">
        <v>1</v>
      </c>
      <c r="H407" s="4">
        <v>7</v>
      </c>
      <c r="I407" s="4">
        <v>5</v>
      </c>
      <c r="J407" s="4" t="s">
        <v>14</v>
      </c>
      <c r="K407" s="4" t="s">
        <v>33</v>
      </c>
    </row>
    <row r="408" customHeight="1" spans="3:11">
      <c r="C408" s="7">
        <v>1403</v>
      </c>
      <c r="D408" s="7" t="s">
        <v>431</v>
      </c>
      <c r="E408" s="7">
        <v>1</v>
      </c>
      <c r="F408" s="7">
        <f t="shared" si="7"/>
        <v>9672</v>
      </c>
      <c r="G408" s="7">
        <v>1</v>
      </c>
      <c r="H408" s="7">
        <v>14</v>
      </c>
      <c r="I408" s="7">
        <v>30</v>
      </c>
      <c r="J408" s="7" t="s">
        <v>14</v>
      </c>
      <c r="K408" s="7" t="s">
        <v>15</v>
      </c>
    </row>
    <row r="409" customHeight="1" spans="3:11">
      <c r="C409" s="7">
        <v>1404</v>
      </c>
      <c r="D409" s="7" t="s">
        <v>432</v>
      </c>
      <c r="E409" s="7">
        <v>1</v>
      </c>
      <c r="F409" s="7">
        <f t="shared" si="7"/>
        <v>9696</v>
      </c>
      <c r="G409" s="7">
        <v>1</v>
      </c>
      <c r="H409" s="7">
        <v>15</v>
      </c>
      <c r="I409" s="7">
        <v>30</v>
      </c>
      <c r="J409" s="7" t="s">
        <v>14</v>
      </c>
      <c r="K409" s="7" t="s">
        <v>19</v>
      </c>
    </row>
    <row r="410" customHeight="1" spans="3:11">
      <c r="C410" s="7">
        <v>1405</v>
      </c>
      <c r="D410" s="7" t="s">
        <v>433</v>
      </c>
      <c r="E410" s="7">
        <v>1</v>
      </c>
      <c r="F410" s="7">
        <f t="shared" ref="F410:F461" si="8">(C410-1000)*24</f>
        <v>9720</v>
      </c>
      <c r="G410" s="7">
        <v>1</v>
      </c>
      <c r="H410" s="7">
        <v>16</v>
      </c>
      <c r="I410" s="7">
        <v>30</v>
      </c>
      <c r="J410" s="7" t="s">
        <v>14</v>
      </c>
      <c r="K410" s="7" t="s">
        <v>21</v>
      </c>
    </row>
    <row r="411" customHeight="1" spans="3:11">
      <c r="C411" s="7">
        <v>1406</v>
      </c>
      <c r="D411" s="7" t="s">
        <v>434</v>
      </c>
      <c r="E411" s="7">
        <v>1</v>
      </c>
      <c r="F411" s="7">
        <f t="shared" si="8"/>
        <v>9744</v>
      </c>
      <c r="G411" s="7">
        <v>1</v>
      </c>
      <c r="H411" s="7">
        <v>9</v>
      </c>
      <c r="I411" s="7">
        <v>30</v>
      </c>
      <c r="J411" s="7" t="s">
        <v>14</v>
      </c>
      <c r="K411" s="7" t="s">
        <v>40</v>
      </c>
    </row>
    <row r="412" customHeight="1" spans="3:11">
      <c r="C412" s="7">
        <v>1407</v>
      </c>
      <c r="D412" s="7" t="s">
        <v>435</v>
      </c>
      <c r="E412" s="7">
        <v>1</v>
      </c>
      <c r="F412" s="7">
        <f t="shared" si="8"/>
        <v>9768</v>
      </c>
      <c r="G412" s="7">
        <v>1</v>
      </c>
      <c r="H412" s="7">
        <v>12</v>
      </c>
      <c r="I412" s="7">
        <v>5</v>
      </c>
      <c r="J412" s="7" t="s">
        <v>14</v>
      </c>
      <c r="K412" s="7" t="s">
        <v>62</v>
      </c>
    </row>
    <row r="413" customHeight="1" spans="3:11">
      <c r="C413" s="7">
        <v>1408</v>
      </c>
      <c r="D413" s="7" t="s">
        <v>436</v>
      </c>
      <c r="E413" s="7">
        <v>1</v>
      </c>
      <c r="F413" s="7">
        <f t="shared" si="8"/>
        <v>9792</v>
      </c>
      <c r="G413" s="7">
        <v>1</v>
      </c>
      <c r="H413" s="7">
        <v>33</v>
      </c>
      <c r="I413" s="7">
        <v>5</v>
      </c>
      <c r="J413" s="7" t="s">
        <v>14</v>
      </c>
      <c r="K413" s="7" t="s">
        <v>236</v>
      </c>
    </row>
    <row r="414" customHeight="1" spans="3:11">
      <c r="C414" s="7">
        <v>1409</v>
      </c>
      <c r="D414" s="7" t="s">
        <v>437</v>
      </c>
      <c r="E414" s="7">
        <v>1</v>
      </c>
      <c r="F414" s="7">
        <f t="shared" si="8"/>
        <v>9816</v>
      </c>
      <c r="G414" s="7">
        <v>1</v>
      </c>
      <c r="H414" s="7">
        <v>34</v>
      </c>
      <c r="I414" s="7">
        <v>5</v>
      </c>
      <c r="J414" s="7" t="s">
        <v>14</v>
      </c>
      <c r="K414" s="7" t="s">
        <v>238</v>
      </c>
    </row>
    <row r="415" customHeight="1" spans="3:11">
      <c r="C415" s="7">
        <v>1410</v>
      </c>
      <c r="D415" s="7" t="s">
        <v>438</v>
      </c>
      <c r="E415" s="7">
        <v>1</v>
      </c>
      <c r="F415" s="7">
        <f t="shared" si="8"/>
        <v>9840</v>
      </c>
      <c r="G415" s="7">
        <v>1</v>
      </c>
      <c r="H415" s="7">
        <v>35</v>
      </c>
      <c r="I415" s="7">
        <v>5</v>
      </c>
      <c r="J415" s="7" t="s">
        <v>14</v>
      </c>
      <c r="K415" s="7" t="s">
        <v>240</v>
      </c>
    </row>
    <row r="416" customHeight="1" spans="3:11">
      <c r="C416" s="7">
        <v>1411</v>
      </c>
      <c r="D416" s="7" t="s">
        <v>439</v>
      </c>
      <c r="E416" s="4">
        <v>1</v>
      </c>
      <c r="F416" s="4">
        <f t="shared" si="8"/>
        <v>9864</v>
      </c>
      <c r="G416" s="4">
        <v>1</v>
      </c>
      <c r="H416" s="4">
        <v>7</v>
      </c>
      <c r="I416" s="4">
        <v>5</v>
      </c>
      <c r="J416" s="4" t="s">
        <v>14</v>
      </c>
      <c r="K416" s="4" t="s">
        <v>33</v>
      </c>
    </row>
    <row r="417" customHeight="1" spans="3:11">
      <c r="C417" s="7">
        <v>1412</v>
      </c>
      <c r="D417" s="7" t="s">
        <v>440</v>
      </c>
      <c r="E417" s="7">
        <v>1</v>
      </c>
      <c r="F417" s="7">
        <f t="shared" si="8"/>
        <v>9888</v>
      </c>
      <c r="G417" s="7">
        <v>1</v>
      </c>
      <c r="H417" s="7">
        <v>14</v>
      </c>
      <c r="I417" s="7">
        <v>30</v>
      </c>
      <c r="J417" s="7" t="s">
        <v>14</v>
      </c>
      <c r="K417" s="7" t="s">
        <v>15</v>
      </c>
    </row>
    <row r="418" customHeight="1" spans="3:11">
      <c r="C418" s="7">
        <v>1413</v>
      </c>
      <c r="D418" s="7" t="s">
        <v>441</v>
      </c>
      <c r="E418" s="7">
        <v>1</v>
      </c>
      <c r="F418" s="7">
        <f t="shared" si="8"/>
        <v>9912</v>
      </c>
      <c r="G418" s="7">
        <v>1</v>
      </c>
      <c r="H418" s="7">
        <v>15</v>
      </c>
      <c r="I418" s="7">
        <v>30</v>
      </c>
      <c r="J418" s="7" t="s">
        <v>14</v>
      </c>
      <c r="K418" s="7" t="s">
        <v>19</v>
      </c>
    </row>
    <row r="419" customHeight="1" spans="3:11">
      <c r="C419" s="7">
        <v>1414</v>
      </c>
      <c r="D419" s="7" t="s">
        <v>442</v>
      </c>
      <c r="E419" s="7">
        <v>1</v>
      </c>
      <c r="F419" s="7">
        <f t="shared" si="8"/>
        <v>9936</v>
      </c>
      <c r="G419" s="7">
        <v>1</v>
      </c>
      <c r="H419" s="7">
        <v>16</v>
      </c>
      <c r="I419" s="7">
        <v>30</v>
      </c>
      <c r="J419" s="7" t="s">
        <v>14</v>
      </c>
      <c r="K419" s="7" t="s">
        <v>21</v>
      </c>
    </row>
    <row r="420" customHeight="1" spans="3:11">
      <c r="C420" s="7">
        <v>1415</v>
      </c>
      <c r="D420" s="7" t="s">
        <v>443</v>
      </c>
      <c r="E420" s="7">
        <v>1</v>
      </c>
      <c r="F420" s="7">
        <f t="shared" si="8"/>
        <v>9960</v>
      </c>
      <c r="G420" s="7">
        <v>1</v>
      </c>
      <c r="H420" s="7">
        <v>9</v>
      </c>
      <c r="I420" s="7">
        <v>30</v>
      </c>
      <c r="J420" s="7" t="s">
        <v>14</v>
      </c>
      <c r="K420" s="7" t="s">
        <v>40</v>
      </c>
    </row>
    <row r="421" customHeight="1" spans="3:11">
      <c r="C421" s="7">
        <v>1416</v>
      </c>
      <c r="D421" s="7" t="s">
        <v>444</v>
      </c>
      <c r="E421" s="7">
        <v>1</v>
      </c>
      <c r="F421" s="7">
        <f t="shared" si="8"/>
        <v>9984</v>
      </c>
      <c r="G421" s="7">
        <v>1</v>
      </c>
      <c r="H421" s="7">
        <v>12</v>
      </c>
      <c r="I421" s="7">
        <v>5</v>
      </c>
      <c r="J421" s="7" t="s">
        <v>14</v>
      </c>
      <c r="K421" s="7" t="s">
        <v>62</v>
      </c>
    </row>
    <row r="422" customHeight="1" spans="3:11">
      <c r="C422" s="7">
        <v>1417</v>
      </c>
      <c r="D422" s="7" t="s">
        <v>445</v>
      </c>
      <c r="E422" s="7">
        <v>1</v>
      </c>
      <c r="F422" s="7">
        <f t="shared" si="8"/>
        <v>10008</v>
      </c>
      <c r="G422" s="7">
        <v>1</v>
      </c>
      <c r="H422" s="7">
        <v>33</v>
      </c>
      <c r="I422" s="7">
        <v>5</v>
      </c>
      <c r="J422" s="7" t="s">
        <v>14</v>
      </c>
      <c r="K422" s="7" t="s">
        <v>236</v>
      </c>
    </row>
    <row r="423" customHeight="1" spans="3:11">
      <c r="C423" s="7">
        <v>1418</v>
      </c>
      <c r="D423" s="7" t="s">
        <v>446</v>
      </c>
      <c r="E423" s="7">
        <v>1</v>
      </c>
      <c r="F423" s="7">
        <f t="shared" si="8"/>
        <v>10032</v>
      </c>
      <c r="G423" s="7">
        <v>1</v>
      </c>
      <c r="H423" s="7">
        <v>34</v>
      </c>
      <c r="I423" s="7">
        <v>5</v>
      </c>
      <c r="J423" s="7" t="s">
        <v>14</v>
      </c>
      <c r="K423" s="7" t="s">
        <v>238</v>
      </c>
    </row>
    <row r="424" customHeight="1" spans="3:11">
      <c r="C424" s="7">
        <v>1419</v>
      </c>
      <c r="D424" s="7" t="s">
        <v>447</v>
      </c>
      <c r="E424" s="7">
        <v>1</v>
      </c>
      <c r="F424" s="7">
        <f t="shared" si="8"/>
        <v>10056</v>
      </c>
      <c r="G424" s="7">
        <v>1</v>
      </c>
      <c r="H424" s="7">
        <v>35</v>
      </c>
      <c r="I424" s="7">
        <v>5</v>
      </c>
      <c r="J424" s="7" t="s">
        <v>14</v>
      </c>
      <c r="K424" s="7" t="s">
        <v>240</v>
      </c>
    </row>
    <row r="425" customHeight="1" spans="3:11">
      <c r="C425" s="7">
        <v>1420</v>
      </c>
      <c r="D425" s="7" t="s">
        <v>448</v>
      </c>
      <c r="E425" s="4">
        <v>1</v>
      </c>
      <c r="F425" s="4">
        <f t="shared" si="8"/>
        <v>10080</v>
      </c>
      <c r="G425" s="4">
        <v>1</v>
      </c>
      <c r="H425" s="4">
        <v>7</v>
      </c>
      <c r="I425" s="4">
        <v>5</v>
      </c>
      <c r="J425" s="4" t="s">
        <v>14</v>
      </c>
      <c r="K425" s="4" t="s">
        <v>33</v>
      </c>
    </row>
    <row r="426" customHeight="1" spans="3:11">
      <c r="C426" s="7">
        <v>1421</v>
      </c>
      <c r="D426" s="7" t="s">
        <v>449</v>
      </c>
      <c r="E426" s="7">
        <v>1</v>
      </c>
      <c r="F426" s="7">
        <f t="shared" si="8"/>
        <v>10104</v>
      </c>
      <c r="G426" s="7">
        <v>1</v>
      </c>
      <c r="H426" s="7">
        <v>14</v>
      </c>
      <c r="I426" s="7">
        <v>50</v>
      </c>
      <c r="J426" s="7" t="s">
        <v>14</v>
      </c>
      <c r="K426" s="7" t="s">
        <v>15</v>
      </c>
    </row>
    <row r="427" customHeight="1" spans="3:11">
      <c r="C427" s="7">
        <v>1422</v>
      </c>
      <c r="D427" s="7" t="s">
        <v>450</v>
      </c>
      <c r="E427" s="7">
        <v>1</v>
      </c>
      <c r="F427" s="7">
        <f t="shared" si="8"/>
        <v>10128</v>
      </c>
      <c r="G427" s="7">
        <v>1</v>
      </c>
      <c r="H427" s="7">
        <v>15</v>
      </c>
      <c r="I427" s="7">
        <v>50</v>
      </c>
      <c r="J427" s="7" t="s">
        <v>14</v>
      </c>
      <c r="K427" s="7" t="s">
        <v>19</v>
      </c>
    </row>
    <row r="428" customHeight="1" spans="3:11">
      <c r="C428" s="7">
        <v>1423</v>
      </c>
      <c r="D428" s="7" t="s">
        <v>451</v>
      </c>
      <c r="E428" s="7">
        <v>1</v>
      </c>
      <c r="F428" s="7">
        <f t="shared" si="8"/>
        <v>10152</v>
      </c>
      <c r="G428" s="7">
        <v>1</v>
      </c>
      <c r="H428" s="7">
        <v>16</v>
      </c>
      <c r="I428" s="7">
        <v>50</v>
      </c>
      <c r="J428" s="7" t="s">
        <v>14</v>
      </c>
      <c r="K428" s="7" t="s">
        <v>21</v>
      </c>
    </row>
    <row r="429" customHeight="1" spans="3:11">
      <c r="C429" s="7">
        <v>1424</v>
      </c>
      <c r="D429" s="7" t="s">
        <v>452</v>
      </c>
      <c r="E429" s="7">
        <v>1</v>
      </c>
      <c r="F429" s="7">
        <f t="shared" si="8"/>
        <v>10176</v>
      </c>
      <c r="G429" s="7">
        <v>1</v>
      </c>
      <c r="H429" s="7">
        <v>9</v>
      </c>
      <c r="I429" s="7">
        <v>30</v>
      </c>
      <c r="J429" s="7" t="s">
        <v>14</v>
      </c>
      <c r="K429" s="7" t="s">
        <v>40</v>
      </c>
    </row>
    <row r="430" customHeight="1" spans="3:11">
      <c r="C430" s="7">
        <v>1425</v>
      </c>
      <c r="D430" s="7" t="s">
        <v>453</v>
      </c>
      <c r="E430" s="7">
        <v>1</v>
      </c>
      <c r="F430" s="7">
        <f t="shared" si="8"/>
        <v>10200</v>
      </c>
      <c r="G430" s="7">
        <v>1</v>
      </c>
      <c r="H430" s="7">
        <v>12</v>
      </c>
      <c r="I430" s="7">
        <v>8</v>
      </c>
      <c r="J430" s="7" t="s">
        <v>14</v>
      </c>
      <c r="K430" s="7" t="s">
        <v>62</v>
      </c>
    </row>
    <row r="431" customHeight="1" spans="3:11">
      <c r="C431" s="7">
        <v>1426</v>
      </c>
      <c r="D431" s="7" t="s">
        <v>454</v>
      </c>
      <c r="E431" s="7">
        <v>1</v>
      </c>
      <c r="F431" s="7">
        <f t="shared" si="8"/>
        <v>10224</v>
      </c>
      <c r="G431" s="7">
        <v>1</v>
      </c>
      <c r="H431" s="7">
        <v>33</v>
      </c>
      <c r="I431" s="7">
        <v>8</v>
      </c>
      <c r="J431" s="7" t="s">
        <v>14</v>
      </c>
      <c r="K431" s="7" t="s">
        <v>236</v>
      </c>
    </row>
    <row r="432" customHeight="1" spans="3:11">
      <c r="C432" s="7">
        <v>1427</v>
      </c>
      <c r="D432" s="7" t="s">
        <v>455</v>
      </c>
      <c r="E432" s="7">
        <v>1</v>
      </c>
      <c r="F432" s="7">
        <f t="shared" si="8"/>
        <v>10248</v>
      </c>
      <c r="G432" s="7">
        <v>1</v>
      </c>
      <c r="H432" s="7">
        <v>34</v>
      </c>
      <c r="I432" s="7">
        <v>8</v>
      </c>
      <c r="J432" s="7" t="s">
        <v>14</v>
      </c>
      <c r="K432" s="7" t="s">
        <v>238</v>
      </c>
    </row>
    <row r="433" customHeight="1" spans="3:11">
      <c r="C433" s="7">
        <v>1428</v>
      </c>
      <c r="D433" s="7" t="s">
        <v>456</v>
      </c>
      <c r="E433" s="7">
        <v>1</v>
      </c>
      <c r="F433" s="7">
        <f t="shared" si="8"/>
        <v>10272</v>
      </c>
      <c r="G433" s="7">
        <v>1</v>
      </c>
      <c r="H433" s="7">
        <v>35</v>
      </c>
      <c r="I433" s="7">
        <v>8</v>
      </c>
      <c r="J433" s="7" t="s">
        <v>14</v>
      </c>
      <c r="K433" s="7" t="s">
        <v>240</v>
      </c>
    </row>
    <row r="434" customHeight="1" spans="3:11">
      <c r="C434" s="7">
        <v>1429</v>
      </c>
      <c r="D434" s="7" t="s">
        <v>457</v>
      </c>
      <c r="E434" s="4">
        <v>1</v>
      </c>
      <c r="F434" s="4">
        <f t="shared" si="8"/>
        <v>10296</v>
      </c>
      <c r="G434" s="4">
        <v>1</v>
      </c>
      <c r="H434" s="4">
        <v>7</v>
      </c>
      <c r="I434" s="4">
        <v>8</v>
      </c>
      <c r="J434" s="4" t="s">
        <v>14</v>
      </c>
      <c r="K434" s="4" t="s">
        <v>33</v>
      </c>
    </row>
    <row r="435" customHeight="1" spans="3:11">
      <c r="C435" s="7">
        <v>1430</v>
      </c>
      <c r="D435" s="7" t="s">
        <v>458</v>
      </c>
      <c r="E435" s="7">
        <v>1</v>
      </c>
      <c r="F435" s="7">
        <f t="shared" si="8"/>
        <v>10320</v>
      </c>
      <c r="G435" s="7">
        <v>1</v>
      </c>
      <c r="H435" s="7">
        <v>14</v>
      </c>
      <c r="I435" s="7">
        <v>50</v>
      </c>
      <c r="J435" s="7" t="s">
        <v>14</v>
      </c>
      <c r="K435" s="7" t="s">
        <v>15</v>
      </c>
    </row>
    <row r="436" customHeight="1" spans="3:11">
      <c r="C436" s="7">
        <v>1431</v>
      </c>
      <c r="D436" s="7" t="s">
        <v>459</v>
      </c>
      <c r="E436" s="7">
        <v>1</v>
      </c>
      <c r="F436" s="7">
        <f t="shared" si="8"/>
        <v>10344</v>
      </c>
      <c r="G436" s="7">
        <v>1</v>
      </c>
      <c r="H436" s="7">
        <v>15</v>
      </c>
      <c r="I436" s="7">
        <v>50</v>
      </c>
      <c r="J436" s="7" t="s">
        <v>14</v>
      </c>
      <c r="K436" s="7" t="s">
        <v>19</v>
      </c>
    </row>
    <row r="437" customHeight="1" spans="3:11">
      <c r="C437" s="7">
        <v>1432</v>
      </c>
      <c r="D437" s="7" t="s">
        <v>460</v>
      </c>
      <c r="E437" s="7">
        <v>1</v>
      </c>
      <c r="F437" s="7">
        <f t="shared" si="8"/>
        <v>10368</v>
      </c>
      <c r="G437" s="7">
        <v>1</v>
      </c>
      <c r="H437" s="7">
        <v>16</v>
      </c>
      <c r="I437" s="7">
        <v>50</v>
      </c>
      <c r="J437" s="7" t="s">
        <v>14</v>
      </c>
      <c r="K437" s="7" t="s">
        <v>21</v>
      </c>
    </row>
    <row r="438" customHeight="1" spans="3:11">
      <c r="C438" s="7">
        <v>1433</v>
      </c>
      <c r="D438" s="7" t="s">
        <v>461</v>
      </c>
      <c r="E438" s="7">
        <v>1</v>
      </c>
      <c r="F438" s="7">
        <f t="shared" si="8"/>
        <v>10392</v>
      </c>
      <c r="G438" s="7">
        <v>1</v>
      </c>
      <c r="H438" s="7">
        <v>9</v>
      </c>
      <c r="I438" s="7">
        <v>30</v>
      </c>
      <c r="J438" s="7" t="s">
        <v>14</v>
      </c>
      <c r="K438" s="7" t="s">
        <v>40</v>
      </c>
    </row>
    <row r="439" customHeight="1" spans="3:11">
      <c r="C439" s="7">
        <v>1434</v>
      </c>
      <c r="D439" s="7" t="s">
        <v>462</v>
      </c>
      <c r="E439" s="7">
        <v>1</v>
      </c>
      <c r="F439" s="7">
        <f t="shared" si="8"/>
        <v>10416</v>
      </c>
      <c r="G439" s="7">
        <v>1</v>
      </c>
      <c r="H439" s="7">
        <v>12</v>
      </c>
      <c r="I439" s="7">
        <v>8</v>
      </c>
      <c r="J439" s="7" t="s">
        <v>14</v>
      </c>
      <c r="K439" s="7" t="s">
        <v>62</v>
      </c>
    </row>
    <row r="440" customHeight="1" spans="3:11">
      <c r="C440" s="7">
        <v>1435</v>
      </c>
      <c r="D440" s="7" t="s">
        <v>463</v>
      </c>
      <c r="E440" s="7">
        <v>1</v>
      </c>
      <c r="F440" s="7">
        <f t="shared" si="8"/>
        <v>10440</v>
      </c>
      <c r="G440" s="7">
        <v>1</v>
      </c>
      <c r="H440" s="7">
        <v>33</v>
      </c>
      <c r="I440" s="7">
        <v>8</v>
      </c>
      <c r="J440" s="7" t="s">
        <v>14</v>
      </c>
      <c r="K440" s="7" t="s">
        <v>236</v>
      </c>
    </row>
    <row r="441" customHeight="1" spans="3:11">
      <c r="C441" s="7">
        <v>1436</v>
      </c>
      <c r="D441" s="7" t="s">
        <v>464</v>
      </c>
      <c r="E441" s="7">
        <v>1</v>
      </c>
      <c r="F441" s="7">
        <f t="shared" si="8"/>
        <v>10464</v>
      </c>
      <c r="G441" s="7">
        <v>1</v>
      </c>
      <c r="H441" s="7">
        <v>34</v>
      </c>
      <c r="I441" s="7">
        <v>8</v>
      </c>
      <c r="J441" s="7" t="s">
        <v>14</v>
      </c>
      <c r="K441" s="7" t="s">
        <v>238</v>
      </c>
    </row>
    <row r="442" customHeight="1" spans="3:11">
      <c r="C442" s="7">
        <v>1437</v>
      </c>
      <c r="D442" s="7" t="s">
        <v>465</v>
      </c>
      <c r="E442" s="7">
        <v>1</v>
      </c>
      <c r="F442" s="7">
        <f t="shared" si="8"/>
        <v>10488</v>
      </c>
      <c r="G442" s="7">
        <v>1</v>
      </c>
      <c r="H442" s="7">
        <v>35</v>
      </c>
      <c r="I442" s="7">
        <v>8</v>
      </c>
      <c r="J442" s="7" t="s">
        <v>14</v>
      </c>
      <c r="K442" s="7" t="s">
        <v>240</v>
      </c>
    </row>
    <row r="443" customHeight="1" spans="3:11">
      <c r="C443" s="7">
        <v>1438</v>
      </c>
      <c r="D443" s="7" t="s">
        <v>466</v>
      </c>
      <c r="E443" s="4">
        <v>1</v>
      </c>
      <c r="F443" s="4">
        <f t="shared" si="8"/>
        <v>10512</v>
      </c>
      <c r="G443" s="4">
        <v>1</v>
      </c>
      <c r="H443" s="4">
        <v>7</v>
      </c>
      <c r="I443" s="4">
        <v>8</v>
      </c>
      <c r="J443" s="4" t="s">
        <v>14</v>
      </c>
      <c r="K443" s="4" t="s">
        <v>33</v>
      </c>
    </row>
    <row r="444" customHeight="1" spans="3:11">
      <c r="C444" s="7">
        <v>1439</v>
      </c>
      <c r="D444" s="7" t="s">
        <v>467</v>
      </c>
      <c r="E444" s="7">
        <v>1</v>
      </c>
      <c r="F444" s="7">
        <f t="shared" si="8"/>
        <v>10536</v>
      </c>
      <c r="G444" s="7">
        <v>1</v>
      </c>
      <c r="H444" s="7">
        <v>14</v>
      </c>
      <c r="I444" s="7">
        <v>50</v>
      </c>
      <c r="J444" s="7" t="s">
        <v>14</v>
      </c>
      <c r="K444" s="7" t="s">
        <v>15</v>
      </c>
    </row>
    <row r="445" customHeight="1" spans="3:11">
      <c r="C445" s="7">
        <v>1440</v>
      </c>
      <c r="D445" s="7" t="s">
        <v>468</v>
      </c>
      <c r="E445" s="7">
        <v>1</v>
      </c>
      <c r="F445" s="7">
        <f t="shared" si="8"/>
        <v>10560</v>
      </c>
      <c r="G445" s="7">
        <v>1</v>
      </c>
      <c r="H445" s="7">
        <v>15</v>
      </c>
      <c r="I445" s="7">
        <v>50</v>
      </c>
      <c r="J445" s="7" t="s">
        <v>14</v>
      </c>
      <c r="K445" s="7" t="s">
        <v>19</v>
      </c>
    </row>
    <row r="446" customHeight="1" spans="3:11">
      <c r="C446" s="7">
        <v>1441</v>
      </c>
      <c r="D446" s="7" t="s">
        <v>469</v>
      </c>
      <c r="E446" s="7">
        <v>1</v>
      </c>
      <c r="F446" s="7">
        <f t="shared" si="8"/>
        <v>10584</v>
      </c>
      <c r="G446" s="7">
        <v>1</v>
      </c>
      <c r="H446" s="7">
        <v>16</v>
      </c>
      <c r="I446" s="7">
        <v>50</v>
      </c>
      <c r="J446" s="7" t="s">
        <v>14</v>
      </c>
      <c r="K446" s="7" t="s">
        <v>21</v>
      </c>
    </row>
    <row r="447" customHeight="1" spans="3:11">
      <c r="C447" s="7">
        <v>1442</v>
      </c>
      <c r="D447" s="7" t="s">
        <v>470</v>
      </c>
      <c r="E447" s="7">
        <v>1</v>
      </c>
      <c r="F447" s="7">
        <f t="shared" si="8"/>
        <v>10608</v>
      </c>
      <c r="G447" s="7">
        <v>1</v>
      </c>
      <c r="H447" s="7">
        <v>9</v>
      </c>
      <c r="I447" s="7">
        <v>30</v>
      </c>
      <c r="J447" s="7" t="s">
        <v>14</v>
      </c>
      <c r="K447" s="7" t="s">
        <v>40</v>
      </c>
    </row>
    <row r="448" customHeight="1" spans="3:11">
      <c r="C448" s="7">
        <v>1443</v>
      </c>
      <c r="D448" s="7" t="s">
        <v>471</v>
      </c>
      <c r="E448" s="7">
        <v>1</v>
      </c>
      <c r="F448" s="7">
        <f t="shared" si="8"/>
        <v>10632</v>
      </c>
      <c r="G448" s="7">
        <v>1</v>
      </c>
      <c r="H448" s="7">
        <v>12</v>
      </c>
      <c r="I448" s="7">
        <v>8</v>
      </c>
      <c r="J448" s="7" t="s">
        <v>14</v>
      </c>
      <c r="K448" s="7" t="s">
        <v>62</v>
      </c>
    </row>
    <row r="449" customHeight="1" spans="3:11">
      <c r="C449" s="7">
        <v>1444</v>
      </c>
      <c r="D449" s="7" t="s">
        <v>472</v>
      </c>
      <c r="E449" s="7">
        <v>1</v>
      </c>
      <c r="F449" s="7">
        <f t="shared" si="8"/>
        <v>10656</v>
      </c>
      <c r="G449" s="7">
        <v>1</v>
      </c>
      <c r="H449" s="7">
        <v>33</v>
      </c>
      <c r="I449" s="7">
        <v>8</v>
      </c>
      <c r="J449" s="7" t="s">
        <v>14</v>
      </c>
      <c r="K449" s="7" t="s">
        <v>236</v>
      </c>
    </row>
    <row r="450" customHeight="1" spans="3:11">
      <c r="C450" s="7">
        <v>1445</v>
      </c>
      <c r="D450" s="7" t="s">
        <v>473</v>
      </c>
      <c r="E450" s="7">
        <v>1</v>
      </c>
      <c r="F450" s="7">
        <f t="shared" si="8"/>
        <v>10680</v>
      </c>
      <c r="G450" s="7">
        <v>1</v>
      </c>
      <c r="H450" s="7">
        <v>34</v>
      </c>
      <c r="I450" s="7">
        <v>8</v>
      </c>
      <c r="J450" s="7" t="s">
        <v>14</v>
      </c>
      <c r="K450" s="7" t="s">
        <v>238</v>
      </c>
    </row>
    <row r="451" customHeight="1" spans="3:11">
      <c r="C451" s="7">
        <v>1446</v>
      </c>
      <c r="D451" s="7" t="s">
        <v>474</v>
      </c>
      <c r="E451" s="7">
        <v>1</v>
      </c>
      <c r="F451" s="7">
        <f t="shared" si="8"/>
        <v>10704</v>
      </c>
      <c r="G451" s="7">
        <v>1</v>
      </c>
      <c r="H451" s="7">
        <v>35</v>
      </c>
      <c r="I451" s="7">
        <v>8</v>
      </c>
      <c r="J451" s="7" t="s">
        <v>14</v>
      </c>
      <c r="K451" s="7" t="s">
        <v>240</v>
      </c>
    </row>
    <row r="452" customHeight="1" spans="3:11">
      <c r="C452" s="7">
        <v>1447</v>
      </c>
      <c r="D452" s="7" t="s">
        <v>475</v>
      </c>
      <c r="E452" s="4">
        <v>1</v>
      </c>
      <c r="F452" s="4">
        <f t="shared" si="8"/>
        <v>10728</v>
      </c>
      <c r="G452" s="4">
        <v>1</v>
      </c>
      <c r="H452" s="4">
        <v>7</v>
      </c>
      <c r="I452" s="4">
        <v>8</v>
      </c>
      <c r="J452" s="4" t="s">
        <v>14</v>
      </c>
      <c r="K452" s="4" t="s">
        <v>33</v>
      </c>
    </row>
    <row r="453" customHeight="1" spans="3:11">
      <c r="C453" s="7">
        <v>1448</v>
      </c>
      <c r="D453" s="7" t="s">
        <v>476</v>
      </c>
      <c r="E453" s="7">
        <v>1</v>
      </c>
      <c r="F453" s="7">
        <f t="shared" si="8"/>
        <v>10752</v>
      </c>
      <c r="G453" s="7">
        <v>1</v>
      </c>
      <c r="H453" s="7">
        <v>14</v>
      </c>
      <c r="I453" s="7">
        <v>50</v>
      </c>
      <c r="J453" s="7" t="s">
        <v>14</v>
      </c>
      <c r="K453" s="7" t="s">
        <v>15</v>
      </c>
    </row>
    <row r="454" customHeight="1" spans="3:11">
      <c r="C454" s="7">
        <v>1449</v>
      </c>
      <c r="D454" s="7" t="s">
        <v>477</v>
      </c>
      <c r="E454" s="7">
        <v>1</v>
      </c>
      <c r="F454" s="7">
        <f t="shared" si="8"/>
        <v>10776</v>
      </c>
      <c r="G454" s="7">
        <v>1</v>
      </c>
      <c r="H454" s="7">
        <v>15</v>
      </c>
      <c r="I454" s="7">
        <v>50</v>
      </c>
      <c r="J454" s="7" t="s">
        <v>14</v>
      </c>
      <c r="K454" s="7" t="s">
        <v>19</v>
      </c>
    </row>
    <row r="455" customHeight="1" spans="3:11">
      <c r="C455" s="7">
        <v>1450</v>
      </c>
      <c r="D455" s="7" t="s">
        <v>478</v>
      </c>
      <c r="E455" s="7">
        <v>1</v>
      </c>
      <c r="F455" s="7">
        <f t="shared" si="8"/>
        <v>10800</v>
      </c>
      <c r="G455" s="7">
        <v>1</v>
      </c>
      <c r="H455" s="7">
        <v>16</v>
      </c>
      <c r="I455" s="7">
        <v>50</v>
      </c>
      <c r="J455" s="7" t="s">
        <v>14</v>
      </c>
      <c r="K455" s="7" t="s">
        <v>21</v>
      </c>
    </row>
    <row r="456" customHeight="1" spans="3:11">
      <c r="C456" s="7">
        <v>1451</v>
      </c>
      <c r="D456" s="7" t="s">
        <v>479</v>
      </c>
      <c r="E456" s="7">
        <v>1</v>
      </c>
      <c r="F456" s="7">
        <f t="shared" si="8"/>
        <v>10824</v>
      </c>
      <c r="G456" s="7">
        <v>1</v>
      </c>
      <c r="H456" s="7">
        <v>9</v>
      </c>
      <c r="I456" s="7">
        <v>30</v>
      </c>
      <c r="J456" s="7" t="s">
        <v>14</v>
      </c>
      <c r="K456" s="7" t="s">
        <v>40</v>
      </c>
    </row>
    <row r="457" customHeight="1" spans="3:11">
      <c r="C457" s="7">
        <v>1452</v>
      </c>
      <c r="D457" s="7" t="s">
        <v>480</v>
      </c>
      <c r="E457" s="7">
        <v>1</v>
      </c>
      <c r="F457" s="7">
        <f t="shared" si="8"/>
        <v>10848</v>
      </c>
      <c r="G457" s="7">
        <v>1</v>
      </c>
      <c r="H457" s="7">
        <v>12</v>
      </c>
      <c r="I457" s="7">
        <v>8</v>
      </c>
      <c r="J457" s="7" t="s">
        <v>14</v>
      </c>
      <c r="K457" s="7" t="s">
        <v>62</v>
      </c>
    </row>
    <row r="458" customHeight="1" spans="3:11">
      <c r="C458" s="7">
        <v>1453</v>
      </c>
      <c r="D458" s="7" t="s">
        <v>481</v>
      </c>
      <c r="E458" s="7">
        <v>1</v>
      </c>
      <c r="F458" s="7">
        <f t="shared" si="8"/>
        <v>10872</v>
      </c>
      <c r="G458" s="7">
        <v>1</v>
      </c>
      <c r="H458" s="7">
        <v>33</v>
      </c>
      <c r="I458" s="7">
        <v>8</v>
      </c>
      <c r="J458" s="7" t="s">
        <v>14</v>
      </c>
      <c r="K458" s="7" t="s">
        <v>236</v>
      </c>
    </row>
    <row r="459" customHeight="1" spans="3:11">
      <c r="C459" s="7">
        <v>1454</v>
      </c>
      <c r="D459" s="7" t="s">
        <v>482</v>
      </c>
      <c r="E459" s="7">
        <v>1</v>
      </c>
      <c r="F459" s="7">
        <f t="shared" si="8"/>
        <v>10896</v>
      </c>
      <c r="G459" s="7">
        <v>1</v>
      </c>
      <c r="H459" s="7">
        <v>34</v>
      </c>
      <c r="I459" s="7">
        <v>8</v>
      </c>
      <c r="J459" s="7" t="s">
        <v>14</v>
      </c>
      <c r="K459" s="7" t="s">
        <v>238</v>
      </c>
    </row>
    <row r="460" customHeight="1" spans="3:11">
      <c r="C460" s="7">
        <v>1455</v>
      </c>
      <c r="D460" s="7" t="s">
        <v>483</v>
      </c>
      <c r="E460" s="7">
        <v>1</v>
      </c>
      <c r="F460" s="7">
        <f t="shared" si="8"/>
        <v>10920</v>
      </c>
      <c r="G460" s="7">
        <v>1</v>
      </c>
      <c r="H460" s="7">
        <v>35</v>
      </c>
      <c r="I460" s="7">
        <v>8</v>
      </c>
      <c r="J460" s="7" t="s">
        <v>14</v>
      </c>
      <c r="K460" s="7" t="s">
        <v>240</v>
      </c>
    </row>
    <row r="461" customHeight="1" spans="3:11">
      <c r="C461" s="7">
        <v>1456</v>
      </c>
      <c r="D461" s="7" t="s">
        <v>484</v>
      </c>
      <c r="E461" s="4">
        <v>1</v>
      </c>
      <c r="F461" s="4">
        <f t="shared" si="8"/>
        <v>10944</v>
      </c>
      <c r="G461" s="4">
        <v>1</v>
      </c>
      <c r="H461" s="4">
        <v>7</v>
      </c>
      <c r="I461" s="4">
        <v>8</v>
      </c>
      <c r="J461" s="4" t="s">
        <v>14</v>
      </c>
      <c r="K461" s="4" t="s">
        <v>33</v>
      </c>
    </row>
    <row r="462" customHeight="1" spans="3:11">
      <c r="C462" s="7">
        <v>1457</v>
      </c>
      <c r="D462" s="7" t="s">
        <v>485</v>
      </c>
      <c r="E462" s="7">
        <v>1</v>
      </c>
      <c r="F462" s="7">
        <f t="shared" ref="F462:F488" si="9">(C462-1000)*24</f>
        <v>10968</v>
      </c>
      <c r="G462" s="7">
        <v>1</v>
      </c>
      <c r="H462" s="7">
        <v>14</v>
      </c>
      <c r="I462" s="7">
        <v>50</v>
      </c>
      <c r="J462" s="7" t="s">
        <v>14</v>
      </c>
      <c r="K462" s="7" t="s">
        <v>15</v>
      </c>
    </row>
    <row r="463" customHeight="1" spans="3:11">
      <c r="C463" s="7">
        <v>1458</v>
      </c>
      <c r="D463" s="7" t="s">
        <v>486</v>
      </c>
      <c r="E463" s="7">
        <v>1</v>
      </c>
      <c r="F463" s="7">
        <f t="shared" si="9"/>
        <v>10992</v>
      </c>
      <c r="G463" s="7">
        <v>1</v>
      </c>
      <c r="H463" s="7">
        <v>15</v>
      </c>
      <c r="I463" s="7">
        <v>50</v>
      </c>
      <c r="J463" s="7" t="s">
        <v>14</v>
      </c>
      <c r="K463" s="7" t="s">
        <v>19</v>
      </c>
    </row>
    <row r="464" customHeight="1" spans="3:11">
      <c r="C464" s="7">
        <v>1459</v>
      </c>
      <c r="D464" s="7" t="s">
        <v>487</v>
      </c>
      <c r="E464" s="7">
        <v>1</v>
      </c>
      <c r="F464" s="7">
        <f t="shared" si="9"/>
        <v>11016</v>
      </c>
      <c r="G464" s="7">
        <v>1</v>
      </c>
      <c r="H464" s="7">
        <v>16</v>
      </c>
      <c r="I464" s="7">
        <v>50</v>
      </c>
      <c r="J464" s="7" t="s">
        <v>14</v>
      </c>
      <c r="K464" s="7" t="s">
        <v>21</v>
      </c>
    </row>
    <row r="465" customHeight="1" spans="3:11">
      <c r="C465" s="7">
        <v>1460</v>
      </c>
      <c r="D465" s="7" t="s">
        <v>488</v>
      </c>
      <c r="E465" s="7">
        <v>1</v>
      </c>
      <c r="F465" s="7">
        <f t="shared" si="9"/>
        <v>11040</v>
      </c>
      <c r="G465" s="7">
        <v>1</v>
      </c>
      <c r="H465" s="7">
        <v>9</v>
      </c>
      <c r="I465" s="7">
        <v>30</v>
      </c>
      <c r="J465" s="7" t="s">
        <v>14</v>
      </c>
      <c r="K465" s="7" t="s">
        <v>40</v>
      </c>
    </row>
    <row r="466" customHeight="1" spans="3:11">
      <c r="C466" s="7">
        <v>1461</v>
      </c>
      <c r="D466" s="7" t="s">
        <v>489</v>
      </c>
      <c r="E466" s="7">
        <v>1</v>
      </c>
      <c r="F466" s="7">
        <f t="shared" si="9"/>
        <v>11064</v>
      </c>
      <c r="G466" s="7">
        <v>1</v>
      </c>
      <c r="H466" s="7">
        <v>12</v>
      </c>
      <c r="I466" s="7">
        <v>8</v>
      </c>
      <c r="J466" s="7" t="s">
        <v>14</v>
      </c>
      <c r="K466" s="7" t="s">
        <v>62</v>
      </c>
    </row>
    <row r="467" customHeight="1" spans="3:11">
      <c r="C467" s="7">
        <v>1462</v>
      </c>
      <c r="D467" s="7" t="s">
        <v>490</v>
      </c>
      <c r="E467" s="7">
        <v>1</v>
      </c>
      <c r="F467" s="7">
        <f t="shared" si="9"/>
        <v>11088</v>
      </c>
      <c r="G467" s="7">
        <v>1</v>
      </c>
      <c r="H467" s="7">
        <v>33</v>
      </c>
      <c r="I467" s="7">
        <v>8</v>
      </c>
      <c r="J467" s="7" t="s">
        <v>14</v>
      </c>
      <c r="K467" s="7" t="s">
        <v>236</v>
      </c>
    </row>
    <row r="468" customHeight="1" spans="3:11">
      <c r="C468" s="7">
        <v>1463</v>
      </c>
      <c r="D468" s="7" t="s">
        <v>491</v>
      </c>
      <c r="E468" s="7">
        <v>1</v>
      </c>
      <c r="F468" s="7">
        <f t="shared" si="9"/>
        <v>11112</v>
      </c>
      <c r="G468" s="7">
        <v>1</v>
      </c>
      <c r="H468" s="7">
        <v>34</v>
      </c>
      <c r="I468" s="7">
        <v>8</v>
      </c>
      <c r="J468" s="7" t="s">
        <v>14</v>
      </c>
      <c r="K468" s="7" t="s">
        <v>238</v>
      </c>
    </row>
    <row r="469" customHeight="1" spans="3:11">
      <c r="C469" s="7">
        <v>1464</v>
      </c>
      <c r="D469" s="7" t="s">
        <v>492</v>
      </c>
      <c r="E469" s="7">
        <v>1</v>
      </c>
      <c r="F469" s="7">
        <f t="shared" si="9"/>
        <v>11136</v>
      </c>
      <c r="G469" s="7">
        <v>1</v>
      </c>
      <c r="H469" s="7">
        <v>35</v>
      </c>
      <c r="I469" s="7">
        <v>8</v>
      </c>
      <c r="J469" s="7" t="s">
        <v>14</v>
      </c>
      <c r="K469" s="7" t="s">
        <v>240</v>
      </c>
    </row>
    <row r="470" customHeight="1" spans="3:11">
      <c r="C470" s="7">
        <v>1465</v>
      </c>
      <c r="D470" s="7" t="s">
        <v>493</v>
      </c>
      <c r="E470" s="4">
        <v>1</v>
      </c>
      <c r="F470" s="4">
        <f t="shared" si="9"/>
        <v>11160</v>
      </c>
      <c r="G470" s="4">
        <v>1</v>
      </c>
      <c r="H470" s="4">
        <v>7</v>
      </c>
      <c r="I470" s="4">
        <v>8</v>
      </c>
      <c r="J470" s="4" t="s">
        <v>14</v>
      </c>
      <c r="K470" s="4" t="s">
        <v>33</v>
      </c>
    </row>
    <row r="471" customHeight="1" spans="3:11">
      <c r="C471" s="7">
        <v>1466</v>
      </c>
      <c r="D471" s="7" t="s">
        <v>494</v>
      </c>
      <c r="E471" s="7">
        <v>1</v>
      </c>
      <c r="F471" s="7">
        <f t="shared" si="9"/>
        <v>11184</v>
      </c>
      <c r="G471" s="7">
        <v>1</v>
      </c>
      <c r="H471" s="7">
        <v>14</v>
      </c>
      <c r="I471" s="7">
        <v>50</v>
      </c>
      <c r="J471" s="7" t="s">
        <v>14</v>
      </c>
      <c r="K471" s="7" t="s">
        <v>15</v>
      </c>
    </row>
    <row r="472" customHeight="1" spans="3:11">
      <c r="C472" s="7">
        <v>1467</v>
      </c>
      <c r="D472" s="7" t="s">
        <v>495</v>
      </c>
      <c r="E472" s="7">
        <v>1</v>
      </c>
      <c r="F472" s="7">
        <f t="shared" si="9"/>
        <v>11208</v>
      </c>
      <c r="G472" s="7">
        <v>1</v>
      </c>
      <c r="H472" s="7">
        <v>15</v>
      </c>
      <c r="I472" s="7">
        <v>50</v>
      </c>
      <c r="J472" s="7" t="s">
        <v>14</v>
      </c>
      <c r="K472" s="7" t="s">
        <v>19</v>
      </c>
    </row>
    <row r="473" customHeight="1" spans="3:11">
      <c r="C473" s="7">
        <v>1468</v>
      </c>
      <c r="D473" s="7" t="s">
        <v>496</v>
      </c>
      <c r="E473" s="7">
        <v>1</v>
      </c>
      <c r="F473" s="7">
        <f t="shared" si="9"/>
        <v>11232</v>
      </c>
      <c r="G473" s="7">
        <v>1</v>
      </c>
      <c r="H473" s="7">
        <v>16</v>
      </c>
      <c r="I473" s="7">
        <v>50</v>
      </c>
      <c r="J473" s="7" t="s">
        <v>14</v>
      </c>
      <c r="K473" s="7" t="s">
        <v>21</v>
      </c>
    </row>
    <row r="474" customHeight="1" spans="3:11">
      <c r="C474" s="7">
        <v>1469</v>
      </c>
      <c r="D474" s="7" t="s">
        <v>497</v>
      </c>
      <c r="E474" s="7">
        <v>1</v>
      </c>
      <c r="F474" s="7">
        <f t="shared" si="9"/>
        <v>11256</v>
      </c>
      <c r="G474" s="7">
        <v>1</v>
      </c>
      <c r="H474" s="7">
        <v>9</v>
      </c>
      <c r="I474" s="7">
        <v>30</v>
      </c>
      <c r="J474" s="7" t="s">
        <v>14</v>
      </c>
      <c r="K474" s="7" t="s">
        <v>40</v>
      </c>
    </row>
    <row r="475" customHeight="1" spans="3:11">
      <c r="C475" s="7">
        <v>1470</v>
      </c>
      <c r="D475" s="7" t="s">
        <v>498</v>
      </c>
      <c r="E475" s="7">
        <v>1</v>
      </c>
      <c r="F475" s="7">
        <f t="shared" si="9"/>
        <v>11280</v>
      </c>
      <c r="G475" s="7">
        <v>1</v>
      </c>
      <c r="H475" s="7">
        <v>12</v>
      </c>
      <c r="I475" s="7">
        <v>8</v>
      </c>
      <c r="J475" s="7" t="s">
        <v>14</v>
      </c>
      <c r="K475" s="7" t="s">
        <v>62</v>
      </c>
    </row>
    <row r="476" customHeight="1" spans="3:11">
      <c r="C476" s="7">
        <v>1471</v>
      </c>
      <c r="D476" s="7" t="s">
        <v>499</v>
      </c>
      <c r="E476" s="7">
        <v>1</v>
      </c>
      <c r="F476" s="7">
        <f t="shared" si="9"/>
        <v>11304</v>
      </c>
      <c r="G476" s="7">
        <v>1</v>
      </c>
      <c r="H476" s="7">
        <v>33</v>
      </c>
      <c r="I476" s="7">
        <v>8</v>
      </c>
      <c r="J476" s="7" t="s">
        <v>14</v>
      </c>
      <c r="K476" s="7" t="s">
        <v>236</v>
      </c>
    </row>
    <row r="477" customHeight="1" spans="3:11">
      <c r="C477" s="7">
        <v>1472</v>
      </c>
      <c r="D477" s="7" t="s">
        <v>500</v>
      </c>
      <c r="E477" s="7">
        <v>1</v>
      </c>
      <c r="F477" s="7">
        <f t="shared" si="9"/>
        <v>11328</v>
      </c>
      <c r="G477" s="7">
        <v>1</v>
      </c>
      <c r="H477" s="7">
        <v>34</v>
      </c>
      <c r="I477" s="7">
        <v>8</v>
      </c>
      <c r="J477" s="7" t="s">
        <v>14</v>
      </c>
      <c r="K477" s="7" t="s">
        <v>238</v>
      </c>
    </row>
    <row r="478" customHeight="1" spans="3:11">
      <c r="C478" s="7">
        <v>1473</v>
      </c>
      <c r="D478" s="7" t="s">
        <v>501</v>
      </c>
      <c r="E478" s="7">
        <v>1</v>
      </c>
      <c r="F478" s="7">
        <f t="shared" si="9"/>
        <v>11352</v>
      </c>
      <c r="G478" s="7">
        <v>1</v>
      </c>
      <c r="H478" s="7">
        <v>35</v>
      </c>
      <c r="I478" s="7">
        <v>8</v>
      </c>
      <c r="J478" s="7" t="s">
        <v>14</v>
      </c>
      <c r="K478" s="7" t="s">
        <v>240</v>
      </c>
    </row>
    <row r="479" customHeight="1" spans="3:11">
      <c r="C479" s="7">
        <v>1474</v>
      </c>
      <c r="D479" s="7" t="s">
        <v>502</v>
      </c>
      <c r="E479" s="4">
        <v>1</v>
      </c>
      <c r="F479" s="4">
        <f t="shared" si="9"/>
        <v>11376</v>
      </c>
      <c r="G479" s="4">
        <v>1</v>
      </c>
      <c r="H479" s="4">
        <v>7</v>
      </c>
      <c r="I479" s="4">
        <v>8</v>
      </c>
      <c r="J479" s="4" t="s">
        <v>14</v>
      </c>
      <c r="K479" s="4" t="s">
        <v>33</v>
      </c>
    </row>
    <row r="480" customHeight="1" spans="3:11">
      <c r="C480" s="7">
        <v>1475</v>
      </c>
      <c r="D480" s="7" t="s">
        <v>503</v>
      </c>
      <c r="E480" s="7">
        <v>1</v>
      </c>
      <c r="F480" s="7">
        <f t="shared" ref="F480:F487" si="10">F479+72</f>
        <v>11448</v>
      </c>
      <c r="G480" s="7">
        <v>1</v>
      </c>
      <c r="H480" s="7">
        <v>14</v>
      </c>
      <c r="I480" s="7">
        <v>150</v>
      </c>
      <c r="J480" s="7" t="s">
        <v>14</v>
      </c>
      <c r="K480" s="7" t="s">
        <v>15</v>
      </c>
    </row>
    <row r="481" customHeight="1" spans="3:11">
      <c r="C481" s="7">
        <v>1476</v>
      </c>
      <c r="D481" s="7" t="s">
        <v>504</v>
      </c>
      <c r="E481" s="7">
        <v>1</v>
      </c>
      <c r="F481" s="7">
        <f t="shared" si="10"/>
        <v>11520</v>
      </c>
      <c r="G481" s="7">
        <v>1</v>
      </c>
      <c r="H481" s="7">
        <v>15</v>
      </c>
      <c r="I481" s="7">
        <v>150</v>
      </c>
      <c r="J481" s="7" t="s">
        <v>14</v>
      </c>
      <c r="K481" s="7" t="s">
        <v>19</v>
      </c>
    </row>
    <row r="482" customHeight="1" spans="3:11">
      <c r="C482" s="7">
        <v>1477</v>
      </c>
      <c r="D482" s="7" t="s">
        <v>505</v>
      </c>
      <c r="E482" s="7">
        <v>1</v>
      </c>
      <c r="F482" s="7">
        <f t="shared" si="10"/>
        <v>11592</v>
      </c>
      <c r="G482" s="7">
        <v>1</v>
      </c>
      <c r="H482" s="7">
        <v>16</v>
      </c>
      <c r="I482" s="7">
        <v>150</v>
      </c>
      <c r="J482" s="7" t="s">
        <v>14</v>
      </c>
      <c r="K482" s="7" t="s">
        <v>21</v>
      </c>
    </row>
    <row r="483" customHeight="1" spans="3:11">
      <c r="C483" s="7">
        <v>1478</v>
      </c>
      <c r="D483" s="7" t="s">
        <v>506</v>
      </c>
      <c r="E483" s="7">
        <v>1</v>
      </c>
      <c r="F483" s="7">
        <f t="shared" si="10"/>
        <v>11664</v>
      </c>
      <c r="G483" s="7">
        <v>1</v>
      </c>
      <c r="H483" s="7">
        <v>9</v>
      </c>
      <c r="I483" s="7">
        <v>90</v>
      </c>
      <c r="J483" s="7" t="s">
        <v>14</v>
      </c>
      <c r="K483" s="7" t="s">
        <v>40</v>
      </c>
    </row>
    <row r="484" customHeight="1" spans="3:11">
      <c r="C484" s="7">
        <v>1479</v>
      </c>
      <c r="D484" s="7" t="s">
        <v>507</v>
      </c>
      <c r="E484" s="7">
        <v>1</v>
      </c>
      <c r="F484" s="7">
        <f t="shared" si="10"/>
        <v>11736</v>
      </c>
      <c r="G484" s="7">
        <v>1</v>
      </c>
      <c r="H484" s="7">
        <v>12</v>
      </c>
      <c r="I484" s="7">
        <v>24</v>
      </c>
      <c r="J484" s="7" t="s">
        <v>14</v>
      </c>
      <c r="K484" s="7" t="s">
        <v>62</v>
      </c>
    </row>
    <row r="485" customHeight="1" spans="3:11">
      <c r="C485" s="7">
        <v>1480</v>
      </c>
      <c r="D485" s="7" t="s">
        <v>508</v>
      </c>
      <c r="E485" s="7">
        <v>1</v>
      </c>
      <c r="F485" s="7">
        <f t="shared" si="10"/>
        <v>11808</v>
      </c>
      <c r="G485" s="7">
        <v>1</v>
      </c>
      <c r="H485" s="7">
        <v>33</v>
      </c>
      <c r="I485" s="7">
        <v>24</v>
      </c>
      <c r="J485" s="7" t="s">
        <v>14</v>
      </c>
      <c r="K485" s="7" t="s">
        <v>236</v>
      </c>
    </row>
    <row r="486" customHeight="1" spans="3:11">
      <c r="C486" s="7">
        <v>1481</v>
      </c>
      <c r="D486" s="7" t="s">
        <v>509</v>
      </c>
      <c r="E486" s="7">
        <v>1</v>
      </c>
      <c r="F486" s="7">
        <f t="shared" si="10"/>
        <v>11880</v>
      </c>
      <c r="G486" s="7">
        <v>1</v>
      </c>
      <c r="H486" s="7">
        <v>34</v>
      </c>
      <c r="I486" s="7">
        <v>24</v>
      </c>
      <c r="J486" s="7" t="s">
        <v>14</v>
      </c>
      <c r="K486" s="7" t="s">
        <v>238</v>
      </c>
    </row>
    <row r="487" customHeight="1" spans="3:11">
      <c r="C487" s="7">
        <v>1482</v>
      </c>
      <c r="D487" s="7" t="s">
        <v>510</v>
      </c>
      <c r="E487" s="7">
        <v>1</v>
      </c>
      <c r="F487" s="7">
        <f>F486+72</f>
        <v>11952</v>
      </c>
      <c r="G487" s="7">
        <v>1</v>
      </c>
      <c r="H487" s="7">
        <v>35</v>
      </c>
      <c r="I487" s="7">
        <v>24</v>
      </c>
      <c r="J487" s="7" t="s">
        <v>14</v>
      </c>
      <c r="K487" s="7" t="s">
        <v>240</v>
      </c>
    </row>
    <row r="488" customHeight="1" spans="3:11">
      <c r="C488" s="7">
        <v>1483</v>
      </c>
      <c r="D488" s="7" t="s">
        <v>511</v>
      </c>
      <c r="E488" s="4">
        <v>1</v>
      </c>
      <c r="F488" s="4">
        <f>F486+72</f>
        <v>11952</v>
      </c>
      <c r="G488" s="4">
        <v>1</v>
      </c>
      <c r="H488" s="4">
        <v>7</v>
      </c>
      <c r="I488" s="4">
        <v>24</v>
      </c>
      <c r="J488" s="4" t="s">
        <v>14</v>
      </c>
      <c r="K488" s="4" t="s">
        <v>33</v>
      </c>
    </row>
    <row r="489" customHeight="1" spans="3:11">
      <c r="C489" s="7">
        <v>1484</v>
      </c>
      <c r="D489" s="7" t="s">
        <v>512</v>
      </c>
      <c r="E489" s="7">
        <v>1</v>
      </c>
      <c r="F489" s="7">
        <f>F488+72</f>
        <v>12024</v>
      </c>
      <c r="G489" s="7">
        <v>1</v>
      </c>
      <c r="H489" s="7">
        <v>14</v>
      </c>
      <c r="I489" s="7">
        <v>150</v>
      </c>
      <c r="J489" s="7" t="s">
        <v>14</v>
      </c>
      <c r="K489" s="7" t="s">
        <v>15</v>
      </c>
    </row>
    <row r="490" customHeight="1" spans="3:11">
      <c r="C490" s="7">
        <v>1485</v>
      </c>
      <c r="D490" s="7" t="s">
        <v>513</v>
      </c>
      <c r="E490" s="7">
        <v>1</v>
      </c>
      <c r="F490" s="7">
        <f>F489+72</f>
        <v>12096</v>
      </c>
      <c r="G490" s="7">
        <v>1</v>
      </c>
      <c r="H490" s="7">
        <v>15</v>
      </c>
      <c r="I490" s="7">
        <v>150</v>
      </c>
      <c r="J490" s="7" t="s">
        <v>14</v>
      </c>
      <c r="K490" s="7" t="s">
        <v>19</v>
      </c>
    </row>
    <row r="491" customHeight="1" spans="3:11">
      <c r="C491" s="7">
        <v>1486</v>
      </c>
      <c r="D491" s="7" t="s">
        <v>514</v>
      </c>
      <c r="E491" s="7">
        <v>1</v>
      </c>
      <c r="F491" s="7">
        <f>F490+72</f>
        <v>12168</v>
      </c>
      <c r="G491" s="7">
        <v>1</v>
      </c>
      <c r="H491" s="7">
        <v>16</v>
      </c>
      <c r="I491" s="7">
        <v>150</v>
      </c>
      <c r="J491" s="7" t="s">
        <v>14</v>
      </c>
      <c r="K491" s="7" t="s">
        <v>21</v>
      </c>
    </row>
    <row r="492" customHeight="1" spans="3:11">
      <c r="C492" s="7">
        <v>1487</v>
      </c>
      <c r="D492" s="7" t="s">
        <v>515</v>
      </c>
      <c r="E492" s="7">
        <v>1</v>
      </c>
      <c r="F492" s="7">
        <f>F491+72</f>
        <v>12240</v>
      </c>
      <c r="G492" s="7">
        <v>1</v>
      </c>
      <c r="H492" s="7">
        <v>9</v>
      </c>
      <c r="I492" s="7">
        <v>90</v>
      </c>
      <c r="J492" s="7" t="s">
        <v>14</v>
      </c>
      <c r="K492" s="7" t="s">
        <v>40</v>
      </c>
    </row>
    <row r="493" customHeight="1" spans="3:11">
      <c r="C493" s="7">
        <v>1488</v>
      </c>
      <c r="D493" s="7" t="s">
        <v>516</v>
      </c>
      <c r="E493" s="7">
        <v>1</v>
      </c>
      <c r="F493" s="7">
        <f>F492+72</f>
        <v>12312</v>
      </c>
      <c r="G493" s="7">
        <v>1</v>
      </c>
      <c r="H493" s="7">
        <v>12</v>
      </c>
      <c r="I493" s="7">
        <v>24</v>
      </c>
      <c r="J493" s="7" t="s">
        <v>14</v>
      </c>
      <c r="K493" s="7" t="s">
        <v>62</v>
      </c>
    </row>
    <row r="494" customHeight="1" spans="3:11">
      <c r="C494" s="7">
        <v>1489</v>
      </c>
      <c r="D494" s="7" t="s">
        <v>517</v>
      </c>
      <c r="E494" s="7">
        <v>1</v>
      </c>
      <c r="F494" s="7">
        <f>F493+72</f>
        <v>12384</v>
      </c>
      <c r="G494" s="7">
        <v>1</v>
      </c>
      <c r="H494" s="7">
        <v>33</v>
      </c>
      <c r="I494" s="7">
        <v>24</v>
      </c>
      <c r="J494" s="7" t="s">
        <v>14</v>
      </c>
      <c r="K494" s="7" t="s">
        <v>236</v>
      </c>
    </row>
    <row r="495" customHeight="1" spans="3:11">
      <c r="C495" s="7">
        <v>1490</v>
      </c>
      <c r="D495" s="7" t="s">
        <v>518</v>
      </c>
      <c r="E495" s="7">
        <v>1</v>
      </c>
      <c r="F495" s="7">
        <f>F494+72</f>
        <v>12456</v>
      </c>
      <c r="G495" s="7">
        <v>1</v>
      </c>
      <c r="H495" s="7">
        <v>34</v>
      </c>
      <c r="I495" s="7">
        <v>24</v>
      </c>
      <c r="J495" s="7" t="s">
        <v>14</v>
      </c>
      <c r="K495" s="7" t="s">
        <v>238</v>
      </c>
    </row>
    <row r="496" customHeight="1" spans="3:11">
      <c r="C496" s="7">
        <v>1491</v>
      </c>
      <c r="D496" s="7" t="s">
        <v>519</v>
      </c>
      <c r="E496" s="7">
        <v>1</v>
      </c>
      <c r="F496" s="7">
        <f>F495+72</f>
        <v>12528</v>
      </c>
      <c r="G496" s="7">
        <v>1</v>
      </c>
      <c r="H496" s="7">
        <v>35</v>
      </c>
      <c r="I496" s="7">
        <v>24</v>
      </c>
      <c r="J496" s="7" t="s">
        <v>14</v>
      </c>
      <c r="K496" s="7" t="s">
        <v>240</v>
      </c>
    </row>
    <row r="497" customHeight="1" spans="3:11">
      <c r="C497" s="7">
        <v>1492</v>
      </c>
      <c r="D497" s="7" t="s">
        <v>520</v>
      </c>
      <c r="E497" s="4">
        <v>1</v>
      </c>
      <c r="F497" s="4">
        <f>F496+72</f>
        <v>12600</v>
      </c>
      <c r="G497" s="4">
        <v>1</v>
      </c>
      <c r="H497" s="4">
        <v>7</v>
      </c>
      <c r="I497" s="4">
        <v>24</v>
      </c>
      <c r="J497" s="4" t="s">
        <v>14</v>
      </c>
      <c r="K497" s="4" t="s">
        <v>33</v>
      </c>
    </row>
    <row r="498" customHeight="1" spans="3:11">
      <c r="C498" s="7">
        <v>1493</v>
      </c>
      <c r="D498" s="7" t="s">
        <v>521</v>
      </c>
      <c r="E498" s="7">
        <v>1</v>
      </c>
      <c r="F498" s="7">
        <f t="shared" ref="F498:F505" si="11">F497+96</f>
        <v>12696</v>
      </c>
      <c r="G498" s="7">
        <v>1</v>
      </c>
      <c r="H498" s="7">
        <v>14</v>
      </c>
      <c r="I498" s="7">
        <v>200</v>
      </c>
      <c r="J498" s="7" t="s">
        <v>14</v>
      </c>
      <c r="K498" s="7" t="s">
        <v>15</v>
      </c>
    </row>
    <row r="499" customHeight="1" spans="3:11">
      <c r="C499" s="7">
        <v>1494</v>
      </c>
      <c r="D499" s="7" t="s">
        <v>522</v>
      </c>
      <c r="E499" s="7">
        <v>1</v>
      </c>
      <c r="F499" s="7">
        <f t="shared" si="11"/>
        <v>12792</v>
      </c>
      <c r="G499" s="7">
        <v>1</v>
      </c>
      <c r="H499" s="7">
        <v>15</v>
      </c>
      <c r="I499" s="7">
        <v>200</v>
      </c>
      <c r="J499" s="7" t="s">
        <v>14</v>
      </c>
      <c r="K499" s="7" t="s">
        <v>19</v>
      </c>
    </row>
    <row r="500" customHeight="1" spans="3:11">
      <c r="C500" s="7">
        <v>1495</v>
      </c>
      <c r="D500" s="7" t="s">
        <v>523</v>
      </c>
      <c r="E500" s="7">
        <v>1</v>
      </c>
      <c r="F500" s="7">
        <f t="shared" si="11"/>
        <v>12888</v>
      </c>
      <c r="G500" s="7">
        <v>1</v>
      </c>
      <c r="H500" s="7">
        <v>16</v>
      </c>
      <c r="I500" s="7">
        <v>200</v>
      </c>
      <c r="J500" s="7" t="s">
        <v>14</v>
      </c>
      <c r="K500" s="7" t="s">
        <v>21</v>
      </c>
    </row>
    <row r="501" customHeight="1" spans="3:11">
      <c r="C501" s="7">
        <v>1496</v>
      </c>
      <c r="D501" s="7" t="s">
        <v>524</v>
      </c>
      <c r="E501" s="7">
        <v>1</v>
      </c>
      <c r="F501" s="7">
        <f t="shared" si="11"/>
        <v>12984</v>
      </c>
      <c r="G501" s="7">
        <v>1</v>
      </c>
      <c r="H501" s="7">
        <v>9</v>
      </c>
      <c r="I501" s="7">
        <v>120</v>
      </c>
      <c r="J501" s="7" t="s">
        <v>14</v>
      </c>
      <c r="K501" s="7" t="s">
        <v>40</v>
      </c>
    </row>
    <row r="502" customHeight="1" spans="3:11">
      <c r="C502" s="7">
        <v>1497</v>
      </c>
      <c r="D502" s="7" t="s">
        <v>525</v>
      </c>
      <c r="E502" s="7">
        <v>1</v>
      </c>
      <c r="F502" s="7">
        <f t="shared" si="11"/>
        <v>13080</v>
      </c>
      <c r="G502" s="7">
        <v>1</v>
      </c>
      <c r="H502" s="7">
        <v>12</v>
      </c>
      <c r="I502" s="7">
        <v>32</v>
      </c>
      <c r="J502" s="7" t="s">
        <v>14</v>
      </c>
      <c r="K502" s="7" t="s">
        <v>62</v>
      </c>
    </row>
    <row r="503" customHeight="1" spans="3:11">
      <c r="C503" s="7">
        <v>1498</v>
      </c>
      <c r="D503" s="7" t="s">
        <v>526</v>
      </c>
      <c r="E503" s="7">
        <v>1</v>
      </c>
      <c r="F503" s="7">
        <f t="shared" si="11"/>
        <v>13176</v>
      </c>
      <c r="G503" s="7">
        <v>1</v>
      </c>
      <c r="H503" s="7">
        <v>33</v>
      </c>
      <c r="I503" s="7">
        <v>32</v>
      </c>
      <c r="J503" s="7" t="s">
        <v>14</v>
      </c>
      <c r="K503" s="7" t="s">
        <v>236</v>
      </c>
    </row>
    <row r="504" customHeight="1" spans="3:11">
      <c r="C504" s="7">
        <v>1499</v>
      </c>
      <c r="D504" s="7" t="s">
        <v>527</v>
      </c>
      <c r="E504" s="7">
        <v>1</v>
      </c>
      <c r="F504" s="7">
        <f t="shared" si="11"/>
        <v>13272</v>
      </c>
      <c r="G504" s="7">
        <v>1</v>
      </c>
      <c r="H504" s="7">
        <v>34</v>
      </c>
      <c r="I504" s="7">
        <v>32</v>
      </c>
      <c r="J504" s="7" t="s">
        <v>14</v>
      </c>
      <c r="K504" s="7" t="s">
        <v>238</v>
      </c>
    </row>
    <row r="505" customHeight="1" spans="3:11">
      <c r="C505" s="7">
        <v>1500</v>
      </c>
      <c r="D505" s="7" t="s">
        <v>528</v>
      </c>
      <c r="E505" s="7">
        <v>1</v>
      </c>
      <c r="F505" s="7">
        <f t="shared" si="11"/>
        <v>13368</v>
      </c>
      <c r="G505" s="7">
        <v>1</v>
      </c>
      <c r="H505" s="7">
        <v>35</v>
      </c>
      <c r="I505" s="7">
        <v>32</v>
      </c>
      <c r="J505" s="7" t="s">
        <v>14</v>
      </c>
      <c r="K505" s="7" t="s">
        <v>240</v>
      </c>
    </row>
    <row r="506" customHeight="1" spans="3:11">
      <c r="C506" s="7">
        <v>1501</v>
      </c>
      <c r="D506" s="7" t="s">
        <v>529</v>
      </c>
      <c r="E506" s="4">
        <v>1</v>
      </c>
      <c r="F506" s="4">
        <f>F505+96</f>
        <v>13464</v>
      </c>
      <c r="G506" s="4">
        <v>1</v>
      </c>
      <c r="H506" s="4">
        <v>7</v>
      </c>
      <c r="I506" s="4">
        <v>32</v>
      </c>
      <c r="J506" s="4" t="s">
        <v>14</v>
      </c>
      <c r="K506" s="4" t="s">
        <v>33</v>
      </c>
    </row>
    <row r="507" customHeight="1" spans="3:11">
      <c r="C507" s="7">
        <v>1502</v>
      </c>
      <c r="D507" s="7" t="s">
        <v>530</v>
      </c>
      <c r="E507" s="7">
        <v>1</v>
      </c>
      <c r="F507" s="7">
        <f t="shared" ref="F507:F514" si="12">F506+96</f>
        <v>13560</v>
      </c>
      <c r="G507" s="7">
        <v>1</v>
      </c>
      <c r="H507" s="7">
        <v>14</v>
      </c>
      <c r="I507" s="7">
        <v>200</v>
      </c>
      <c r="J507" s="7" t="s">
        <v>14</v>
      </c>
      <c r="K507" s="7" t="s">
        <v>15</v>
      </c>
    </row>
    <row r="508" customHeight="1" spans="3:11">
      <c r="C508" s="7">
        <v>1503</v>
      </c>
      <c r="D508" s="7" t="s">
        <v>531</v>
      </c>
      <c r="E508" s="7">
        <v>1</v>
      </c>
      <c r="F508" s="7">
        <f t="shared" si="12"/>
        <v>13656</v>
      </c>
      <c r="G508" s="7">
        <v>1</v>
      </c>
      <c r="H508" s="7">
        <v>15</v>
      </c>
      <c r="I508" s="7">
        <v>200</v>
      </c>
      <c r="J508" s="7" t="s">
        <v>14</v>
      </c>
      <c r="K508" s="7" t="s">
        <v>19</v>
      </c>
    </row>
    <row r="509" customHeight="1" spans="3:11">
      <c r="C509" s="7">
        <v>1504</v>
      </c>
      <c r="D509" s="7" t="s">
        <v>532</v>
      </c>
      <c r="E509" s="7">
        <v>1</v>
      </c>
      <c r="F509" s="7">
        <f t="shared" si="12"/>
        <v>13752</v>
      </c>
      <c r="G509" s="7">
        <v>1</v>
      </c>
      <c r="H509" s="7">
        <v>16</v>
      </c>
      <c r="I509" s="7">
        <v>200</v>
      </c>
      <c r="J509" s="7" t="s">
        <v>14</v>
      </c>
      <c r="K509" s="7" t="s">
        <v>21</v>
      </c>
    </row>
    <row r="510" customHeight="1" spans="3:11">
      <c r="C510" s="7">
        <v>1505</v>
      </c>
      <c r="D510" s="7" t="s">
        <v>533</v>
      </c>
      <c r="E510" s="7">
        <v>1</v>
      </c>
      <c r="F510" s="7">
        <f t="shared" si="12"/>
        <v>13848</v>
      </c>
      <c r="G510" s="7">
        <v>1</v>
      </c>
      <c r="H510" s="7">
        <v>9</v>
      </c>
      <c r="I510" s="7">
        <v>120</v>
      </c>
      <c r="J510" s="7" t="s">
        <v>14</v>
      </c>
      <c r="K510" s="7" t="s">
        <v>40</v>
      </c>
    </row>
    <row r="511" customHeight="1" spans="3:11">
      <c r="C511" s="7">
        <v>1506</v>
      </c>
      <c r="D511" s="7" t="s">
        <v>534</v>
      </c>
      <c r="E511" s="7">
        <v>1</v>
      </c>
      <c r="F511" s="7">
        <f t="shared" si="12"/>
        <v>13944</v>
      </c>
      <c r="G511" s="7">
        <v>1</v>
      </c>
      <c r="H511" s="7">
        <v>12</v>
      </c>
      <c r="I511" s="7">
        <v>32</v>
      </c>
      <c r="J511" s="7" t="s">
        <v>14</v>
      </c>
      <c r="K511" s="7" t="s">
        <v>62</v>
      </c>
    </row>
    <row r="512" customHeight="1" spans="3:11">
      <c r="C512" s="7">
        <v>1507</v>
      </c>
      <c r="D512" s="7" t="s">
        <v>535</v>
      </c>
      <c r="E512" s="7">
        <v>1</v>
      </c>
      <c r="F512" s="7">
        <f t="shared" si="12"/>
        <v>14040</v>
      </c>
      <c r="G512" s="7">
        <v>1</v>
      </c>
      <c r="H512" s="7">
        <v>33</v>
      </c>
      <c r="I512" s="7">
        <v>32</v>
      </c>
      <c r="J512" s="7" t="s">
        <v>14</v>
      </c>
      <c r="K512" s="7" t="s">
        <v>236</v>
      </c>
    </row>
    <row r="513" customHeight="1" spans="3:11">
      <c r="C513" s="7">
        <v>1508</v>
      </c>
      <c r="D513" s="7" t="s">
        <v>536</v>
      </c>
      <c r="E513" s="7">
        <v>1</v>
      </c>
      <c r="F513" s="7">
        <f t="shared" si="12"/>
        <v>14136</v>
      </c>
      <c r="G513" s="7">
        <v>1</v>
      </c>
      <c r="H513" s="7">
        <v>34</v>
      </c>
      <c r="I513" s="7">
        <v>32</v>
      </c>
      <c r="J513" s="7" t="s">
        <v>14</v>
      </c>
      <c r="K513" s="7" t="s">
        <v>238</v>
      </c>
    </row>
    <row r="514" customHeight="1" spans="3:11">
      <c r="C514" s="7">
        <v>1509</v>
      </c>
      <c r="D514" s="7" t="s">
        <v>537</v>
      </c>
      <c r="E514" s="7">
        <v>1</v>
      </c>
      <c r="F514" s="7">
        <f t="shared" si="12"/>
        <v>14232</v>
      </c>
      <c r="G514" s="7">
        <v>1</v>
      </c>
      <c r="H514" s="7">
        <v>35</v>
      </c>
      <c r="I514" s="7">
        <v>32</v>
      </c>
      <c r="J514" s="7" t="s">
        <v>14</v>
      </c>
      <c r="K514" s="7" t="s">
        <v>240</v>
      </c>
    </row>
    <row r="515" customHeight="1" spans="3:11">
      <c r="C515" s="7">
        <v>1510</v>
      </c>
      <c r="D515" s="7" t="s">
        <v>538</v>
      </c>
      <c r="E515" s="4">
        <v>1</v>
      </c>
      <c r="F515" s="4">
        <f>F514+96</f>
        <v>14328</v>
      </c>
      <c r="G515" s="4">
        <v>1</v>
      </c>
      <c r="H515" s="4">
        <v>7</v>
      </c>
      <c r="I515" s="4">
        <v>32</v>
      </c>
      <c r="J515" s="4" t="s">
        <v>14</v>
      </c>
      <c r="K515" s="4" t="s">
        <v>33</v>
      </c>
    </row>
    <row r="523" ht="15" customHeight="1" spans="3:11">
      <c r="C523" s="7">
        <v>2001</v>
      </c>
      <c r="D523" s="7" t="s">
        <v>539</v>
      </c>
      <c r="E523" s="7">
        <v>2</v>
      </c>
      <c r="F523" s="7">
        <f t="shared" ref="F523:F586" si="13">(C523-2000)*12</f>
        <v>12</v>
      </c>
      <c r="G523" s="7">
        <v>1</v>
      </c>
      <c r="H523" s="7">
        <v>14</v>
      </c>
      <c r="I523" s="7">
        <v>3</v>
      </c>
      <c r="J523" s="7" t="s">
        <v>540</v>
      </c>
      <c r="K523" s="7" t="s">
        <v>15</v>
      </c>
    </row>
    <row r="524" customHeight="1" spans="3:11">
      <c r="C524" s="7">
        <v>2002</v>
      </c>
      <c r="D524" s="7" t="s">
        <v>541</v>
      </c>
      <c r="E524" s="7">
        <v>2</v>
      </c>
      <c r="F524" s="7">
        <f t="shared" si="13"/>
        <v>24</v>
      </c>
      <c r="G524" s="7">
        <v>1</v>
      </c>
      <c r="H524" s="7">
        <v>15</v>
      </c>
      <c r="I524" s="7">
        <v>3</v>
      </c>
      <c r="J524" s="7" t="s">
        <v>540</v>
      </c>
      <c r="K524" s="7" t="s">
        <v>19</v>
      </c>
    </row>
    <row r="525" customHeight="1" spans="3:11">
      <c r="C525" s="7">
        <v>2003</v>
      </c>
      <c r="D525" s="7" t="s">
        <v>542</v>
      </c>
      <c r="E525" s="7">
        <v>2</v>
      </c>
      <c r="F525" s="7">
        <f t="shared" si="13"/>
        <v>36</v>
      </c>
      <c r="G525" s="7">
        <v>1</v>
      </c>
      <c r="H525" s="7">
        <v>16</v>
      </c>
      <c r="I525" s="7">
        <v>3</v>
      </c>
      <c r="J525" s="7" t="s">
        <v>540</v>
      </c>
      <c r="K525" s="7" t="s">
        <v>21</v>
      </c>
    </row>
    <row r="526" customHeight="1" spans="3:11">
      <c r="C526" s="7">
        <v>2004</v>
      </c>
      <c r="D526" s="7" t="s">
        <v>543</v>
      </c>
      <c r="E526" s="7">
        <v>2</v>
      </c>
      <c r="F526" s="7">
        <f t="shared" si="13"/>
        <v>48</v>
      </c>
      <c r="G526" s="7">
        <v>1</v>
      </c>
      <c r="H526" s="7">
        <v>18</v>
      </c>
      <c r="I526" s="7">
        <v>3</v>
      </c>
      <c r="J526" s="7" t="s">
        <v>540</v>
      </c>
      <c r="K526" s="7" t="s">
        <v>544</v>
      </c>
    </row>
    <row r="527" customHeight="1" spans="3:11">
      <c r="C527" s="7">
        <v>2005</v>
      </c>
      <c r="D527" s="7" t="s">
        <v>545</v>
      </c>
      <c r="E527" s="7">
        <v>2</v>
      </c>
      <c r="F527" s="7">
        <f t="shared" si="13"/>
        <v>60</v>
      </c>
      <c r="G527" s="7">
        <v>1</v>
      </c>
      <c r="H527" s="7">
        <v>19</v>
      </c>
      <c r="I527" s="7">
        <v>3</v>
      </c>
      <c r="J527" s="7" t="s">
        <v>540</v>
      </c>
      <c r="K527" s="7" t="s">
        <v>546</v>
      </c>
    </row>
    <row r="528" customHeight="1" spans="3:11">
      <c r="C528" s="7">
        <v>2006</v>
      </c>
      <c r="D528" s="7" t="s">
        <v>547</v>
      </c>
      <c r="E528" s="7">
        <v>2</v>
      </c>
      <c r="F528" s="7">
        <f t="shared" si="13"/>
        <v>72</v>
      </c>
      <c r="G528" s="7">
        <v>1</v>
      </c>
      <c r="H528" s="7">
        <v>20</v>
      </c>
      <c r="I528" s="7">
        <v>3</v>
      </c>
      <c r="J528" s="7" t="s">
        <v>540</v>
      </c>
      <c r="K528" s="7" t="s">
        <v>548</v>
      </c>
    </row>
    <row r="529" customHeight="1" spans="3:11">
      <c r="C529" s="7">
        <v>2007</v>
      </c>
      <c r="D529" s="7" t="s">
        <v>549</v>
      </c>
      <c r="E529" s="7">
        <v>2</v>
      </c>
      <c r="F529" s="7">
        <f t="shared" si="13"/>
        <v>84</v>
      </c>
      <c r="G529" s="7">
        <v>1</v>
      </c>
      <c r="H529" s="7">
        <v>24</v>
      </c>
      <c r="I529" s="7">
        <v>3</v>
      </c>
      <c r="J529" s="7" t="s">
        <v>540</v>
      </c>
      <c r="K529" s="7" t="s">
        <v>550</v>
      </c>
    </row>
    <row r="530" customHeight="1" spans="3:11">
      <c r="C530" s="7">
        <v>2008</v>
      </c>
      <c r="D530" s="7" t="s">
        <v>551</v>
      </c>
      <c r="E530" s="7">
        <v>2</v>
      </c>
      <c r="F530" s="7">
        <f t="shared" si="13"/>
        <v>96</v>
      </c>
      <c r="G530" s="7">
        <v>1</v>
      </c>
      <c r="H530" s="7">
        <v>26</v>
      </c>
      <c r="I530" s="7">
        <v>5</v>
      </c>
      <c r="J530" s="7" t="s">
        <v>540</v>
      </c>
      <c r="K530" s="7" t="s">
        <v>552</v>
      </c>
    </row>
    <row r="531" customHeight="1" spans="3:11">
      <c r="C531" s="7">
        <v>2009</v>
      </c>
      <c r="D531" s="7" t="s">
        <v>553</v>
      </c>
      <c r="E531" s="7">
        <v>2</v>
      </c>
      <c r="F531" s="7">
        <f t="shared" si="13"/>
        <v>108</v>
      </c>
      <c r="G531" s="7">
        <v>1</v>
      </c>
      <c r="H531" s="7">
        <v>27</v>
      </c>
      <c r="I531" s="7">
        <v>5</v>
      </c>
      <c r="J531" s="7" t="s">
        <v>540</v>
      </c>
      <c r="K531" s="7" t="s">
        <v>554</v>
      </c>
    </row>
    <row r="532" s="4" customFormat="1" customHeight="1" spans="3:11">
      <c r="C532" s="4">
        <v>2010</v>
      </c>
      <c r="D532" s="4" t="s">
        <v>555</v>
      </c>
      <c r="E532" s="4">
        <v>2</v>
      </c>
      <c r="F532" s="4">
        <f t="shared" si="13"/>
        <v>120</v>
      </c>
      <c r="G532" s="4">
        <v>1</v>
      </c>
      <c r="H532" s="4">
        <v>28</v>
      </c>
      <c r="I532" s="4">
        <v>5</v>
      </c>
      <c r="J532" s="4" t="s">
        <v>540</v>
      </c>
      <c r="K532" s="4" t="s">
        <v>556</v>
      </c>
    </row>
    <row r="533" customHeight="1" spans="3:11">
      <c r="C533" s="7">
        <v>2011</v>
      </c>
      <c r="D533" s="7" t="s">
        <v>557</v>
      </c>
      <c r="E533" s="7">
        <v>2</v>
      </c>
      <c r="F533" s="7">
        <f t="shared" si="13"/>
        <v>132</v>
      </c>
      <c r="G533" s="7">
        <v>1</v>
      </c>
      <c r="H533" s="7">
        <v>14</v>
      </c>
      <c r="I533" s="7">
        <v>3</v>
      </c>
      <c r="J533" s="7" t="s">
        <v>540</v>
      </c>
      <c r="K533" s="7" t="s">
        <v>15</v>
      </c>
    </row>
    <row r="534" customHeight="1" spans="3:11">
      <c r="C534" s="7">
        <v>2012</v>
      </c>
      <c r="D534" s="7" t="s">
        <v>558</v>
      </c>
      <c r="E534" s="7">
        <v>2</v>
      </c>
      <c r="F534" s="7">
        <f t="shared" si="13"/>
        <v>144</v>
      </c>
      <c r="G534" s="7">
        <v>1</v>
      </c>
      <c r="H534" s="7">
        <v>15</v>
      </c>
      <c r="I534" s="7">
        <v>3</v>
      </c>
      <c r="J534" s="7" t="s">
        <v>540</v>
      </c>
      <c r="K534" s="7" t="s">
        <v>19</v>
      </c>
    </row>
    <row r="535" customHeight="1" spans="3:11">
      <c r="C535" s="7">
        <v>2013</v>
      </c>
      <c r="D535" s="7" t="s">
        <v>559</v>
      </c>
      <c r="E535" s="7">
        <v>2</v>
      </c>
      <c r="F535" s="7">
        <f t="shared" si="13"/>
        <v>156</v>
      </c>
      <c r="G535" s="7">
        <v>1</v>
      </c>
      <c r="H535" s="7">
        <v>16</v>
      </c>
      <c r="I535" s="7">
        <v>3</v>
      </c>
      <c r="J535" s="7" t="s">
        <v>540</v>
      </c>
      <c r="K535" s="7" t="s">
        <v>21</v>
      </c>
    </row>
    <row r="536" customHeight="1" spans="3:11">
      <c r="C536" s="7">
        <v>2014</v>
      </c>
      <c r="D536" s="7" t="s">
        <v>560</v>
      </c>
      <c r="E536" s="7">
        <v>2</v>
      </c>
      <c r="F536" s="7">
        <f t="shared" si="13"/>
        <v>168</v>
      </c>
      <c r="G536" s="7">
        <v>1</v>
      </c>
      <c r="H536" s="7">
        <v>18</v>
      </c>
      <c r="I536" s="7">
        <v>3</v>
      </c>
      <c r="J536" s="7" t="s">
        <v>540</v>
      </c>
      <c r="K536" s="7" t="s">
        <v>544</v>
      </c>
    </row>
    <row r="537" customHeight="1" spans="3:11">
      <c r="C537" s="7">
        <v>2015</v>
      </c>
      <c r="D537" s="7" t="s">
        <v>561</v>
      </c>
      <c r="E537" s="7">
        <v>2</v>
      </c>
      <c r="F537" s="7">
        <f t="shared" si="13"/>
        <v>180</v>
      </c>
      <c r="G537" s="7">
        <v>1</v>
      </c>
      <c r="H537" s="7">
        <v>19</v>
      </c>
      <c r="I537" s="7">
        <v>3</v>
      </c>
      <c r="J537" s="7" t="s">
        <v>540</v>
      </c>
      <c r="K537" s="7" t="s">
        <v>546</v>
      </c>
    </row>
    <row r="538" customHeight="1" spans="3:11">
      <c r="C538" s="7">
        <v>2016</v>
      </c>
      <c r="D538" s="7" t="s">
        <v>562</v>
      </c>
      <c r="E538" s="7">
        <v>2</v>
      </c>
      <c r="F538" s="7">
        <f t="shared" si="13"/>
        <v>192</v>
      </c>
      <c r="G538" s="7">
        <v>1</v>
      </c>
      <c r="H538" s="7">
        <v>20</v>
      </c>
      <c r="I538" s="7">
        <v>3</v>
      </c>
      <c r="J538" s="7" t="s">
        <v>540</v>
      </c>
      <c r="K538" s="7" t="s">
        <v>548</v>
      </c>
    </row>
    <row r="539" customHeight="1" spans="3:11">
      <c r="C539" s="7">
        <v>2017</v>
      </c>
      <c r="D539" s="7" t="s">
        <v>563</v>
      </c>
      <c r="E539" s="7">
        <v>2</v>
      </c>
      <c r="F539" s="7">
        <f t="shared" si="13"/>
        <v>204</v>
      </c>
      <c r="G539" s="7">
        <v>1</v>
      </c>
      <c r="H539" s="7">
        <v>24</v>
      </c>
      <c r="I539" s="7">
        <v>3</v>
      </c>
      <c r="J539" s="7" t="s">
        <v>540</v>
      </c>
      <c r="K539" s="7" t="s">
        <v>550</v>
      </c>
    </row>
    <row r="540" customHeight="1" spans="3:11">
      <c r="C540" s="7">
        <v>2018</v>
      </c>
      <c r="D540" s="7" t="s">
        <v>564</v>
      </c>
      <c r="E540" s="7">
        <v>2</v>
      </c>
      <c r="F540" s="7">
        <f t="shared" si="13"/>
        <v>216</v>
      </c>
      <c r="G540" s="7">
        <v>1</v>
      </c>
      <c r="H540" s="7">
        <v>26</v>
      </c>
      <c r="I540" s="7">
        <v>5</v>
      </c>
      <c r="J540" s="7" t="s">
        <v>540</v>
      </c>
      <c r="K540" s="7" t="s">
        <v>552</v>
      </c>
    </row>
    <row r="541" customHeight="1" spans="3:11">
      <c r="C541" s="7">
        <v>2019</v>
      </c>
      <c r="D541" s="7" t="s">
        <v>565</v>
      </c>
      <c r="E541" s="7">
        <v>2</v>
      </c>
      <c r="F541" s="7">
        <f t="shared" si="13"/>
        <v>228</v>
      </c>
      <c r="G541" s="7">
        <v>1</v>
      </c>
      <c r="H541" s="7">
        <v>27</v>
      </c>
      <c r="I541" s="7">
        <v>5</v>
      </c>
      <c r="J541" s="7" t="s">
        <v>540</v>
      </c>
      <c r="K541" s="7" t="s">
        <v>554</v>
      </c>
    </row>
    <row r="542" s="4" customFormat="1" customHeight="1" spans="3:11">
      <c r="C542" s="4">
        <v>2020</v>
      </c>
      <c r="D542" s="4" t="s">
        <v>566</v>
      </c>
      <c r="E542" s="4">
        <v>2</v>
      </c>
      <c r="F542" s="4">
        <f t="shared" si="13"/>
        <v>240</v>
      </c>
      <c r="G542" s="4">
        <v>1</v>
      </c>
      <c r="H542" s="4">
        <v>28</v>
      </c>
      <c r="I542" s="4">
        <v>5</v>
      </c>
      <c r="J542" s="4" t="s">
        <v>540</v>
      </c>
      <c r="K542" s="4" t="s">
        <v>556</v>
      </c>
    </row>
    <row r="543" customHeight="1" spans="3:11">
      <c r="C543" s="7">
        <v>2021</v>
      </c>
      <c r="D543" s="7" t="s">
        <v>567</v>
      </c>
      <c r="E543" s="7">
        <v>2</v>
      </c>
      <c r="F543" s="7">
        <f t="shared" si="13"/>
        <v>252</v>
      </c>
      <c r="G543" s="7">
        <v>1</v>
      </c>
      <c r="H543" s="7">
        <v>14</v>
      </c>
      <c r="I543" s="7">
        <v>3</v>
      </c>
      <c r="J543" s="7" t="s">
        <v>540</v>
      </c>
      <c r="K543" s="7" t="s">
        <v>15</v>
      </c>
    </row>
    <row r="544" customHeight="1" spans="3:11">
      <c r="C544" s="7">
        <v>2022</v>
      </c>
      <c r="D544" s="7" t="s">
        <v>568</v>
      </c>
      <c r="E544" s="7">
        <v>2</v>
      </c>
      <c r="F544" s="7">
        <f t="shared" si="13"/>
        <v>264</v>
      </c>
      <c r="G544" s="7">
        <v>1</v>
      </c>
      <c r="H544" s="7">
        <v>15</v>
      </c>
      <c r="I544" s="7">
        <v>3</v>
      </c>
      <c r="J544" s="7" t="s">
        <v>540</v>
      </c>
      <c r="K544" s="7" t="s">
        <v>19</v>
      </c>
    </row>
    <row r="545" customHeight="1" spans="3:11">
      <c r="C545" s="7">
        <v>2023</v>
      </c>
      <c r="D545" s="7" t="s">
        <v>569</v>
      </c>
      <c r="E545" s="7">
        <v>2</v>
      </c>
      <c r="F545" s="7">
        <f t="shared" si="13"/>
        <v>276</v>
      </c>
      <c r="G545" s="7">
        <v>1</v>
      </c>
      <c r="H545" s="7">
        <v>16</v>
      </c>
      <c r="I545" s="7">
        <v>3</v>
      </c>
      <c r="J545" s="7" t="s">
        <v>540</v>
      </c>
      <c r="K545" s="7" t="s">
        <v>21</v>
      </c>
    </row>
    <row r="546" customHeight="1" spans="3:11">
      <c r="C546" s="7">
        <v>2024</v>
      </c>
      <c r="D546" s="7" t="s">
        <v>570</v>
      </c>
      <c r="E546" s="7">
        <v>2</v>
      </c>
      <c r="F546" s="7">
        <f t="shared" si="13"/>
        <v>288</v>
      </c>
      <c r="G546" s="7">
        <v>1</v>
      </c>
      <c r="H546" s="7">
        <v>18</v>
      </c>
      <c r="I546" s="7">
        <v>3</v>
      </c>
      <c r="J546" s="7" t="s">
        <v>540</v>
      </c>
      <c r="K546" s="7" t="s">
        <v>544</v>
      </c>
    </row>
    <row r="547" customHeight="1" spans="3:11">
      <c r="C547" s="7">
        <v>2025</v>
      </c>
      <c r="D547" s="7" t="s">
        <v>571</v>
      </c>
      <c r="E547" s="7">
        <v>2</v>
      </c>
      <c r="F547" s="7">
        <f t="shared" si="13"/>
        <v>300</v>
      </c>
      <c r="G547" s="7">
        <v>1</v>
      </c>
      <c r="H547" s="7">
        <v>19</v>
      </c>
      <c r="I547" s="7">
        <v>3</v>
      </c>
      <c r="J547" s="7" t="s">
        <v>540</v>
      </c>
      <c r="K547" s="7" t="s">
        <v>546</v>
      </c>
    </row>
    <row r="548" customHeight="1" spans="3:11">
      <c r="C548" s="7">
        <v>2026</v>
      </c>
      <c r="D548" s="7" t="s">
        <v>572</v>
      </c>
      <c r="E548" s="7">
        <v>2</v>
      </c>
      <c r="F548" s="7">
        <f t="shared" si="13"/>
        <v>312</v>
      </c>
      <c r="G548" s="7">
        <v>1</v>
      </c>
      <c r="H548" s="7">
        <v>20</v>
      </c>
      <c r="I548" s="7">
        <v>3</v>
      </c>
      <c r="J548" s="7" t="s">
        <v>540</v>
      </c>
      <c r="K548" s="7" t="s">
        <v>548</v>
      </c>
    </row>
    <row r="549" customHeight="1" spans="3:11">
      <c r="C549" s="7">
        <v>2027</v>
      </c>
      <c r="D549" s="7" t="s">
        <v>573</v>
      </c>
      <c r="E549" s="7">
        <v>2</v>
      </c>
      <c r="F549" s="7">
        <f t="shared" si="13"/>
        <v>324</v>
      </c>
      <c r="G549" s="7">
        <v>1</v>
      </c>
      <c r="H549" s="7">
        <v>24</v>
      </c>
      <c r="I549" s="7">
        <v>3</v>
      </c>
      <c r="J549" s="7" t="s">
        <v>540</v>
      </c>
      <c r="K549" s="7" t="s">
        <v>550</v>
      </c>
    </row>
    <row r="550" customHeight="1" spans="3:11">
      <c r="C550" s="7">
        <v>2028</v>
      </c>
      <c r="D550" s="7" t="s">
        <v>574</v>
      </c>
      <c r="E550" s="7">
        <v>2</v>
      </c>
      <c r="F550" s="7">
        <f t="shared" si="13"/>
        <v>336</v>
      </c>
      <c r="G550" s="7">
        <v>1</v>
      </c>
      <c r="H550" s="7">
        <v>26</v>
      </c>
      <c r="I550" s="7">
        <v>5</v>
      </c>
      <c r="J550" s="7" t="s">
        <v>540</v>
      </c>
      <c r="K550" s="7" t="s">
        <v>552</v>
      </c>
    </row>
    <row r="551" customHeight="1" spans="3:11">
      <c r="C551" s="7">
        <v>2029</v>
      </c>
      <c r="D551" s="7" t="s">
        <v>575</v>
      </c>
      <c r="E551" s="7">
        <v>2</v>
      </c>
      <c r="F551" s="7">
        <f t="shared" si="13"/>
        <v>348</v>
      </c>
      <c r="G551" s="7">
        <v>1</v>
      </c>
      <c r="H551" s="7">
        <v>27</v>
      </c>
      <c r="I551" s="7">
        <v>5</v>
      </c>
      <c r="J551" s="7" t="s">
        <v>540</v>
      </c>
      <c r="K551" s="7" t="s">
        <v>554</v>
      </c>
    </row>
    <row r="552" s="4" customFormat="1" customHeight="1" spans="3:11">
      <c r="C552" s="4">
        <v>2030</v>
      </c>
      <c r="D552" s="4" t="s">
        <v>576</v>
      </c>
      <c r="E552" s="4">
        <v>2</v>
      </c>
      <c r="F552" s="4">
        <f t="shared" si="13"/>
        <v>360</v>
      </c>
      <c r="G552" s="4">
        <v>1</v>
      </c>
      <c r="H552" s="4">
        <v>28</v>
      </c>
      <c r="I552" s="4">
        <v>5</v>
      </c>
      <c r="J552" s="4" t="s">
        <v>540</v>
      </c>
      <c r="K552" s="4" t="s">
        <v>556</v>
      </c>
    </row>
    <row r="553" customHeight="1" spans="3:11">
      <c r="C553" s="7">
        <v>2031</v>
      </c>
      <c r="D553" s="7" t="s">
        <v>577</v>
      </c>
      <c r="E553" s="7">
        <v>2</v>
      </c>
      <c r="F553" s="7">
        <f t="shared" si="13"/>
        <v>372</v>
      </c>
      <c r="G553" s="7">
        <v>1</v>
      </c>
      <c r="H553" s="7">
        <v>14</v>
      </c>
      <c r="I553" s="7">
        <v>3</v>
      </c>
      <c r="J553" s="7" t="s">
        <v>540</v>
      </c>
      <c r="K553" s="7" t="s">
        <v>15</v>
      </c>
    </row>
    <row r="554" customHeight="1" spans="3:11">
      <c r="C554" s="7">
        <v>2032</v>
      </c>
      <c r="D554" s="7" t="s">
        <v>578</v>
      </c>
      <c r="E554" s="7">
        <v>2</v>
      </c>
      <c r="F554" s="7">
        <f t="shared" si="13"/>
        <v>384</v>
      </c>
      <c r="G554" s="7">
        <v>1</v>
      </c>
      <c r="H554" s="7">
        <v>15</v>
      </c>
      <c r="I554" s="7">
        <v>3</v>
      </c>
      <c r="J554" s="7" t="s">
        <v>540</v>
      </c>
      <c r="K554" s="7" t="s">
        <v>19</v>
      </c>
    </row>
    <row r="555" customHeight="1" spans="3:11">
      <c r="C555" s="7">
        <v>2033</v>
      </c>
      <c r="D555" s="7" t="s">
        <v>579</v>
      </c>
      <c r="E555" s="7">
        <v>2</v>
      </c>
      <c r="F555" s="7">
        <f t="shared" si="13"/>
        <v>396</v>
      </c>
      <c r="G555" s="7">
        <v>1</v>
      </c>
      <c r="H555" s="7">
        <v>16</v>
      </c>
      <c r="I555" s="7">
        <v>3</v>
      </c>
      <c r="J555" s="7" t="s">
        <v>540</v>
      </c>
      <c r="K555" s="7" t="s">
        <v>21</v>
      </c>
    </row>
    <row r="556" customHeight="1" spans="3:11">
      <c r="C556" s="7">
        <v>2034</v>
      </c>
      <c r="D556" s="7" t="s">
        <v>580</v>
      </c>
      <c r="E556" s="7">
        <v>2</v>
      </c>
      <c r="F556" s="7">
        <f t="shared" si="13"/>
        <v>408</v>
      </c>
      <c r="G556" s="7">
        <v>1</v>
      </c>
      <c r="H556" s="7">
        <v>18</v>
      </c>
      <c r="I556" s="7">
        <v>3</v>
      </c>
      <c r="J556" s="7" t="s">
        <v>540</v>
      </c>
      <c r="K556" s="7" t="s">
        <v>544</v>
      </c>
    </row>
    <row r="557" customHeight="1" spans="3:11">
      <c r="C557" s="7">
        <v>2035</v>
      </c>
      <c r="D557" s="7" t="s">
        <v>581</v>
      </c>
      <c r="E557" s="7">
        <v>2</v>
      </c>
      <c r="F557" s="7">
        <f t="shared" si="13"/>
        <v>420</v>
      </c>
      <c r="G557" s="7">
        <v>1</v>
      </c>
      <c r="H557" s="7">
        <v>19</v>
      </c>
      <c r="I557" s="7">
        <v>3</v>
      </c>
      <c r="J557" s="7" t="s">
        <v>540</v>
      </c>
      <c r="K557" s="7" t="s">
        <v>546</v>
      </c>
    </row>
    <row r="558" customHeight="1" spans="3:11">
      <c r="C558" s="7">
        <v>2036</v>
      </c>
      <c r="D558" s="7" t="s">
        <v>582</v>
      </c>
      <c r="E558" s="7">
        <v>2</v>
      </c>
      <c r="F558" s="7">
        <f t="shared" si="13"/>
        <v>432</v>
      </c>
      <c r="G558" s="7">
        <v>1</v>
      </c>
      <c r="H558" s="7">
        <v>20</v>
      </c>
      <c r="I558" s="7">
        <v>3</v>
      </c>
      <c r="J558" s="7" t="s">
        <v>540</v>
      </c>
      <c r="K558" s="7" t="s">
        <v>548</v>
      </c>
    </row>
    <row r="559" customHeight="1" spans="3:11">
      <c r="C559" s="7">
        <v>2037</v>
      </c>
      <c r="D559" s="7" t="s">
        <v>583</v>
      </c>
      <c r="E559" s="7">
        <v>2</v>
      </c>
      <c r="F559" s="7">
        <f t="shared" si="13"/>
        <v>444</v>
      </c>
      <c r="G559" s="7">
        <v>1</v>
      </c>
      <c r="H559" s="7">
        <v>24</v>
      </c>
      <c r="I559" s="7">
        <v>3</v>
      </c>
      <c r="J559" s="7" t="s">
        <v>540</v>
      </c>
      <c r="K559" s="7" t="s">
        <v>550</v>
      </c>
    </row>
    <row r="560" customHeight="1" spans="3:11">
      <c r="C560" s="7">
        <v>2038</v>
      </c>
      <c r="D560" s="7" t="s">
        <v>584</v>
      </c>
      <c r="E560" s="7">
        <v>2</v>
      </c>
      <c r="F560" s="7">
        <f t="shared" si="13"/>
        <v>456</v>
      </c>
      <c r="G560" s="7">
        <v>1</v>
      </c>
      <c r="H560" s="7">
        <v>26</v>
      </c>
      <c r="I560" s="7">
        <v>5</v>
      </c>
      <c r="J560" s="7" t="s">
        <v>540</v>
      </c>
      <c r="K560" s="7" t="s">
        <v>552</v>
      </c>
    </row>
    <row r="561" customHeight="1" spans="3:11">
      <c r="C561" s="7">
        <v>2039</v>
      </c>
      <c r="D561" s="7" t="s">
        <v>585</v>
      </c>
      <c r="E561" s="7">
        <v>2</v>
      </c>
      <c r="F561" s="7">
        <f t="shared" si="13"/>
        <v>468</v>
      </c>
      <c r="G561" s="7">
        <v>1</v>
      </c>
      <c r="H561" s="7">
        <v>27</v>
      </c>
      <c r="I561" s="7">
        <v>5</v>
      </c>
      <c r="J561" s="7" t="s">
        <v>540</v>
      </c>
      <c r="K561" s="7" t="s">
        <v>554</v>
      </c>
    </row>
    <row r="562" s="4" customFormat="1" customHeight="1" spans="3:11">
      <c r="C562" s="4">
        <v>2040</v>
      </c>
      <c r="D562" s="4" t="s">
        <v>586</v>
      </c>
      <c r="E562" s="4">
        <v>2</v>
      </c>
      <c r="F562" s="4">
        <f t="shared" si="13"/>
        <v>480</v>
      </c>
      <c r="G562" s="4">
        <v>1</v>
      </c>
      <c r="H562" s="4">
        <v>28</v>
      </c>
      <c r="I562" s="4">
        <v>5</v>
      </c>
      <c r="J562" s="4" t="s">
        <v>540</v>
      </c>
      <c r="K562" s="4" t="s">
        <v>556</v>
      </c>
    </row>
    <row r="563" customHeight="1" spans="3:11">
      <c r="C563" s="7">
        <v>2041</v>
      </c>
      <c r="D563" s="7" t="s">
        <v>587</v>
      </c>
      <c r="E563" s="7">
        <v>2</v>
      </c>
      <c r="F563" s="7">
        <f t="shared" si="13"/>
        <v>492</v>
      </c>
      <c r="G563" s="7">
        <v>1</v>
      </c>
      <c r="H563" s="7">
        <v>14</v>
      </c>
      <c r="I563" s="7">
        <v>3</v>
      </c>
      <c r="J563" s="7" t="s">
        <v>540</v>
      </c>
      <c r="K563" s="7" t="s">
        <v>15</v>
      </c>
    </row>
    <row r="564" customHeight="1" spans="3:11">
      <c r="C564" s="7">
        <v>2042</v>
      </c>
      <c r="D564" s="7" t="s">
        <v>588</v>
      </c>
      <c r="E564" s="7">
        <v>2</v>
      </c>
      <c r="F564" s="7">
        <f t="shared" si="13"/>
        <v>504</v>
      </c>
      <c r="G564" s="7">
        <v>1</v>
      </c>
      <c r="H564" s="7">
        <v>15</v>
      </c>
      <c r="I564" s="7">
        <v>3</v>
      </c>
      <c r="J564" s="7" t="s">
        <v>540</v>
      </c>
      <c r="K564" s="7" t="s">
        <v>19</v>
      </c>
    </row>
    <row r="565" customHeight="1" spans="3:11">
      <c r="C565" s="7">
        <v>2043</v>
      </c>
      <c r="D565" s="7" t="s">
        <v>589</v>
      </c>
      <c r="E565" s="7">
        <v>2</v>
      </c>
      <c r="F565" s="7">
        <f t="shared" si="13"/>
        <v>516</v>
      </c>
      <c r="G565" s="7">
        <v>1</v>
      </c>
      <c r="H565" s="7">
        <v>16</v>
      </c>
      <c r="I565" s="7">
        <v>3</v>
      </c>
      <c r="J565" s="7" t="s">
        <v>540</v>
      </c>
      <c r="K565" s="7" t="s">
        <v>21</v>
      </c>
    </row>
    <row r="566" customHeight="1" spans="3:11">
      <c r="C566" s="7">
        <v>2044</v>
      </c>
      <c r="D566" s="7" t="s">
        <v>590</v>
      </c>
      <c r="E566" s="7">
        <v>2</v>
      </c>
      <c r="F566" s="7">
        <f t="shared" si="13"/>
        <v>528</v>
      </c>
      <c r="G566" s="7">
        <v>1</v>
      </c>
      <c r="H566" s="7">
        <v>18</v>
      </c>
      <c r="I566" s="7">
        <v>3</v>
      </c>
      <c r="J566" s="7" t="s">
        <v>540</v>
      </c>
      <c r="K566" s="7" t="s">
        <v>544</v>
      </c>
    </row>
    <row r="567" customHeight="1" spans="3:11">
      <c r="C567" s="7">
        <v>2045</v>
      </c>
      <c r="D567" s="7" t="s">
        <v>591</v>
      </c>
      <c r="E567" s="7">
        <v>2</v>
      </c>
      <c r="F567" s="7">
        <f t="shared" si="13"/>
        <v>540</v>
      </c>
      <c r="G567" s="7">
        <v>1</v>
      </c>
      <c r="H567" s="7">
        <v>19</v>
      </c>
      <c r="I567" s="7">
        <v>3</v>
      </c>
      <c r="J567" s="7" t="s">
        <v>540</v>
      </c>
      <c r="K567" s="7" t="s">
        <v>546</v>
      </c>
    </row>
    <row r="568" customHeight="1" spans="3:11">
      <c r="C568" s="7">
        <v>2046</v>
      </c>
      <c r="D568" s="7" t="s">
        <v>592</v>
      </c>
      <c r="E568" s="7">
        <v>2</v>
      </c>
      <c r="F568" s="7">
        <f t="shared" si="13"/>
        <v>552</v>
      </c>
      <c r="G568" s="7">
        <v>1</v>
      </c>
      <c r="H568" s="7">
        <v>20</v>
      </c>
      <c r="I568" s="7">
        <v>3</v>
      </c>
      <c r="J568" s="7" t="s">
        <v>540</v>
      </c>
      <c r="K568" s="7" t="s">
        <v>548</v>
      </c>
    </row>
    <row r="569" customHeight="1" spans="3:11">
      <c r="C569" s="7">
        <v>2047</v>
      </c>
      <c r="D569" s="7" t="s">
        <v>593</v>
      </c>
      <c r="E569" s="7">
        <v>2</v>
      </c>
      <c r="F569" s="7">
        <f t="shared" si="13"/>
        <v>564</v>
      </c>
      <c r="G569" s="7">
        <v>1</v>
      </c>
      <c r="H569" s="7">
        <v>24</v>
      </c>
      <c r="I569" s="7">
        <v>3</v>
      </c>
      <c r="J569" s="7" t="s">
        <v>540</v>
      </c>
      <c r="K569" s="7" t="s">
        <v>550</v>
      </c>
    </row>
    <row r="570" customHeight="1" spans="3:11">
      <c r="C570" s="7">
        <v>2048</v>
      </c>
      <c r="D570" s="7" t="s">
        <v>594</v>
      </c>
      <c r="E570" s="7">
        <v>2</v>
      </c>
      <c r="F570" s="7">
        <f t="shared" si="13"/>
        <v>576</v>
      </c>
      <c r="G570" s="7">
        <v>1</v>
      </c>
      <c r="H570" s="7">
        <v>26</v>
      </c>
      <c r="I570" s="7">
        <v>5</v>
      </c>
      <c r="J570" s="7" t="s">
        <v>540</v>
      </c>
      <c r="K570" s="7" t="s">
        <v>552</v>
      </c>
    </row>
    <row r="571" customHeight="1" spans="3:11">
      <c r="C571" s="7">
        <v>2049</v>
      </c>
      <c r="D571" s="7" t="s">
        <v>595</v>
      </c>
      <c r="E571" s="7">
        <v>2</v>
      </c>
      <c r="F571" s="7">
        <f t="shared" si="13"/>
        <v>588</v>
      </c>
      <c r="G571" s="7">
        <v>1</v>
      </c>
      <c r="H571" s="7">
        <v>27</v>
      </c>
      <c r="I571" s="7">
        <v>5</v>
      </c>
      <c r="J571" s="7" t="s">
        <v>540</v>
      </c>
      <c r="K571" s="7" t="s">
        <v>554</v>
      </c>
    </row>
    <row r="572" s="4" customFormat="1" customHeight="1" spans="3:11">
      <c r="C572" s="4">
        <v>2050</v>
      </c>
      <c r="D572" s="4" t="s">
        <v>596</v>
      </c>
      <c r="E572" s="4">
        <v>2</v>
      </c>
      <c r="F572" s="4">
        <f t="shared" si="13"/>
        <v>600</v>
      </c>
      <c r="G572" s="4">
        <v>1</v>
      </c>
      <c r="H572" s="4">
        <v>28</v>
      </c>
      <c r="I572" s="4">
        <v>5</v>
      </c>
      <c r="J572" s="4" t="s">
        <v>540</v>
      </c>
      <c r="K572" s="4" t="s">
        <v>556</v>
      </c>
    </row>
    <row r="573" customHeight="1" spans="3:11">
      <c r="C573" s="7">
        <v>2051</v>
      </c>
      <c r="D573" s="7" t="s">
        <v>597</v>
      </c>
      <c r="E573" s="7">
        <v>2</v>
      </c>
      <c r="F573" s="7">
        <f t="shared" si="13"/>
        <v>612</v>
      </c>
      <c r="G573" s="7">
        <v>1</v>
      </c>
      <c r="H573" s="7">
        <v>14</v>
      </c>
      <c r="I573" s="7">
        <v>3</v>
      </c>
      <c r="J573" s="7" t="s">
        <v>540</v>
      </c>
      <c r="K573" s="7" t="s">
        <v>15</v>
      </c>
    </row>
    <row r="574" customHeight="1" spans="3:11">
      <c r="C574" s="7">
        <v>2052</v>
      </c>
      <c r="D574" s="7" t="s">
        <v>598</v>
      </c>
      <c r="E574" s="7">
        <v>2</v>
      </c>
      <c r="F574" s="7">
        <f t="shared" si="13"/>
        <v>624</v>
      </c>
      <c r="G574" s="7">
        <v>1</v>
      </c>
      <c r="H574" s="7">
        <v>15</v>
      </c>
      <c r="I574" s="7">
        <v>3</v>
      </c>
      <c r="J574" s="7" t="s">
        <v>540</v>
      </c>
      <c r="K574" s="7" t="s">
        <v>19</v>
      </c>
    </row>
    <row r="575" customHeight="1" spans="3:11">
      <c r="C575" s="7">
        <v>2053</v>
      </c>
      <c r="D575" s="7" t="s">
        <v>599</v>
      </c>
      <c r="E575" s="7">
        <v>2</v>
      </c>
      <c r="F575" s="7">
        <f t="shared" si="13"/>
        <v>636</v>
      </c>
      <c r="G575" s="7">
        <v>1</v>
      </c>
      <c r="H575" s="7">
        <v>16</v>
      </c>
      <c r="I575" s="7">
        <v>3</v>
      </c>
      <c r="J575" s="7" t="s">
        <v>540</v>
      </c>
      <c r="K575" s="7" t="s">
        <v>21</v>
      </c>
    </row>
    <row r="576" customHeight="1" spans="3:11">
      <c r="C576" s="7">
        <v>2054</v>
      </c>
      <c r="D576" s="7" t="s">
        <v>600</v>
      </c>
      <c r="E576" s="7">
        <v>2</v>
      </c>
      <c r="F576" s="7">
        <f t="shared" si="13"/>
        <v>648</v>
      </c>
      <c r="G576" s="7">
        <v>1</v>
      </c>
      <c r="H576" s="7">
        <v>18</v>
      </c>
      <c r="I576" s="7">
        <v>3</v>
      </c>
      <c r="J576" s="7" t="s">
        <v>540</v>
      </c>
      <c r="K576" s="7" t="s">
        <v>544</v>
      </c>
    </row>
    <row r="577" customHeight="1" spans="3:11">
      <c r="C577" s="7">
        <v>2055</v>
      </c>
      <c r="D577" s="7" t="s">
        <v>601</v>
      </c>
      <c r="E577" s="7">
        <v>2</v>
      </c>
      <c r="F577" s="7">
        <f t="shared" si="13"/>
        <v>660</v>
      </c>
      <c r="G577" s="7">
        <v>1</v>
      </c>
      <c r="H577" s="7">
        <v>19</v>
      </c>
      <c r="I577" s="7">
        <v>3</v>
      </c>
      <c r="J577" s="7" t="s">
        <v>540</v>
      </c>
      <c r="K577" s="7" t="s">
        <v>546</v>
      </c>
    </row>
    <row r="578" customHeight="1" spans="3:11">
      <c r="C578" s="7">
        <v>2056</v>
      </c>
      <c r="D578" s="7" t="s">
        <v>602</v>
      </c>
      <c r="E578" s="7">
        <v>2</v>
      </c>
      <c r="F578" s="7">
        <f t="shared" si="13"/>
        <v>672</v>
      </c>
      <c r="G578" s="7">
        <v>1</v>
      </c>
      <c r="H578" s="7">
        <v>20</v>
      </c>
      <c r="I578" s="7">
        <v>3</v>
      </c>
      <c r="J578" s="7" t="s">
        <v>540</v>
      </c>
      <c r="K578" s="7" t="s">
        <v>548</v>
      </c>
    </row>
    <row r="579" customHeight="1" spans="3:11">
      <c r="C579" s="7">
        <v>2057</v>
      </c>
      <c r="D579" s="7" t="s">
        <v>603</v>
      </c>
      <c r="E579" s="7">
        <v>2</v>
      </c>
      <c r="F579" s="7">
        <f t="shared" si="13"/>
        <v>684</v>
      </c>
      <c r="G579" s="7">
        <v>1</v>
      </c>
      <c r="H579" s="7">
        <v>24</v>
      </c>
      <c r="I579" s="7">
        <v>3</v>
      </c>
      <c r="J579" s="7" t="s">
        <v>540</v>
      </c>
      <c r="K579" s="7" t="s">
        <v>550</v>
      </c>
    </row>
    <row r="580" customHeight="1" spans="3:11">
      <c r="C580" s="7">
        <v>2058</v>
      </c>
      <c r="D580" s="7" t="s">
        <v>604</v>
      </c>
      <c r="E580" s="7">
        <v>2</v>
      </c>
      <c r="F580" s="7">
        <f t="shared" si="13"/>
        <v>696</v>
      </c>
      <c r="G580" s="7">
        <v>1</v>
      </c>
      <c r="H580" s="7">
        <v>26</v>
      </c>
      <c r="I580" s="7">
        <v>5</v>
      </c>
      <c r="J580" s="7" t="s">
        <v>540</v>
      </c>
      <c r="K580" s="7" t="s">
        <v>552</v>
      </c>
    </row>
    <row r="581" customHeight="1" spans="3:11">
      <c r="C581" s="7">
        <v>2059</v>
      </c>
      <c r="D581" s="7" t="s">
        <v>605</v>
      </c>
      <c r="E581" s="7">
        <v>2</v>
      </c>
      <c r="F581" s="7">
        <f t="shared" si="13"/>
        <v>708</v>
      </c>
      <c r="G581" s="7">
        <v>1</v>
      </c>
      <c r="H581" s="7">
        <v>27</v>
      </c>
      <c r="I581" s="7">
        <v>5</v>
      </c>
      <c r="J581" s="7" t="s">
        <v>540</v>
      </c>
      <c r="K581" s="7" t="s">
        <v>554</v>
      </c>
    </row>
    <row r="582" s="4" customFormat="1" customHeight="1" spans="3:11">
      <c r="C582" s="4">
        <v>2060</v>
      </c>
      <c r="D582" s="4" t="s">
        <v>606</v>
      </c>
      <c r="E582" s="4">
        <v>2</v>
      </c>
      <c r="F582" s="4">
        <f t="shared" si="13"/>
        <v>720</v>
      </c>
      <c r="G582" s="4">
        <v>1</v>
      </c>
      <c r="H582" s="4">
        <v>28</v>
      </c>
      <c r="I582" s="4">
        <v>5</v>
      </c>
      <c r="J582" s="4" t="s">
        <v>540</v>
      </c>
      <c r="K582" s="4" t="s">
        <v>556</v>
      </c>
    </row>
    <row r="583" customHeight="1" spans="3:11">
      <c r="C583" s="7">
        <v>2061</v>
      </c>
      <c r="D583" s="7" t="s">
        <v>607</v>
      </c>
      <c r="E583" s="7">
        <v>2</v>
      </c>
      <c r="F583" s="7">
        <f t="shared" si="13"/>
        <v>732</v>
      </c>
      <c r="G583" s="7">
        <v>1</v>
      </c>
      <c r="H583" s="7">
        <v>14</v>
      </c>
      <c r="I583" s="7">
        <v>3</v>
      </c>
      <c r="J583" s="7" t="s">
        <v>540</v>
      </c>
      <c r="K583" s="7" t="s">
        <v>15</v>
      </c>
    </row>
    <row r="584" customHeight="1" spans="3:11">
      <c r="C584" s="7">
        <v>2062</v>
      </c>
      <c r="D584" s="7" t="s">
        <v>608</v>
      </c>
      <c r="E584" s="7">
        <v>2</v>
      </c>
      <c r="F584" s="7">
        <f t="shared" si="13"/>
        <v>744</v>
      </c>
      <c r="G584" s="7">
        <v>1</v>
      </c>
      <c r="H584" s="7">
        <v>15</v>
      </c>
      <c r="I584" s="7">
        <v>3</v>
      </c>
      <c r="J584" s="7" t="s">
        <v>540</v>
      </c>
      <c r="K584" s="7" t="s">
        <v>19</v>
      </c>
    </row>
    <row r="585" customHeight="1" spans="3:11">
      <c r="C585" s="7">
        <v>2063</v>
      </c>
      <c r="D585" s="7" t="s">
        <v>609</v>
      </c>
      <c r="E585" s="7">
        <v>2</v>
      </c>
      <c r="F585" s="7">
        <f t="shared" si="13"/>
        <v>756</v>
      </c>
      <c r="G585" s="7">
        <v>1</v>
      </c>
      <c r="H585" s="7">
        <v>16</v>
      </c>
      <c r="I585" s="7">
        <v>3</v>
      </c>
      <c r="J585" s="7" t="s">
        <v>540</v>
      </c>
      <c r="K585" s="7" t="s">
        <v>21</v>
      </c>
    </row>
    <row r="586" customHeight="1" spans="3:11">
      <c r="C586" s="7">
        <v>2064</v>
      </c>
      <c r="D586" s="7" t="s">
        <v>610</v>
      </c>
      <c r="E586" s="7">
        <v>2</v>
      </c>
      <c r="F586" s="7">
        <f t="shared" si="13"/>
        <v>768</v>
      </c>
      <c r="G586" s="7">
        <v>1</v>
      </c>
      <c r="H586" s="7">
        <v>18</v>
      </c>
      <c r="I586" s="7">
        <v>3</v>
      </c>
      <c r="J586" s="7" t="s">
        <v>540</v>
      </c>
      <c r="K586" s="7" t="s">
        <v>544</v>
      </c>
    </row>
    <row r="587" customHeight="1" spans="3:11">
      <c r="C587" s="7">
        <v>2065</v>
      </c>
      <c r="D587" s="7" t="s">
        <v>611</v>
      </c>
      <c r="E587" s="7">
        <v>2</v>
      </c>
      <c r="F587" s="7">
        <f t="shared" ref="F587:F650" si="14">(C587-2000)*12</f>
        <v>780</v>
      </c>
      <c r="G587" s="7">
        <v>1</v>
      </c>
      <c r="H587" s="7">
        <v>19</v>
      </c>
      <c r="I587" s="7">
        <v>3</v>
      </c>
      <c r="J587" s="7" t="s">
        <v>540</v>
      </c>
      <c r="K587" s="7" t="s">
        <v>546</v>
      </c>
    </row>
    <row r="588" customHeight="1" spans="3:11">
      <c r="C588" s="7">
        <v>2066</v>
      </c>
      <c r="D588" s="7" t="s">
        <v>612</v>
      </c>
      <c r="E588" s="7">
        <v>2</v>
      </c>
      <c r="F588" s="7">
        <f t="shared" si="14"/>
        <v>792</v>
      </c>
      <c r="G588" s="7">
        <v>1</v>
      </c>
      <c r="H588" s="7">
        <v>20</v>
      </c>
      <c r="I588" s="7">
        <v>3</v>
      </c>
      <c r="J588" s="7" t="s">
        <v>540</v>
      </c>
      <c r="K588" s="7" t="s">
        <v>548</v>
      </c>
    </row>
    <row r="589" customHeight="1" spans="3:11">
      <c r="C589" s="7">
        <v>2067</v>
      </c>
      <c r="D589" s="7" t="s">
        <v>613</v>
      </c>
      <c r="E589" s="7">
        <v>2</v>
      </c>
      <c r="F589" s="7">
        <f t="shared" si="14"/>
        <v>804</v>
      </c>
      <c r="G589" s="7">
        <v>1</v>
      </c>
      <c r="H589" s="7">
        <v>24</v>
      </c>
      <c r="I589" s="7">
        <v>3</v>
      </c>
      <c r="J589" s="7" t="s">
        <v>540</v>
      </c>
      <c r="K589" s="7" t="s">
        <v>550</v>
      </c>
    </row>
    <row r="590" customHeight="1" spans="3:11">
      <c r="C590" s="7">
        <v>2068</v>
      </c>
      <c r="D590" s="7" t="s">
        <v>614</v>
      </c>
      <c r="E590" s="7">
        <v>2</v>
      </c>
      <c r="F590" s="7">
        <f t="shared" si="14"/>
        <v>816</v>
      </c>
      <c r="G590" s="7">
        <v>1</v>
      </c>
      <c r="H590" s="7">
        <v>26</v>
      </c>
      <c r="I590" s="7">
        <v>5</v>
      </c>
      <c r="J590" s="7" t="s">
        <v>540</v>
      </c>
      <c r="K590" s="7" t="s">
        <v>552</v>
      </c>
    </row>
    <row r="591" customHeight="1" spans="3:11">
      <c r="C591" s="7">
        <v>2069</v>
      </c>
      <c r="D591" s="7" t="s">
        <v>615</v>
      </c>
      <c r="E591" s="7">
        <v>2</v>
      </c>
      <c r="F591" s="7">
        <f t="shared" si="14"/>
        <v>828</v>
      </c>
      <c r="G591" s="7">
        <v>1</v>
      </c>
      <c r="H591" s="7">
        <v>27</v>
      </c>
      <c r="I591" s="7">
        <v>5</v>
      </c>
      <c r="J591" s="7" t="s">
        <v>540</v>
      </c>
      <c r="K591" s="7" t="s">
        <v>554</v>
      </c>
    </row>
    <row r="592" s="4" customFormat="1" customHeight="1" spans="3:11">
      <c r="C592" s="4">
        <v>2070</v>
      </c>
      <c r="D592" s="4" t="s">
        <v>616</v>
      </c>
      <c r="E592" s="4">
        <v>2</v>
      </c>
      <c r="F592" s="4">
        <f t="shared" si="14"/>
        <v>840</v>
      </c>
      <c r="G592" s="4">
        <v>1</v>
      </c>
      <c r="H592" s="4">
        <v>28</v>
      </c>
      <c r="I592" s="4">
        <v>5</v>
      </c>
      <c r="J592" s="4" t="s">
        <v>540</v>
      </c>
      <c r="K592" s="4" t="s">
        <v>556</v>
      </c>
    </row>
    <row r="593" customHeight="1" spans="3:11">
      <c r="C593" s="7">
        <v>2071</v>
      </c>
      <c r="D593" s="7" t="s">
        <v>617</v>
      </c>
      <c r="E593" s="7">
        <v>2</v>
      </c>
      <c r="F593" s="7">
        <f t="shared" si="14"/>
        <v>852</v>
      </c>
      <c r="G593" s="7">
        <v>1</v>
      </c>
      <c r="H593" s="7">
        <v>14</v>
      </c>
      <c r="I593" s="7">
        <v>3</v>
      </c>
      <c r="J593" s="7" t="s">
        <v>540</v>
      </c>
      <c r="K593" s="7" t="s">
        <v>15</v>
      </c>
    </row>
    <row r="594" customHeight="1" spans="3:11">
      <c r="C594" s="7">
        <v>2072</v>
      </c>
      <c r="D594" s="7" t="s">
        <v>618</v>
      </c>
      <c r="E594" s="7">
        <v>2</v>
      </c>
      <c r="F594" s="7">
        <f t="shared" si="14"/>
        <v>864</v>
      </c>
      <c r="G594" s="7">
        <v>1</v>
      </c>
      <c r="H594" s="7">
        <v>15</v>
      </c>
      <c r="I594" s="7">
        <v>3</v>
      </c>
      <c r="J594" s="7" t="s">
        <v>540</v>
      </c>
      <c r="K594" s="7" t="s">
        <v>19</v>
      </c>
    </row>
    <row r="595" customHeight="1" spans="3:11">
      <c r="C595" s="7">
        <v>2073</v>
      </c>
      <c r="D595" s="7" t="s">
        <v>619</v>
      </c>
      <c r="E595" s="7">
        <v>2</v>
      </c>
      <c r="F595" s="7">
        <f t="shared" si="14"/>
        <v>876</v>
      </c>
      <c r="G595" s="7">
        <v>1</v>
      </c>
      <c r="H595" s="7">
        <v>16</v>
      </c>
      <c r="I595" s="7">
        <v>3</v>
      </c>
      <c r="J595" s="7" t="s">
        <v>540</v>
      </c>
      <c r="K595" s="7" t="s">
        <v>21</v>
      </c>
    </row>
    <row r="596" customHeight="1" spans="3:11">
      <c r="C596" s="7">
        <v>2074</v>
      </c>
      <c r="D596" s="7" t="s">
        <v>620</v>
      </c>
      <c r="E596" s="7">
        <v>2</v>
      </c>
      <c r="F596" s="7">
        <f t="shared" si="14"/>
        <v>888</v>
      </c>
      <c r="G596" s="7">
        <v>1</v>
      </c>
      <c r="H596" s="7">
        <v>18</v>
      </c>
      <c r="I596" s="7">
        <v>3</v>
      </c>
      <c r="J596" s="7" t="s">
        <v>540</v>
      </c>
      <c r="K596" s="7" t="s">
        <v>544</v>
      </c>
    </row>
    <row r="597" customHeight="1" spans="3:11">
      <c r="C597" s="7">
        <v>2075</v>
      </c>
      <c r="D597" s="7" t="s">
        <v>621</v>
      </c>
      <c r="E597" s="7">
        <v>2</v>
      </c>
      <c r="F597" s="7">
        <f t="shared" si="14"/>
        <v>900</v>
      </c>
      <c r="G597" s="7">
        <v>1</v>
      </c>
      <c r="H597" s="7">
        <v>19</v>
      </c>
      <c r="I597" s="7">
        <v>3</v>
      </c>
      <c r="J597" s="7" t="s">
        <v>540</v>
      </c>
      <c r="K597" s="7" t="s">
        <v>546</v>
      </c>
    </row>
    <row r="598" customHeight="1" spans="3:11">
      <c r="C598" s="7">
        <v>2076</v>
      </c>
      <c r="D598" s="7" t="s">
        <v>622</v>
      </c>
      <c r="E598" s="7">
        <v>2</v>
      </c>
      <c r="F598" s="7">
        <f t="shared" si="14"/>
        <v>912</v>
      </c>
      <c r="G598" s="7">
        <v>1</v>
      </c>
      <c r="H598" s="7">
        <v>20</v>
      </c>
      <c r="I598" s="7">
        <v>3</v>
      </c>
      <c r="J598" s="7" t="s">
        <v>540</v>
      </c>
      <c r="K598" s="7" t="s">
        <v>548</v>
      </c>
    </row>
    <row r="599" customHeight="1" spans="3:11">
      <c r="C599" s="7">
        <v>2077</v>
      </c>
      <c r="D599" s="7" t="s">
        <v>623</v>
      </c>
      <c r="E599" s="7">
        <v>2</v>
      </c>
      <c r="F599" s="7">
        <f t="shared" si="14"/>
        <v>924</v>
      </c>
      <c r="G599" s="7">
        <v>1</v>
      </c>
      <c r="H599" s="7">
        <v>24</v>
      </c>
      <c r="I599" s="7">
        <v>3</v>
      </c>
      <c r="J599" s="7" t="s">
        <v>540</v>
      </c>
      <c r="K599" s="7" t="s">
        <v>550</v>
      </c>
    </row>
    <row r="600" customHeight="1" spans="3:11">
      <c r="C600" s="7">
        <v>2078</v>
      </c>
      <c r="D600" s="7" t="s">
        <v>624</v>
      </c>
      <c r="E600" s="7">
        <v>2</v>
      </c>
      <c r="F600" s="7">
        <f t="shared" si="14"/>
        <v>936</v>
      </c>
      <c r="G600" s="7">
        <v>1</v>
      </c>
      <c r="H600" s="7">
        <v>26</v>
      </c>
      <c r="I600" s="7">
        <v>5</v>
      </c>
      <c r="J600" s="7" t="s">
        <v>540</v>
      </c>
      <c r="K600" s="7" t="s">
        <v>552</v>
      </c>
    </row>
    <row r="601" customHeight="1" spans="3:11">
      <c r="C601" s="7">
        <v>2079</v>
      </c>
      <c r="D601" s="7" t="s">
        <v>625</v>
      </c>
      <c r="E601" s="7">
        <v>2</v>
      </c>
      <c r="F601" s="7">
        <f t="shared" si="14"/>
        <v>948</v>
      </c>
      <c r="G601" s="7">
        <v>1</v>
      </c>
      <c r="H601" s="7">
        <v>27</v>
      </c>
      <c r="I601" s="7">
        <v>5</v>
      </c>
      <c r="J601" s="7" t="s">
        <v>540</v>
      </c>
      <c r="K601" s="7" t="s">
        <v>554</v>
      </c>
    </row>
    <row r="602" s="4" customFormat="1" customHeight="1" spans="3:11">
      <c r="C602" s="4">
        <v>2080</v>
      </c>
      <c r="D602" s="4" t="s">
        <v>626</v>
      </c>
      <c r="E602" s="4">
        <v>2</v>
      </c>
      <c r="F602" s="4">
        <f t="shared" si="14"/>
        <v>960</v>
      </c>
      <c r="G602" s="4">
        <v>1</v>
      </c>
      <c r="H602" s="4">
        <v>28</v>
      </c>
      <c r="I602" s="4">
        <v>5</v>
      </c>
      <c r="J602" s="4" t="s">
        <v>540</v>
      </c>
      <c r="K602" s="4" t="s">
        <v>556</v>
      </c>
    </row>
    <row r="603" customHeight="1" spans="3:11">
      <c r="C603" s="7">
        <v>2081</v>
      </c>
      <c r="D603" s="7" t="s">
        <v>627</v>
      </c>
      <c r="E603" s="7">
        <v>2</v>
      </c>
      <c r="F603" s="7">
        <f t="shared" si="14"/>
        <v>972</v>
      </c>
      <c r="G603" s="7">
        <v>1</v>
      </c>
      <c r="H603" s="7">
        <v>14</v>
      </c>
      <c r="I603" s="7">
        <v>10</v>
      </c>
      <c r="J603" s="7" t="s">
        <v>540</v>
      </c>
      <c r="K603" s="7" t="s">
        <v>15</v>
      </c>
    </row>
    <row r="604" customHeight="1" spans="3:11">
      <c r="C604" s="7">
        <v>2082</v>
      </c>
      <c r="D604" s="7" t="s">
        <v>628</v>
      </c>
      <c r="E604" s="7">
        <v>2</v>
      </c>
      <c r="F604" s="7">
        <f t="shared" si="14"/>
        <v>984</v>
      </c>
      <c r="G604" s="7">
        <v>1</v>
      </c>
      <c r="H604" s="7">
        <v>15</v>
      </c>
      <c r="I604" s="7">
        <v>10</v>
      </c>
      <c r="J604" s="7" t="s">
        <v>540</v>
      </c>
      <c r="K604" s="7" t="s">
        <v>19</v>
      </c>
    </row>
    <row r="605" customHeight="1" spans="3:11">
      <c r="C605" s="7">
        <v>2083</v>
      </c>
      <c r="D605" s="7" t="s">
        <v>629</v>
      </c>
      <c r="E605" s="7">
        <v>2</v>
      </c>
      <c r="F605" s="7">
        <f t="shared" si="14"/>
        <v>996</v>
      </c>
      <c r="G605" s="7">
        <v>1</v>
      </c>
      <c r="H605" s="7">
        <v>16</v>
      </c>
      <c r="I605" s="7">
        <v>10</v>
      </c>
      <c r="J605" s="7" t="s">
        <v>540</v>
      </c>
      <c r="K605" s="7" t="s">
        <v>21</v>
      </c>
    </row>
    <row r="606" customHeight="1" spans="3:11">
      <c r="C606" s="7">
        <v>2084</v>
      </c>
      <c r="D606" s="7" t="s">
        <v>630</v>
      </c>
      <c r="E606" s="7">
        <v>2</v>
      </c>
      <c r="F606" s="7">
        <f t="shared" si="14"/>
        <v>1008</v>
      </c>
      <c r="G606" s="7">
        <v>1</v>
      </c>
      <c r="H606" s="7">
        <v>18</v>
      </c>
      <c r="I606" s="7">
        <v>5</v>
      </c>
      <c r="J606" s="7" t="s">
        <v>540</v>
      </c>
      <c r="K606" s="7" t="s">
        <v>544</v>
      </c>
    </row>
    <row r="607" customHeight="1" spans="3:11">
      <c r="C607" s="7">
        <v>2085</v>
      </c>
      <c r="D607" s="7" t="s">
        <v>631</v>
      </c>
      <c r="E607" s="7">
        <v>2</v>
      </c>
      <c r="F607" s="7">
        <f t="shared" si="14"/>
        <v>1020</v>
      </c>
      <c r="G607" s="7">
        <v>1</v>
      </c>
      <c r="H607" s="7">
        <v>19</v>
      </c>
      <c r="I607" s="7">
        <v>5</v>
      </c>
      <c r="J607" s="7" t="s">
        <v>540</v>
      </c>
      <c r="K607" s="7" t="s">
        <v>546</v>
      </c>
    </row>
    <row r="608" customHeight="1" spans="3:11">
      <c r="C608" s="7">
        <v>2086</v>
      </c>
      <c r="D608" s="7" t="s">
        <v>632</v>
      </c>
      <c r="E608" s="7">
        <v>2</v>
      </c>
      <c r="F608" s="7">
        <f t="shared" si="14"/>
        <v>1032</v>
      </c>
      <c r="G608" s="7">
        <v>1</v>
      </c>
      <c r="H608" s="7">
        <v>20</v>
      </c>
      <c r="I608" s="7">
        <v>5</v>
      </c>
      <c r="J608" s="7" t="s">
        <v>540</v>
      </c>
      <c r="K608" s="7" t="s">
        <v>548</v>
      </c>
    </row>
    <row r="609" customHeight="1" spans="3:11">
      <c r="C609" s="7">
        <v>2087</v>
      </c>
      <c r="D609" s="7" t="s">
        <v>633</v>
      </c>
      <c r="E609" s="7">
        <v>2</v>
      </c>
      <c r="F609" s="7">
        <f t="shared" si="14"/>
        <v>1044</v>
      </c>
      <c r="G609" s="7">
        <v>1</v>
      </c>
      <c r="H609" s="7">
        <v>24</v>
      </c>
      <c r="I609" s="7">
        <v>5</v>
      </c>
      <c r="J609" s="7" t="s">
        <v>540</v>
      </c>
      <c r="K609" s="7" t="s">
        <v>550</v>
      </c>
    </row>
    <row r="610" customHeight="1" spans="3:11">
      <c r="C610" s="7">
        <v>2088</v>
      </c>
      <c r="D610" s="7" t="s">
        <v>634</v>
      </c>
      <c r="E610" s="7">
        <v>2</v>
      </c>
      <c r="F610" s="7">
        <f t="shared" si="14"/>
        <v>1056</v>
      </c>
      <c r="G610" s="7">
        <v>1</v>
      </c>
      <c r="H610" s="7">
        <v>26</v>
      </c>
      <c r="I610" s="7">
        <v>10</v>
      </c>
      <c r="J610" s="7" t="s">
        <v>540</v>
      </c>
      <c r="K610" s="7" t="s">
        <v>552</v>
      </c>
    </row>
    <row r="611" customHeight="1" spans="3:11">
      <c r="C611" s="7">
        <v>2089</v>
      </c>
      <c r="D611" s="7" t="s">
        <v>635</v>
      </c>
      <c r="E611" s="7">
        <v>2</v>
      </c>
      <c r="F611" s="7">
        <f t="shared" si="14"/>
        <v>1068</v>
      </c>
      <c r="G611" s="7">
        <v>1</v>
      </c>
      <c r="H611" s="7">
        <v>27</v>
      </c>
      <c r="I611" s="7">
        <v>10</v>
      </c>
      <c r="J611" s="7" t="s">
        <v>540</v>
      </c>
      <c r="K611" s="7" t="s">
        <v>554</v>
      </c>
    </row>
    <row r="612" s="4" customFormat="1" customHeight="1" spans="3:11">
      <c r="C612" s="4">
        <v>2090</v>
      </c>
      <c r="D612" s="4" t="s">
        <v>636</v>
      </c>
      <c r="E612" s="4">
        <v>2</v>
      </c>
      <c r="F612" s="4">
        <f t="shared" si="14"/>
        <v>1080</v>
      </c>
      <c r="G612" s="4">
        <v>1</v>
      </c>
      <c r="H612" s="4">
        <v>28</v>
      </c>
      <c r="I612" s="4">
        <v>10</v>
      </c>
      <c r="J612" s="4" t="s">
        <v>540</v>
      </c>
      <c r="K612" s="4" t="s">
        <v>556</v>
      </c>
    </row>
    <row r="613" customHeight="1" spans="3:11">
      <c r="C613" s="7">
        <v>2091</v>
      </c>
      <c r="D613" s="7" t="s">
        <v>637</v>
      </c>
      <c r="E613" s="7">
        <v>2</v>
      </c>
      <c r="F613" s="7">
        <f t="shared" si="14"/>
        <v>1092</v>
      </c>
      <c r="G613" s="7">
        <v>1</v>
      </c>
      <c r="H613" s="7">
        <v>14</v>
      </c>
      <c r="I613" s="7">
        <v>10</v>
      </c>
      <c r="J613" s="7" t="s">
        <v>540</v>
      </c>
      <c r="K613" s="7" t="s">
        <v>15</v>
      </c>
    </row>
    <row r="614" customHeight="1" spans="3:11">
      <c r="C614" s="7">
        <v>2092</v>
      </c>
      <c r="D614" s="7" t="s">
        <v>638</v>
      </c>
      <c r="E614" s="7">
        <v>2</v>
      </c>
      <c r="F614" s="7">
        <f t="shared" si="14"/>
        <v>1104</v>
      </c>
      <c r="G614" s="7">
        <v>1</v>
      </c>
      <c r="H614" s="7">
        <v>15</v>
      </c>
      <c r="I614" s="7">
        <v>10</v>
      </c>
      <c r="J614" s="7" t="s">
        <v>540</v>
      </c>
      <c r="K614" s="7" t="s">
        <v>19</v>
      </c>
    </row>
    <row r="615" customHeight="1" spans="3:11">
      <c r="C615" s="7">
        <v>2093</v>
      </c>
      <c r="D615" s="7" t="s">
        <v>639</v>
      </c>
      <c r="E615" s="7">
        <v>2</v>
      </c>
      <c r="F615" s="7">
        <f t="shared" si="14"/>
        <v>1116</v>
      </c>
      <c r="G615" s="7">
        <v>1</v>
      </c>
      <c r="H615" s="7">
        <v>16</v>
      </c>
      <c r="I615" s="7">
        <v>10</v>
      </c>
      <c r="J615" s="7" t="s">
        <v>540</v>
      </c>
      <c r="K615" s="7" t="s">
        <v>21</v>
      </c>
    </row>
    <row r="616" customHeight="1" spans="3:11">
      <c r="C616" s="7">
        <v>2094</v>
      </c>
      <c r="D616" s="7" t="s">
        <v>640</v>
      </c>
      <c r="E616" s="7">
        <v>2</v>
      </c>
      <c r="F616" s="7">
        <f t="shared" si="14"/>
        <v>1128</v>
      </c>
      <c r="G616" s="7">
        <v>1</v>
      </c>
      <c r="H616" s="7">
        <v>18</v>
      </c>
      <c r="I616" s="7">
        <v>5</v>
      </c>
      <c r="J616" s="7" t="s">
        <v>540</v>
      </c>
      <c r="K616" s="7" t="s">
        <v>544</v>
      </c>
    </row>
    <row r="617" customHeight="1" spans="3:11">
      <c r="C617" s="7">
        <v>2095</v>
      </c>
      <c r="D617" s="7" t="s">
        <v>641</v>
      </c>
      <c r="E617" s="7">
        <v>2</v>
      </c>
      <c r="F617" s="7">
        <f t="shared" si="14"/>
        <v>1140</v>
      </c>
      <c r="G617" s="7">
        <v>1</v>
      </c>
      <c r="H617" s="7">
        <v>19</v>
      </c>
      <c r="I617" s="7">
        <v>5</v>
      </c>
      <c r="J617" s="7" t="s">
        <v>540</v>
      </c>
      <c r="K617" s="7" t="s">
        <v>546</v>
      </c>
    </row>
    <row r="618" customHeight="1" spans="3:11">
      <c r="C618" s="7">
        <v>2096</v>
      </c>
      <c r="D618" s="7" t="s">
        <v>642</v>
      </c>
      <c r="E618" s="7">
        <v>2</v>
      </c>
      <c r="F618" s="7">
        <f t="shared" si="14"/>
        <v>1152</v>
      </c>
      <c r="G618" s="7">
        <v>1</v>
      </c>
      <c r="H618" s="7">
        <v>20</v>
      </c>
      <c r="I618" s="7">
        <v>5</v>
      </c>
      <c r="J618" s="7" t="s">
        <v>540</v>
      </c>
      <c r="K618" s="7" t="s">
        <v>548</v>
      </c>
    </row>
    <row r="619" customHeight="1" spans="3:11">
      <c r="C619" s="7">
        <v>2097</v>
      </c>
      <c r="D619" s="7" t="s">
        <v>643</v>
      </c>
      <c r="E619" s="7">
        <v>2</v>
      </c>
      <c r="F619" s="7">
        <f t="shared" si="14"/>
        <v>1164</v>
      </c>
      <c r="G619" s="7">
        <v>1</v>
      </c>
      <c r="H619" s="7">
        <v>24</v>
      </c>
      <c r="I619" s="7">
        <v>5</v>
      </c>
      <c r="J619" s="7" t="s">
        <v>540</v>
      </c>
      <c r="K619" s="7" t="s">
        <v>550</v>
      </c>
    </row>
    <row r="620" customHeight="1" spans="3:11">
      <c r="C620" s="7">
        <v>2098</v>
      </c>
      <c r="D620" s="7" t="s">
        <v>644</v>
      </c>
      <c r="E620" s="7">
        <v>2</v>
      </c>
      <c r="F620" s="7">
        <f t="shared" si="14"/>
        <v>1176</v>
      </c>
      <c r="G620" s="7">
        <v>1</v>
      </c>
      <c r="H620" s="7">
        <v>26</v>
      </c>
      <c r="I620" s="7">
        <v>10</v>
      </c>
      <c r="J620" s="7" t="s">
        <v>540</v>
      </c>
      <c r="K620" s="7" t="s">
        <v>552</v>
      </c>
    </row>
    <row r="621" customHeight="1" spans="3:11">
      <c r="C621" s="7">
        <v>2099</v>
      </c>
      <c r="D621" s="7" t="s">
        <v>645</v>
      </c>
      <c r="E621" s="7">
        <v>2</v>
      </c>
      <c r="F621" s="7">
        <f t="shared" si="14"/>
        <v>1188</v>
      </c>
      <c r="G621" s="7">
        <v>1</v>
      </c>
      <c r="H621" s="7">
        <v>27</v>
      </c>
      <c r="I621" s="7">
        <v>10</v>
      </c>
      <c r="J621" s="7" t="s">
        <v>540</v>
      </c>
      <c r="K621" s="7" t="s">
        <v>554</v>
      </c>
    </row>
    <row r="622" s="4" customFormat="1" customHeight="1" spans="3:11">
      <c r="C622" s="4">
        <v>2100</v>
      </c>
      <c r="D622" s="4" t="s">
        <v>646</v>
      </c>
      <c r="E622" s="4">
        <v>2</v>
      </c>
      <c r="F622" s="4">
        <f t="shared" si="14"/>
        <v>1200</v>
      </c>
      <c r="G622" s="4">
        <v>1</v>
      </c>
      <c r="H622" s="4">
        <v>28</v>
      </c>
      <c r="I622" s="4">
        <v>10</v>
      </c>
      <c r="J622" s="4" t="s">
        <v>540</v>
      </c>
      <c r="K622" s="4" t="s">
        <v>556</v>
      </c>
    </row>
    <row r="623" customHeight="1" spans="3:11">
      <c r="C623" s="7">
        <v>2101</v>
      </c>
      <c r="D623" s="7" t="s">
        <v>647</v>
      </c>
      <c r="E623" s="7">
        <v>2</v>
      </c>
      <c r="F623" s="7">
        <f t="shared" si="14"/>
        <v>1212</v>
      </c>
      <c r="G623" s="7">
        <v>1</v>
      </c>
      <c r="H623" s="7">
        <v>14</v>
      </c>
      <c r="I623" s="7">
        <v>10</v>
      </c>
      <c r="J623" s="7" t="s">
        <v>540</v>
      </c>
      <c r="K623" s="7" t="s">
        <v>15</v>
      </c>
    </row>
    <row r="624" customHeight="1" spans="3:11">
      <c r="C624" s="7">
        <v>2102</v>
      </c>
      <c r="D624" s="7" t="s">
        <v>648</v>
      </c>
      <c r="E624" s="7">
        <v>2</v>
      </c>
      <c r="F624" s="7">
        <f t="shared" si="14"/>
        <v>1224</v>
      </c>
      <c r="G624" s="7">
        <v>1</v>
      </c>
      <c r="H624" s="7">
        <v>15</v>
      </c>
      <c r="I624" s="7">
        <v>10</v>
      </c>
      <c r="J624" s="7" t="s">
        <v>540</v>
      </c>
      <c r="K624" s="7" t="s">
        <v>19</v>
      </c>
    </row>
    <row r="625" customHeight="1" spans="3:11">
      <c r="C625" s="7">
        <v>2103</v>
      </c>
      <c r="D625" s="7" t="s">
        <v>649</v>
      </c>
      <c r="E625" s="7">
        <v>2</v>
      </c>
      <c r="F625" s="7">
        <f t="shared" si="14"/>
        <v>1236</v>
      </c>
      <c r="G625" s="7">
        <v>1</v>
      </c>
      <c r="H625" s="7">
        <v>16</v>
      </c>
      <c r="I625" s="7">
        <v>10</v>
      </c>
      <c r="J625" s="7" t="s">
        <v>540</v>
      </c>
      <c r="K625" s="7" t="s">
        <v>21</v>
      </c>
    </row>
    <row r="626" customHeight="1" spans="3:11">
      <c r="C626" s="7">
        <v>2104</v>
      </c>
      <c r="D626" s="7" t="s">
        <v>650</v>
      </c>
      <c r="E626" s="7">
        <v>2</v>
      </c>
      <c r="F626" s="7">
        <f t="shared" si="14"/>
        <v>1248</v>
      </c>
      <c r="G626" s="7">
        <v>1</v>
      </c>
      <c r="H626" s="7">
        <v>18</v>
      </c>
      <c r="I626" s="7">
        <v>5</v>
      </c>
      <c r="J626" s="7" t="s">
        <v>540</v>
      </c>
      <c r="K626" s="7" t="s">
        <v>544</v>
      </c>
    </row>
    <row r="627" customHeight="1" spans="3:11">
      <c r="C627" s="7">
        <v>2105</v>
      </c>
      <c r="D627" s="7" t="s">
        <v>651</v>
      </c>
      <c r="E627" s="7">
        <v>2</v>
      </c>
      <c r="F627" s="7">
        <f t="shared" si="14"/>
        <v>1260</v>
      </c>
      <c r="G627" s="7">
        <v>1</v>
      </c>
      <c r="H627" s="7">
        <v>19</v>
      </c>
      <c r="I627" s="7">
        <v>5</v>
      </c>
      <c r="J627" s="7" t="s">
        <v>540</v>
      </c>
      <c r="K627" s="7" t="s">
        <v>546</v>
      </c>
    </row>
    <row r="628" customHeight="1" spans="3:11">
      <c r="C628" s="7">
        <v>2106</v>
      </c>
      <c r="D628" s="7" t="s">
        <v>652</v>
      </c>
      <c r="E628" s="7">
        <v>2</v>
      </c>
      <c r="F628" s="7">
        <f t="shared" si="14"/>
        <v>1272</v>
      </c>
      <c r="G628" s="7">
        <v>1</v>
      </c>
      <c r="H628" s="7">
        <v>20</v>
      </c>
      <c r="I628" s="7">
        <v>5</v>
      </c>
      <c r="J628" s="7" t="s">
        <v>540</v>
      </c>
      <c r="K628" s="7" t="s">
        <v>548</v>
      </c>
    </row>
    <row r="629" customHeight="1" spans="3:11">
      <c r="C629" s="7">
        <v>2107</v>
      </c>
      <c r="D629" s="7" t="s">
        <v>653</v>
      </c>
      <c r="E629" s="7">
        <v>2</v>
      </c>
      <c r="F629" s="7">
        <f t="shared" si="14"/>
        <v>1284</v>
      </c>
      <c r="G629" s="7">
        <v>1</v>
      </c>
      <c r="H629" s="7">
        <v>24</v>
      </c>
      <c r="I629" s="7">
        <v>5</v>
      </c>
      <c r="J629" s="7" t="s">
        <v>540</v>
      </c>
      <c r="K629" s="7" t="s">
        <v>550</v>
      </c>
    </row>
    <row r="630" customHeight="1" spans="3:11">
      <c r="C630" s="7">
        <v>2108</v>
      </c>
      <c r="D630" s="7" t="s">
        <v>654</v>
      </c>
      <c r="E630" s="7">
        <v>2</v>
      </c>
      <c r="F630" s="7">
        <f t="shared" si="14"/>
        <v>1296</v>
      </c>
      <c r="G630" s="7">
        <v>1</v>
      </c>
      <c r="H630" s="7">
        <v>26</v>
      </c>
      <c r="I630" s="7">
        <v>10</v>
      </c>
      <c r="J630" s="7" t="s">
        <v>540</v>
      </c>
      <c r="K630" s="7" t="s">
        <v>552</v>
      </c>
    </row>
    <row r="631" customHeight="1" spans="3:11">
      <c r="C631" s="7">
        <v>2109</v>
      </c>
      <c r="D631" s="7" t="s">
        <v>655</v>
      </c>
      <c r="E631" s="7">
        <v>2</v>
      </c>
      <c r="F631" s="7">
        <f t="shared" si="14"/>
        <v>1308</v>
      </c>
      <c r="G631" s="7">
        <v>1</v>
      </c>
      <c r="H631" s="7">
        <v>27</v>
      </c>
      <c r="I631" s="7">
        <v>10</v>
      </c>
      <c r="J631" s="7" t="s">
        <v>540</v>
      </c>
      <c r="K631" s="7" t="s">
        <v>554</v>
      </c>
    </row>
    <row r="632" s="4" customFormat="1" customHeight="1" spans="3:11">
      <c r="C632" s="4">
        <v>2110</v>
      </c>
      <c r="D632" s="4" t="s">
        <v>656</v>
      </c>
      <c r="E632" s="4">
        <v>2</v>
      </c>
      <c r="F632" s="4">
        <f t="shared" si="14"/>
        <v>1320</v>
      </c>
      <c r="G632" s="4">
        <v>1</v>
      </c>
      <c r="H632" s="4">
        <v>28</v>
      </c>
      <c r="I632" s="4">
        <v>10</v>
      </c>
      <c r="J632" s="4" t="s">
        <v>540</v>
      </c>
      <c r="K632" s="4" t="s">
        <v>556</v>
      </c>
    </row>
    <row r="633" customHeight="1" spans="3:11">
      <c r="C633" s="7">
        <v>2111</v>
      </c>
      <c r="D633" s="7" t="s">
        <v>657</v>
      </c>
      <c r="E633" s="7">
        <v>2</v>
      </c>
      <c r="F633" s="7">
        <f t="shared" si="14"/>
        <v>1332</v>
      </c>
      <c r="G633" s="7">
        <v>1</v>
      </c>
      <c r="H633" s="7">
        <v>14</v>
      </c>
      <c r="I633" s="7">
        <v>10</v>
      </c>
      <c r="J633" s="7" t="s">
        <v>540</v>
      </c>
      <c r="K633" s="7" t="s">
        <v>15</v>
      </c>
    </row>
    <row r="634" customHeight="1" spans="3:11">
      <c r="C634" s="7">
        <v>2112</v>
      </c>
      <c r="D634" s="7" t="s">
        <v>658</v>
      </c>
      <c r="E634" s="7">
        <v>2</v>
      </c>
      <c r="F634" s="7">
        <f t="shared" si="14"/>
        <v>1344</v>
      </c>
      <c r="G634" s="7">
        <v>1</v>
      </c>
      <c r="H634" s="7">
        <v>15</v>
      </c>
      <c r="I634" s="7">
        <v>10</v>
      </c>
      <c r="J634" s="7" t="s">
        <v>540</v>
      </c>
      <c r="K634" s="7" t="s">
        <v>19</v>
      </c>
    </row>
    <row r="635" customHeight="1" spans="3:11">
      <c r="C635" s="7">
        <v>2113</v>
      </c>
      <c r="D635" s="7" t="s">
        <v>659</v>
      </c>
      <c r="E635" s="7">
        <v>2</v>
      </c>
      <c r="F635" s="7">
        <f t="shared" si="14"/>
        <v>1356</v>
      </c>
      <c r="G635" s="7">
        <v>1</v>
      </c>
      <c r="H635" s="7">
        <v>16</v>
      </c>
      <c r="I635" s="7">
        <v>10</v>
      </c>
      <c r="J635" s="7" t="s">
        <v>540</v>
      </c>
      <c r="K635" s="7" t="s">
        <v>21</v>
      </c>
    </row>
    <row r="636" customHeight="1" spans="3:11">
      <c r="C636" s="7">
        <v>2114</v>
      </c>
      <c r="D636" s="7" t="s">
        <v>660</v>
      </c>
      <c r="E636" s="7">
        <v>2</v>
      </c>
      <c r="F636" s="7">
        <f t="shared" si="14"/>
        <v>1368</v>
      </c>
      <c r="G636" s="7">
        <v>1</v>
      </c>
      <c r="H636" s="7">
        <v>18</v>
      </c>
      <c r="I636" s="7">
        <v>5</v>
      </c>
      <c r="J636" s="7" t="s">
        <v>540</v>
      </c>
      <c r="K636" s="7" t="s">
        <v>544</v>
      </c>
    </row>
    <row r="637" customHeight="1" spans="3:11">
      <c r="C637" s="7">
        <v>2115</v>
      </c>
      <c r="D637" s="7" t="s">
        <v>661</v>
      </c>
      <c r="E637" s="7">
        <v>2</v>
      </c>
      <c r="F637" s="7">
        <f t="shared" si="14"/>
        <v>1380</v>
      </c>
      <c r="G637" s="7">
        <v>1</v>
      </c>
      <c r="H637" s="7">
        <v>19</v>
      </c>
      <c r="I637" s="7">
        <v>5</v>
      </c>
      <c r="J637" s="7" t="s">
        <v>540</v>
      </c>
      <c r="K637" s="7" t="s">
        <v>546</v>
      </c>
    </row>
    <row r="638" customHeight="1" spans="3:11">
      <c r="C638" s="7">
        <v>2116</v>
      </c>
      <c r="D638" s="7" t="s">
        <v>662</v>
      </c>
      <c r="E638" s="7">
        <v>2</v>
      </c>
      <c r="F638" s="7">
        <f t="shared" si="14"/>
        <v>1392</v>
      </c>
      <c r="G638" s="7">
        <v>1</v>
      </c>
      <c r="H638" s="7">
        <v>20</v>
      </c>
      <c r="I638" s="7">
        <v>5</v>
      </c>
      <c r="J638" s="7" t="s">
        <v>540</v>
      </c>
      <c r="K638" s="7" t="s">
        <v>548</v>
      </c>
    </row>
    <row r="639" customHeight="1" spans="3:11">
      <c r="C639" s="7">
        <v>2117</v>
      </c>
      <c r="D639" s="7" t="s">
        <v>663</v>
      </c>
      <c r="E639" s="7">
        <v>2</v>
      </c>
      <c r="F639" s="7">
        <f t="shared" si="14"/>
        <v>1404</v>
      </c>
      <c r="G639" s="7">
        <v>1</v>
      </c>
      <c r="H639" s="7">
        <v>24</v>
      </c>
      <c r="I639" s="7">
        <v>5</v>
      </c>
      <c r="J639" s="7" t="s">
        <v>540</v>
      </c>
      <c r="K639" s="7" t="s">
        <v>550</v>
      </c>
    </row>
    <row r="640" customHeight="1" spans="3:11">
      <c r="C640" s="7">
        <v>2118</v>
      </c>
      <c r="D640" s="7" t="s">
        <v>664</v>
      </c>
      <c r="E640" s="7">
        <v>2</v>
      </c>
      <c r="F640" s="7">
        <f t="shared" si="14"/>
        <v>1416</v>
      </c>
      <c r="G640" s="7">
        <v>1</v>
      </c>
      <c r="H640" s="7">
        <v>26</v>
      </c>
      <c r="I640" s="7">
        <v>10</v>
      </c>
      <c r="J640" s="7" t="s">
        <v>540</v>
      </c>
      <c r="K640" s="7" t="s">
        <v>552</v>
      </c>
    </row>
    <row r="641" customHeight="1" spans="3:11">
      <c r="C641" s="7">
        <v>2119</v>
      </c>
      <c r="D641" s="7" t="s">
        <v>665</v>
      </c>
      <c r="E641" s="7">
        <v>2</v>
      </c>
      <c r="F641" s="7">
        <f t="shared" si="14"/>
        <v>1428</v>
      </c>
      <c r="G641" s="7">
        <v>1</v>
      </c>
      <c r="H641" s="7">
        <v>27</v>
      </c>
      <c r="I641" s="7">
        <v>10</v>
      </c>
      <c r="J641" s="7" t="s">
        <v>540</v>
      </c>
      <c r="K641" s="7" t="s">
        <v>554</v>
      </c>
    </row>
    <row r="642" s="4" customFormat="1" customHeight="1" spans="3:11">
      <c r="C642" s="4">
        <v>2120</v>
      </c>
      <c r="D642" s="4" t="s">
        <v>666</v>
      </c>
      <c r="E642" s="4">
        <v>2</v>
      </c>
      <c r="F642" s="4">
        <f t="shared" si="14"/>
        <v>1440</v>
      </c>
      <c r="G642" s="4">
        <v>1</v>
      </c>
      <c r="H642" s="4">
        <v>28</v>
      </c>
      <c r="I642" s="4">
        <v>10</v>
      </c>
      <c r="J642" s="4" t="s">
        <v>540</v>
      </c>
      <c r="K642" s="4" t="s">
        <v>556</v>
      </c>
    </row>
    <row r="643" customHeight="1" spans="3:11">
      <c r="C643" s="7">
        <v>2121</v>
      </c>
      <c r="D643" s="7" t="s">
        <v>667</v>
      </c>
      <c r="E643" s="7">
        <v>2</v>
      </c>
      <c r="F643" s="7">
        <f t="shared" si="14"/>
        <v>1452</v>
      </c>
      <c r="G643" s="7">
        <v>1</v>
      </c>
      <c r="H643" s="7">
        <v>14</v>
      </c>
      <c r="I643" s="7">
        <v>10</v>
      </c>
      <c r="J643" s="7" t="s">
        <v>540</v>
      </c>
      <c r="K643" s="7" t="s">
        <v>15</v>
      </c>
    </row>
    <row r="644" customHeight="1" spans="3:11">
      <c r="C644" s="7">
        <v>2122</v>
      </c>
      <c r="D644" s="7" t="s">
        <v>668</v>
      </c>
      <c r="E644" s="7">
        <v>2</v>
      </c>
      <c r="F644" s="7">
        <f t="shared" si="14"/>
        <v>1464</v>
      </c>
      <c r="G644" s="7">
        <v>1</v>
      </c>
      <c r="H644" s="7">
        <v>15</v>
      </c>
      <c r="I644" s="7">
        <v>10</v>
      </c>
      <c r="J644" s="7" t="s">
        <v>540</v>
      </c>
      <c r="K644" s="7" t="s">
        <v>19</v>
      </c>
    </row>
    <row r="645" customHeight="1" spans="3:11">
      <c r="C645" s="7">
        <v>2123</v>
      </c>
      <c r="D645" s="7" t="s">
        <v>669</v>
      </c>
      <c r="E645" s="7">
        <v>2</v>
      </c>
      <c r="F645" s="7">
        <f t="shared" si="14"/>
        <v>1476</v>
      </c>
      <c r="G645" s="7">
        <v>1</v>
      </c>
      <c r="H645" s="7">
        <v>16</v>
      </c>
      <c r="I645" s="7">
        <v>10</v>
      </c>
      <c r="J645" s="7" t="s">
        <v>540</v>
      </c>
      <c r="K645" s="7" t="s">
        <v>21</v>
      </c>
    </row>
    <row r="646" customHeight="1" spans="3:11">
      <c r="C646" s="7">
        <v>2124</v>
      </c>
      <c r="D646" s="7" t="s">
        <v>670</v>
      </c>
      <c r="E646" s="7">
        <v>2</v>
      </c>
      <c r="F646" s="7">
        <f t="shared" si="14"/>
        <v>1488</v>
      </c>
      <c r="G646" s="7">
        <v>1</v>
      </c>
      <c r="H646" s="7">
        <v>18</v>
      </c>
      <c r="I646" s="7">
        <v>5</v>
      </c>
      <c r="J646" s="7" t="s">
        <v>540</v>
      </c>
      <c r="K646" s="7" t="s">
        <v>544</v>
      </c>
    </row>
    <row r="647" customHeight="1" spans="3:11">
      <c r="C647" s="7">
        <v>2125</v>
      </c>
      <c r="D647" s="7" t="s">
        <v>671</v>
      </c>
      <c r="E647" s="7">
        <v>2</v>
      </c>
      <c r="F647" s="7">
        <f t="shared" si="14"/>
        <v>1500</v>
      </c>
      <c r="G647" s="7">
        <v>1</v>
      </c>
      <c r="H647" s="7">
        <v>19</v>
      </c>
      <c r="I647" s="7">
        <v>5</v>
      </c>
      <c r="J647" s="7" t="s">
        <v>540</v>
      </c>
      <c r="K647" s="7" t="s">
        <v>546</v>
      </c>
    </row>
    <row r="648" customHeight="1" spans="3:11">
      <c r="C648" s="7">
        <v>2126</v>
      </c>
      <c r="D648" s="7" t="s">
        <v>672</v>
      </c>
      <c r="E648" s="7">
        <v>2</v>
      </c>
      <c r="F648" s="7">
        <f t="shared" si="14"/>
        <v>1512</v>
      </c>
      <c r="G648" s="7">
        <v>1</v>
      </c>
      <c r="H648" s="7">
        <v>20</v>
      </c>
      <c r="I648" s="7">
        <v>5</v>
      </c>
      <c r="J648" s="7" t="s">
        <v>540</v>
      </c>
      <c r="K648" s="7" t="s">
        <v>548</v>
      </c>
    </row>
    <row r="649" customHeight="1" spans="3:11">
      <c r="C649" s="7">
        <v>2127</v>
      </c>
      <c r="D649" s="7" t="s">
        <v>673</v>
      </c>
      <c r="E649" s="7">
        <v>2</v>
      </c>
      <c r="F649" s="7">
        <f t="shared" si="14"/>
        <v>1524</v>
      </c>
      <c r="G649" s="7">
        <v>1</v>
      </c>
      <c r="H649" s="7">
        <v>24</v>
      </c>
      <c r="I649" s="7">
        <v>5</v>
      </c>
      <c r="J649" s="7" t="s">
        <v>540</v>
      </c>
      <c r="K649" s="7" t="s">
        <v>550</v>
      </c>
    </row>
    <row r="650" customHeight="1" spans="3:11">
      <c r="C650" s="7">
        <v>2128</v>
      </c>
      <c r="D650" s="7" t="s">
        <v>674</v>
      </c>
      <c r="E650" s="7">
        <v>2</v>
      </c>
      <c r="F650" s="7">
        <f t="shared" si="14"/>
        <v>1536</v>
      </c>
      <c r="G650" s="7">
        <v>1</v>
      </c>
      <c r="H650" s="7">
        <v>26</v>
      </c>
      <c r="I650" s="7">
        <v>10</v>
      </c>
      <c r="J650" s="7" t="s">
        <v>540</v>
      </c>
      <c r="K650" s="7" t="s">
        <v>552</v>
      </c>
    </row>
    <row r="651" customHeight="1" spans="3:11">
      <c r="C651" s="7">
        <v>2129</v>
      </c>
      <c r="D651" s="7" t="s">
        <v>675</v>
      </c>
      <c r="E651" s="7">
        <v>2</v>
      </c>
      <c r="F651" s="7">
        <f t="shared" ref="F651:F714" si="15">(C651-2000)*12</f>
        <v>1548</v>
      </c>
      <c r="G651" s="7">
        <v>1</v>
      </c>
      <c r="H651" s="7">
        <v>27</v>
      </c>
      <c r="I651" s="7">
        <v>10</v>
      </c>
      <c r="J651" s="7" t="s">
        <v>540</v>
      </c>
      <c r="K651" s="7" t="s">
        <v>554</v>
      </c>
    </row>
    <row r="652" s="4" customFormat="1" customHeight="1" spans="3:11">
      <c r="C652" s="7">
        <v>2130</v>
      </c>
      <c r="D652" s="7" t="s">
        <v>676</v>
      </c>
      <c r="E652" s="4">
        <v>2</v>
      </c>
      <c r="F652" s="4">
        <f t="shared" si="15"/>
        <v>1560</v>
      </c>
      <c r="G652" s="4">
        <v>1</v>
      </c>
      <c r="H652" s="4">
        <v>28</v>
      </c>
      <c r="I652" s="4">
        <v>10</v>
      </c>
      <c r="J652" s="4" t="s">
        <v>540</v>
      </c>
      <c r="K652" s="4" t="s">
        <v>556</v>
      </c>
    </row>
    <row r="653" customHeight="1" spans="3:11">
      <c r="C653" s="7">
        <v>2131</v>
      </c>
      <c r="D653" s="7" t="s">
        <v>677</v>
      </c>
      <c r="E653" s="7">
        <v>2</v>
      </c>
      <c r="F653" s="7">
        <f t="shared" si="15"/>
        <v>1572</v>
      </c>
      <c r="G653" s="7">
        <v>1</v>
      </c>
      <c r="H653" s="7">
        <v>14</v>
      </c>
      <c r="I653" s="7">
        <v>10</v>
      </c>
      <c r="J653" s="7" t="s">
        <v>540</v>
      </c>
      <c r="K653" s="7" t="s">
        <v>15</v>
      </c>
    </row>
    <row r="654" customHeight="1" spans="3:11">
      <c r="C654" s="7">
        <v>2132</v>
      </c>
      <c r="D654" s="7" t="s">
        <v>678</v>
      </c>
      <c r="E654" s="7">
        <v>2</v>
      </c>
      <c r="F654" s="7">
        <f t="shared" si="15"/>
        <v>1584</v>
      </c>
      <c r="G654" s="7">
        <v>1</v>
      </c>
      <c r="H654" s="7">
        <v>15</v>
      </c>
      <c r="I654" s="7">
        <v>10</v>
      </c>
      <c r="J654" s="7" t="s">
        <v>540</v>
      </c>
      <c r="K654" s="7" t="s">
        <v>19</v>
      </c>
    </row>
    <row r="655" customHeight="1" spans="3:11">
      <c r="C655" s="7">
        <v>2133</v>
      </c>
      <c r="D655" s="7" t="s">
        <v>679</v>
      </c>
      <c r="E655" s="7">
        <v>2</v>
      </c>
      <c r="F655" s="7">
        <f t="shared" si="15"/>
        <v>1596</v>
      </c>
      <c r="G655" s="7">
        <v>1</v>
      </c>
      <c r="H655" s="7">
        <v>16</v>
      </c>
      <c r="I655" s="7">
        <v>10</v>
      </c>
      <c r="J655" s="7" t="s">
        <v>540</v>
      </c>
      <c r="K655" s="7" t="s">
        <v>21</v>
      </c>
    </row>
    <row r="656" customHeight="1" spans="3:11">
      <c r="C656" s="7">
        <v>2134</v>
      </c>
      <c r="D656" s="7" t="s">
        <v>680</v>
      </c>
      <c r="E656" s="7">
        <v>2</v>
      </c>
      <c r="F656" s="7">
        <f t="shared" si="15"/>
        <v>1608</v>
      </c>
      <c r="G656" s="7">
        <v>1</v>
      </c>
      <c r="H656" s="7">
        <v>18</v>
      </c>
      <c r="I656" s="7">
        <v>5</v>
      </c>
      <c r="J656" s="7" t="s">
        <v>540</v>
      </c>
      <c r="K656" s="7" t="s">
        <v>544</v>
      </c>
    </row>
    <row r="657" customHeight="1" spans="3:11">
      <c r="C657" s="7">
        <v>2135</v>
      </c>
      <c r="D657" s="7" t="s">
        <v>681</v>
      </c>
      <c r="E657" s="7">
        <v>2</v>
      </c>
      <c r="F657" s="7">
        <f t="shared" si="15"/>
        <v>1620</v>
      </c>
      <c r="G657" s="7">
        <v>1</v>
      </c>
      <c r="H657" s="7">
        <v>19</v>
      </c>
      <c r="I657" s="7">
        <v>5</v>
      </c>
      <c r="J657" s="7" t="s">
        <v>540</v>
      </c>
      <c r="K657" s="7" t="s">
        <v>546</v>
      </c>
    </row>
    <row r="658" customHeight="1" spans="3:11">
      <c r="C658" s="7">
        <v>2136</v>
      </c>
      <c r="D658" s="7" t="s">
        <v>682</v>
      </c>
      <c r="E658" s="7">
        <v>2</v>
      </c>
      <c r="F658" s="7">
        <f t="shared" si="15"/>
        <v>1632</v>
      </c>
      <c r="G658" s="7">
        <v>1</v>
      </c>
      <c r="H658" s="7">
        <v>20</v>
      </c>
      <c r="I658" s="7">
        <v>5</v>
      </c>
      <c r="J658" s="7" t="s">
        <v>540</v>
      </c>
      <c r="K658" s="7" t="s">
        <v>548</v>
      </c>
    </row>
    <row r="659" customHeight="1" spans="3:11">
      <c r="C659" s="7">
        <v>2137</v>
      </c>
      <c r="D659" s="7" t="s">
        <v>683</v>
      </c>
      <c r="E659" s="7">
        <v>2</v>
      </c>
      <c r="F659" s="7">
        <f t="shared" si="15"/>
        <v>1644</v>
      </c>
      <c r="G659" s="7">
        <v>1</v>
      </c>
      <c r="H659" s="7">
        <v>24</v>
      </c>
      <c r="I659" s="7">
        <v>5</v>
      </c>
      <c r="J659" s="7" t="s">
        <v>540</v>
      </c>
      <c r="K659" s="7" t="s">
        <v>550</v>
      </c>
    </row>
    <row r="660" customHeight="1" spans="3:11">
      <c r="C660" s="7">
        <v>2138</v>
      </c>
      <c r="D660" s="7" t="s">
        <v>684</v>
      </c>
      <c r="E660" s="7">
        <v>2</v>
      </c>
      <c r="F660" s="7">
        <f t="shared" si="15"/>
        <v>1656</v>
      </c>
      <c r="G660" s="7">
        <v>1</v>
      </c>
      <c r="H660" s="7">
        <v>26</v>
      </c>
      <c r="I660" s="7">
        <v>10</v>
      </c>
      <c r="J660" s="7" t="s">
        <v>540</v>
      </c>
      <c r="K660" s="7" t="s">
        <v>552</v>
      </c>
    </row>
    <row r="661" customHeight="1" spans="3:11">
      <c r="C661" s="7">
        <v>2139</v>
      </c>
      <c r="D661" s="7" t="s">
        <v>685</v>
      </c>
      <c r="E661" s="7">
        <v>2</v>
      </c>
      <c r="F661" s="7">
        <f t="shared" si="15"/>
        <v>1668</v>
      </c>
      <c r="G661" s="7">
        <v>1</v>
      </c>
      <c r="H661" s="7">
        <v>27</v>
      </c>
      <c r="I661" s="7">
        <v>10</v>
      </c>
      <c r="J661" s="7" t="s">
        <v>540</v>
      </c>
      <c r="K661" s="7" t="s">
        <v>554</v>
      </c>
    </row>
    <row r="662" s="4" customFormat="1" customHeight="1" spans="3:11">
      <c r="C662" s="7">
        <v>2140</v>
      </c>
      <c r="D662" s="7" t="s">
        <v>686</v>
      </c>
      <c r="E662" s="4">
        <v>2</v>
      </c>
      <c r="F662" s="4">
        <f t="shared" si="15"/>
        <v>1680</v>
      </c>
      <c r="G662" s="4">
        <v>1</v>
      </c>
      <c r="H662" s="4">
        <v>28</v>
      </c>
      <c r="I662" s="4">
        <v>10</v>
      </c>
      <c r="J662" s="4" t="s">
        <v>540</v>
      </c>
      <c r="K662" s="4" t="s">
        <v>556</v>
      </c>
    </row>
    <row r="663" customHeight="1" spans="3:11">
      <c r="C663" s="7">
        <v>2141</v>
      </c>
      <c r="D663" s="7" t="s">
        <v>687</v>
      </c>
      <c r="E663" s="7">
        <v>2</v>
      </c>
      <c r="F663" s="7">
        <f t="shared" si="15"/>
        <v>1692</v>
      </c>
      <c r="G663" s="7">
        <v>1</v>
      </c>
      <c r="H663" s="7">
        <v>14</v>
      </c>
      <c r="I663" s="7">
        <v>10</v>
      </c>
      <c r="J663" s="7" t="s">
        <v>540</v>
      </c>
      <c r="K663" s="7" t="s">
        <v>15</v>
      </c>
    </row>
    <row r="664" customHeight="1" spans="3:11">
      <c r="C664" s="7">
        <v>2142</v>
      </c>
      <c r="D664" s="7" t="s">
        <v>688</v>
      </c>
      <c r="E664" s="7">
        <v>2</v>
      </c>
      <c r="F664" s="7">
        <f t="shared" si="15"/>
        <v>1704</v>
      </c>
      <c r="G664" s="7">
        <v>1</v>
      </c>
      <c r="H664" s="7">
        <v>15</v>
      </c>
      <c r="I664" s="7">
        <v>10</v>
      </c>
      <c r="J664" s="7" t="s">
        <v>540</v>
      </c>
      <c r="K664" s="7" t="s">
        <v>19</v>
      </c>
    </row>
    <row r="665" customHeight="1" spans="3:11">
      <c r="C665" s="7">
        <v>2143</v>
      </c>
      <c r="D665" s="7" t="s">
        <v>689</v>
      </c>
      <c r="E665" s="7">
        <v>2</v>
      </c>
      <c r="F665" s="7">
        <f t="shared" si="15"/>
        <v>1716</v>
      </c>
      <c r="G665" s="7">
        <v>1</v>
      </c>
      <c r="H665" s="7">
        <v>16</v>
      </c>
      <c r="I665" s="7">
        <v>10</v>
      </c>
      <c r="J665" s="7" t="s">
        <v>540</v>
      </c>
      <c r="K665" s="7" t="s">
        <v>21</v>
      </c>
    </row>
    <row r="666" customHeight="1" spans="3:11">
      <c r="C666" s="7">
        <v>2144</v>
      </c>
      <c r="D666" s="7" t="s">
        <v>690</v>
      </c>
      <c r="E666" s="7">
        <v>2</v>
      </c>
      <c r="F666" s="7">
        <f t="shared" si="15"/>
        <v>1728</v>
      </c>
      <c r="G666" s="7">
        <v>1</v>
      </c>
      <c r="H666" s="7">
        <v>18</v>
      </c>
      <c r="I666" s="7">
        <v>5</v>
      </c>
      <c r="J666" s="7" t="s">
        <v>540</v>
      </c>
      <c r="K666" s="7" t="s">
        <v>544</v>
      </c>
    </row>
    <row r="667" customHeight="1" spans="3:11">
      <c r="C667" s="7">
        <v>2145</v>
      </c>
      <c r="D667" s="7" t="s">
        <v>691</v>
      </c>
      <c r="E667" s="7">
        <v>2</v>
      </c>
      <c r="F667" s="7">
        <f t="shared" si="15"/>
        <v>1740</v>
      </c>
      <c r="G667" s="7">
        <v>1</v>
      </c>
      <c r="H667" s="7">
        <v>19</v>
      </c>
      <c r="I667" s="7">
        <v>5</v>
      </c>
      <c r="J667" s="7" t="s">
        <v>540</v>
      </c>
      <c r="K667" s="7" t="s">
        <v>546</v>
      </c>
    </row>
    <row r="668" customHeight="1" spans="3:11">
      <c r="C668" s="7">
        <v>2146</v>
      </c>
      <c r="D668" s="7" t="s">
        <v>692</v>
      </c>
      <c r="E668" s="7">
        <v>2</v>
      </c>
      <c r="F668" s="7">
        <f t="shared" si="15"/>
        <v>1752</v>
      </c>
      <c r="G668" s="7">
        <v>1</v>
      </c>
      <c r="H668" s="7">
        <v>20</v>
      </c>
      <c r="I668" s="7">
        <v>5</v>
      </c>
      <c r="J668" s="7" t="s">
        <v>540</v>
      </c>
      <c r="K668" s="7" t="s">
        <v>548</v>
      </c>
    </row>
    <row r="669" customHeight="1" spans="3:11">
      <c r="C669" s="7">
        <v>2147</v>
      </c>
      <c r="D669" s="7" t="s">
        <v>693</v>
      </c>
      <c r="E669" s="7">
        <v>2</v>
      </c>
      <c r="F669" s="7">
        <f t="shared" si="15"/>
        <v>1764</v>
      </c>
      <c r="G669" s="7">
        <v>1</v>
      </c>
      <c r="H669" s="7">
        <v>24</v>
      </c>
      <c r="I669" s="7">
        <v>5</v>
      </c>
      <c r="J669" s="7" t="s">
        <v>540</v>
      </c>
      <c r="K669" s="7" t="s">
        <v>550</v>
      </c>
    </row>
    <row r="670" customHeight="1" spans="3:11">
      <c r="C670" s="7">
        <v>2148</v>
      </c>
      <c r="D670" s="7" t="s">
        <v>694</v>
      </c>
      <c r="E670" s="7">
        <v>2</v>
      </c>
      <c r="F670" s="7">
        <f t="shared" si="15"/>
        <v>1776</v>
      </c>
      <c r="G670" s="7">
        <v>1</v>
      </c>
      <c r="H670" s="7">
        <v>26</v>
      </c>
      <c r="I670" s="7">
        <v>10</v>
      </c>
      <c r="J670" s="7" t="s">
        <v>540</v>
      </c>
      <c r="K670" s="7" t="s">
        <v>552</v>
      </c>
    </row>
    <row r="671" customHeight="1" spans="3:11">
      <c r="C671" s="7">
        <v>2149</v>
      </c>
      <c r="D671" s="7" t="s">
        <v>695</v>
      </c>
      <c r="E671" s="7">
        <v>2</v>
      </c>
      <c r="F671" s="7">
        <f t="shared" si="15"/>
        <v>1788</v>
      </c>
      <c r="G671" s="7">
        <v>1</v>
      </c>
      <c r="H671" s="7">
        <v>27</v>
      </c>
      <c r="I671" s="7">
        <v>10</v>
      </c>
      <c r="J671" s="7" t="s">
        <v>540</v>
      </c>
      <c r="K671" s="7" t="s">
        <v>554</v>
      </c>
    </row>
    <row r="672" customHeight="1" spans="3:11">
      <c r="C672" s="7">
        <v>2150</v>
      </c>
      <c r="D672" s="7" t="s">
        <v>696</v>
      </c>
      <c r="E672" s="4">
        <v>2</v>
      </c>
      <c r="F672" s="4">
        <f t="shared" si="15"/>
        <v>1800</v>
      </c>
      <c r="G672" s="4">
        <v>1</v>
      </c>
      <c r="H672" s="4">
        <v>28</v>
      </c>
      <c r="I672" s="4">
        <v>10</v>
      </c>
      <c r="J672" s="4" t="s">
        <v>540</v>
      </c>
      <c r="K672" s="4" t="s">
        <v>556</v>
      </c>
    </row>
    <row r="673" customHeight="1" spans="3:11">
      <c r="C673" s="7">
        <v>2151</v>
      </c>
      <c r="D673" s="7" t="s">
        <v>697</v>
      </c>
      <c r="E673" s="7">
        <v>2</v>
      </c>
      <c r="F673" s="7">
        <f t="shared" si="15"/>
        <v>1812</v>
      </c>
      <c r="G673" s="7">
        <v>1</v>
      </c>
      <c r="H673" s="7">
        <v>14</v>
      </c>
      <c r="I673" s="7">
        <v>10</v>
      </c>
      <c r="J673" s="7" t="s">
        <v>540</v>
      </c>
      <c r="K673" s="7" t="s">
        <v>15</v>
      </c>
    </row>
    <row r="674" customHeight="1" spans="3:11">
      <c r="C674" s="7">
        <v>2152</v>
      </c>
      <c r="D674" s="7" t="s">
        <v>698</v>
      </c>
      <c r="E674" s="7">
        <v>2</v>
      </c>
      <c r="F674" s="7">
        <f t="shared" si="15"/>
        <v>1824</v>
      </c>
      <c r="G674" s="7">
        <v>1</v>
      </c>
      <c r="H674" s="7">
        <v>15</v>
      </c>
      <c r="I674" s="7">
        <v>10</v>
      </c>
      <c r="J674" s="7" t="s">
        <v>540</v>
      </c>
      <c r="K674" s="7" t="s">
        <v>19</v>
      </c>
    </row>
    <row r="675" customHeight="1" spans="3:11">
      <c r="C675" s="7">
        <v>2153</v>
      </c>
      <c r="D675" s="7" t="s">
        <v>699</v>
      </c>
      <c r="E675" s="7">
        <v>2</v>
      </c>
      <c r="F675" s="7">
        <f t="shared" si="15"/>
        <v>1836</v>
      </c>
      <c r="G675" s="7">
        <v>1</v>
      </c>
      <c r="H675" s="7">
        <v>16</v>
      </c>
      <c r="I675" s="7">
        <v>10</v>
      </c>
      <c r="J675" s="7" t="s">
        <v>540</v>
      </c>
      <c r="K675" s="7" t="s">
        <v>21</v>
      </c>
    </row>
    <row r="676" customHeight="1" spans="3:11">
      <c r="C676" s="7">
        <v>2154</v>
      </c>
      <c r="D676" s="7" t="s">
        <v>700</v>
      </c>
      <c r="E676" s="7">
        <v>2</v>
      </c>
      <c r="F676" s="7">
        <f t="shared" si="15"/>
        <v>1848</v>
      </c>
      <c r="G676" s="7">
        <v>1</v>
      </c>
      <c r="H676" s="7">
        <v>18</v>
      </c>
      <c r="I676" s="7">
        <v>5</v>
      </c>
      <c r="J676" s="7" t="s">
        <v>540</v>
      </c>
      <c r="K676" s="7" t="s">
        <v>544</v>
      </c>
    </row>
    <row r="677" customHeight="1" spans="3:11">
      <c r="C677" s="7">
        <v>2155</v>
      </c>
      <c r="D677" s="7" t="s">
        <v>701</v>
      </c>
      <c r="E677" s="7">
        <v>2</v>
      </c>
      <c r="F677" s="7">
        <f t="shared" si="15"/>
        <v>1860</v>
      </c>
      <c r="G677" s="7">
        <v>1</v>
      </c>
      <c r="H677" s="7">
        <v>19</v>
      </c>
      <c r="I677" s="7">
        <v>5</v>
      </c>
      <c r="J677" s="7" t="s">
        <v>540</v>
      </c>
      <c r="K677" s="7" t="s">
        <v>546</v>
      </c>
    </row>
    <row r="678" customHeight="1" spans="3:11">
      <c r="C678" s="7">
        <v>2156</v>
      </c>
      <c r="D678" s="7" t="s">
        <v>702</v>
      </c>
      <c r="E678" s="7">
        <v>2</v>
      </c>
      <c r="F678" s="7">
        <f t="shared" si="15"/>
        <v>1872</v>
      </c>
      <c r="G678" s="7">
        <v>1</v>
      </c>
      <c r="H678" s="7">
        <v>20</v>
      </c>
      <c r="I678" s="7">
        <v>5</v>
      </c>
      <c r="J678" s="7" t="s">
        <v>540</v>
      </c>
      <c r="K678" s="7" t="s">
        <v>548</v>
      </c>
    </row>
    <row r="679" customHeight="1" spans="3:11">
      <c r="C679" s="7">
        <v>2157</v>
      </c>
      <c r="D679" s="7" t="s">
        <v>703</v>
      </c>
      <c r="E679" s="7">
        <v>2</v>
      </c>
      <c r="F679" s="7">
        <f t="shared" si="15"/>
        <v>1884</v>
      </c>
      <c r="G679" s="7">
        <v>1</v>
      </c>
      <c r="H679" s="7">
        <v>24</v>
      </c>
      <c r="I679" s="7">
        <v>5</v>
      </c>
      <c r="J679" s="7" t="s">
        <v>540</v>
      </c>
      <c r="K679" s="7" t="s">
        <v>550</v>
      </c>
    </row>
    <row r="680" customHeight="1" spans="3:11">
      <c r="C680" s="7">
        <v>2158</v>
      </c>
      <c r="D680" s="7" t="s">
        <v>704</v>
      </c>
      <c r="E680" s="7">
        <v>2</v>
      </c>
      <c r="F680" s="7">
        <f t="shared" si="15"/>
        <v>1896</v>
      </c>
      <c r="G680" s="7">
        <v>1</v>
      </c>
      <c r="H680" s="7">
        <v>26</v>
      </c>
      <c r="I680" s="7">
        <v>10</v>
      </c>
      <c r="J680" s="7" t="s">
        <v>540</v>
      </c>
      <c r="K680" s="7" t="s">
        <v>552</v>
      </c>
    </row>
    <row r="681" customHeight="1" spans="3:11">
      <c r="C681" s="7">
        <v>2159</v>
      </c>
      <c r="D681" s="7" t="s">
        <v>705</v>
      </c>
      <c r="E681" s="7">
        <v>2</v>
      </c>
      <c r="F681" s="7">
        <f t="shared" si="15"/>
        <v>1908</v>
      </c>
      <c r="G681" s="7">
        <v>1</v>
      </c>
      <c r="H681" s="7">
        <v>27</v>
      </c>
      <c r="I681" s="7">
        <v>10</v>
      </c>
      <c r="J681" s="7" t="s">
        <v>540</v>
      </c>
      <c r="K681" s="7" t="s">
        <v>554</v>
      </c>
    </row>
    <row r="682" customHeight="1" spans="3:11">
      <c r="C682" s="7">
        <v>2160</v>
      </c>
      <c r="D682" s="7" t="s">
        <v>706</v>
      </c>
      <c r="E682" s="4">
        <v>2</v>
      </c>
      <c r="F682" s="4">
        <f t="shared" si="15"/>
        <v>1920</v>
      </c>
      <c r="G682" s="4">
        <v>1</v>
      </c>
      <c r="H682" s="4">
        <v>28</v>
      </c>
      <c r="I682" s="4">
        <v>10</v>
      </c>
      <c r="J682" s="4" t="s">
        <v>540</v>
      </c>
      <c r="K682" s="4" t="s">
        <v>556</v>
      </c>
    </row>
    <row r="683" customHeight="1" spans="3:11">
      <c r="C683" s="7">
        <v>2161</v>
      </c>
      <c r="D683" s="7" t="s">
        <v>707</v>
      </c>
      <c r="E683" s="7">
        <v>2</v>
      </c>
      <c r="F683" s="7">
        <f t="shared" si="15"/>
        <v>1932</v>
      </c>
      <c r="G683" s="7">
        <v>1</v>
      </c>
      <c r="H683" s="7">
        <v>14</v>
      </c>
      <c r="I683" s="7">
        <v>10</v>
      </c>
      <c r="J683" s="7" t="s">
        <v>540</v>
      </c>
      <c r="K683" s="7" t="s">
        <v>15</v>
      </c>
    </row>
    <row r="684" customHeight="1" spans="3:11">
      <c r="C684" s="7">
        <v>2162</v>
      </c>
      <c r="D684" s="7" t="s">
        <v>708</v>
      </c>
      <c r="E684" s="7">
        <v>2</v>
      </c>
      <c r="F684" s="7">
        <f t="shared" si="15"/>
        <v>1944</v>
      </c>
      <c r="G684" s="7">
        <v>1</v>
      </c>
      <c r="H684" s="7">
        <v>15</v>
      </c>
      <c r="I684" s="7">
        <v>10</v>
      </c>
      <c r="J684" s="7" t="s">
        <v>540</v>
      </c>
      <c r="K684" s="7" t="s">
        <v>19</v>
      </c>
    </row>
    <row r="685" customHeight="1" spans="3:11">
      <c r="C685" s="7">
        <v>2163</v>
      </c>
      <c r="D685" s="7" t="s">
        <v>709</v>
      </c>
      <c r="E685" s="7">
        <v>2</v>
      </c>
      <c r="F685" s="7">
        <f t="shared" si="15"/>
        <v>1956</v>
      </c>
      <c r="G685" s="7">
        <v>1</v>
      </c>
      <c r="H685" s="7">
        <v>16</v>
      </c>
      <c r="I685" s="7">
        <v>10</v>
      </c>
      <c r="J685" s="7" t="s">
        <v>540</v>
      </c>
      <c r="K685" s="7" t="s">
        <v>21</v>
      </c>
    </row>
    <row r="686" customHeight="1" spans="3:11">
      <c r="C686" s="7">
        <v>2164</v>
      </c>
      <c r="D686" s="7" t="s">
        <v>710</v>
      </c>
      <c r="E686" s="7">
        <v>2</v>
      </c>
      <c r="F686" s="7">
        <f t="shared" si="15"/>
        <v>1968</v>
      </c>
      <c r="G686" s="7">
        <v>1</v>
      </c>
      <c r="H686" s="7">
        <v>18</v>
      </c>
      <c r="I686" s="7">
        <v>5</v>
      </c>
      <c r="J686" s="7" t="s">
        <v>540</v>
      </c>
      <c r="K686" s="7" t="s">
        <v>544</v>
      </c>
    </row>
    <row r="687" customHeight="1" spans="3:11">
      <c r="C687" s="7">
        <v>2165</v>
      </c>
      <c r="D687" s="7" t="s">
        <v>711</v>
      </c>
      <c r="E687" s="7">
        <v>2</v>
      </c>
      <c r="F687" s="7">
        <f t="shared" si="15"/>
        <v>1980</v>
      </c>
      <c r="G687" s="7">
        <v>1</v>
      </c>
      <c r="H687" s="7">
        <v>19</v>
      </c>
      <c r="I687" s="7">
        <v>5</v>
      </c>
      <c r="J687" s="7" t="s">
        <v>540</v>
      </c>
      <c r="K687" s="7" t="s">
        <v>546</v>
      </c>
    </row>
    <row r="688" customHeight="1" spans="3:11">
      <c r="C688" s="7">
        <v>2166</v>
      </c>
      <c r="D688" s="7" t="s">
        <v>712</v>
      </c>
      <c r="E688" s="7">
        <v>2</v>
      </c>
      <c r="F688" s="7">
        <f t="shared" si="15"/>
        <v>1992</v>
      </c>
      <c r="G688" s="7">
        <v>1</v>
      </c>
      <c r="H688" s="7">
        <v>20</v>
      </c>
      <c r="I688" s="7">
        <v>5</v>
      </c>
      <c r="J688" s="7" t="s">
        <v>540</v>
      </c>
      <c r="K688" s="7" t="s">
        <v>548</v>
      </c>
    </row>
    <row r="689" customHeight="1" spans="3:11">
      <c r="C689" s="7">
        <v>2167</v>
      </c>
      <c r="D689" s="7" t="s">
        <v>713</v>
      </c>
      <c r="E689" s="7">
        <v>2</v>
      </c>
      <c r="F689" s="7">
        <f t="shared" si="15"/>
        <v>2004</v>
      </c>
      <c r="G689" s="7">
        <v>1</v>
      </c>
      <c r="H689" s="7">
        <v>24</v>
      </c>
      <c r="I689" s="7">
        <v>5</v>
      </c>
      <c r="J689" s="7" t="s">
        <v>540</v>
      </c>
      <c r="K689" s="7" t="s">
        <v>550</v>
      </c>
    </row>
    <row r="690" customHeight="1" spans="3:11">
      <c r="C690" s="7">
        <v>2168</v>
      </c>
      <c r="D690" s="7" t="s">
        <v>714</v>
      </c>
      <c r="E690" s="7">
        <v>2</v>
      </c>
      <c r="F690" s="7">
        <f t="shared" si="15"/>
        <v>2016</v>
      </c>
      <c r="G690" s="7">
        <v>1</v>
      </c>
      <c r="H690" s="7">
        <v>26</v>
      </c>
      <c r="I690" s="7">
        <v>10</v>
      </c>
      <c r="J690" s="7" t="s">
        <v>540</v>
      </c>
      <c r="K690" s="7" t="s">
        <v>552</v>
      </c>
    </row>
    <row r="691" customHeight="1" spans="3:11">
      <c r="C691" s="7">
        <v>2169</v>
      </c>
      <c r="D691" s="7" t="s">
        <v>715</v>
      </c>
      <c r="E691" s="7">
        <v>2</v>
      </c>
      <c r="F691" s="7">
        <f t="shared" si="15"/>
        <v>2028</v>
      </c>
      <c r="G691" s="7">
        <v>1</v>
      </c>
      <c r="H691" s="7">
        <v>27</v>
      </c>
      <c r="I691" s="7">
        <v>10</v>
      </c>
      <c r="J691" s="7" t="s">
        <v>540</v>
      </c>
      <c r="K691" s="7" t="s">
        <v>554</v>
      </c>
    </row>
    <row r="692" customHeight="1" spans="3:11">
      <c r="C692" s="7">
        <v>2170</v>
      </c>
      <c r="D692" s="7" t="s">
        <v>716</v>
      </c>
      <c r="E692" s="4">
        <v>2</v>
      </c>
      <c r="F692" s="4">
        <f t="shared" si="15"/>
        <v>2040</v>
      </c>
      <c r="G692" s="4">
        <v>1</v>
      </c>
      <c r="H692" s="4">
        <v>28</v>
      </c>
      <c r="I692" s="4">
        <v>10</v>
      </c>
      <c r="J692" s="4" t="s">
        <v>540</v>
      </c>
      <c r="K692" s="4" t="s">
        <v>556</v>
      </c>
    </row>
    <row r="693" customHeight="1" spans="3:11">
      <c r="C693" s="7">
        <v>2171</v>
      </c>
      <c r="D693" s="7" t="s">
        <v>717</v>
      </c>
      <c r="E693" s="7">
        <v>2</v>
      </c>
      <c r="F693" s="7">
        <f t="shared" si="15"/>
        <v>2052</v>
      </c>
      <c r="G693" s="7">
        <v>1</v>
      </c>
      <c r="H693" s="7">
        <v>14</v>
      </c>
      <c r="I693" s="7">
        <v>10</v>
      </c>
      <c r="J693" s="7" t="s">
        <v>540</v>
      </c>
      <c r="K693" s="7" t="s">
        <v>15</v>
      </c>
    </row>
    <row r="694" customHeight="1" spans="3:11">
      <c r="C694" s="7">
        <v>2172</v>
      </c>
      <c r="D694" s="7" t="s">
        <v>718</v>
      </c>
      <c r="E694" s="7">
        <v>2</v>
      </c>
      <c r="F694" s="7">
        <f t="shared" si="15"/>
        <v>2064</v>
      </c>
      <c r="G694" s="7">
        <v>1</v>
      </c>
      <c r="H694" s="7">
        <v>15</v>
      </c>
      <c r="I694" s="7">
        <v>10</v>
      </c>
      <c r="J694" s="7" t="s">
        <v>540</v>
      </c>
      <c r="K694" s="7" t="s">
        <v>19</v>
      </c>
    </row>
    <row r="695" customHeight="1" spans="3:11">
      <c r="C695" s="7">
        <v>2173</v>
      </c>
      <c r="D695" s="7" t="s">
        <v>719</v>
      </c>
      <c r="E695" s="7">
        <v>2</v>
      </c>
      <c r="F695" s="7">
        <f t="shared" si="15"/>
        <v>2076</v>
      </c>
      <c r="G695" s="7">
        <v>1</v>
      </c>
      <c r="H695" s="7">
        <v>16</v>
      </c>
      <c r="I695" s="7">
        <v>10</v>
      </c>
      <c r="J695" s="7" t="s">
        <v>540</v>
      </c>
      <c r="K695" s="7" t="s">
        <v>21</v>
      </c>
    </row>
    <row r="696" customHeight="1" spans="3:11">
      <c r="C696" s="7">
        <v>2174</v>
      </c>
      <c r="D696" s="7" t="s">
        <v>720</v>
      </c>
      <c r="E696" s="7">
        <v>2</v>
      </c>
      <c r="F696" s="7">
        <f t="shared" si="15"/>
        <v>2088</v>
      </c>
      <c r="G696" s="7">
        <v>1</v>
      </c>
      <c r="H696" s="7">
        <v>18</v>
      </c>
      <c r="I696" s="7">
        <v>5</v>
      </c>
      <c r="J696" s="7" t="s">
        <v>540</v>
      </c>
      <c r="K696" s="7" t="s">
        <v>544</v>
      </c>
    </row>
    <row r="697" customHeight="1" spans="3:11">
      <c r="C697" s="7">
        <v>2175</v>
      </c>
      <c r="D697" s="7" t="s">
        <v>721</v>
      </c>
      <c r="E697" s="7">
        <v>2</v>
      </c>
      <c r="F697" s="7">
        <f t="shared" si="15"/>
        <v>2100</v>
      </c>
      <c r="G697" s="7">
        <v>1</v>
      </c>
      <c r="H697" s="7">
        <v>19</v>
      </c>
      <c r="I697" s="7">
        <v>5</v>
      </c>
      <c r="J697" s="7" t="s">
        <v>540</v>
      </c>
      <c r="K697" s="7" t="s">
        <v>546</v>
      </c>
    </row>
    <row r="698" customHeight="1" spans="3:11">
      <c r="C698" s="7">
        <v>2176</v>
      </c>
      <c r="D698" s="7" t="s">
        <v>722</v>
      </c>
      <c r="E698" s="7">
        <v>2</v>
      </c>
      <c r="F698" s="7">
        <f t="shared" si="15"/>
        <v>2112</v>
      </c>
      <c r="G698" s="7">
        <v>1</v>
      </c>
      <c r="H698" s="7">
        <v>20</v>
      </c>
      <c r="I698" s="7">
        <v>5</v>
      </c>
      <c r="J698" s="7" t="s">
        <v>540</v>
      </c>
      <c r="K698" s="7" t="s">
        <v>548</v>
      </c>
    </row>
    <row r="699" customHeight="1" spans="3:11">
      <c r="C699" s="7">
        <v>2177</v>
      </c>
      <c r="D699" s="7" t="s">
        <v>723</v>
      </c>
      <c r="E699" s="7">
        <v>2</v>
      </c>
      <c r="F699" s="7">
        <f t="shared" si="15"/>
        <v>2124</v>
      </c>
      <c r="G699" s="7">
        <v>1</v>
      </c>
      <c r="H699" s="7">
        <v>24</v>
      </c>
      <c r="I699" s="7">
        <v>5</v>
      </c>
      <c r="J699" s="7" t="s">
        <v>540</v>
      </c>
      <c r="K699" s="7" t="s">
        <v>550</v>
      </c>
    </row>
    <row r="700" customHeight="1" spans="3:11">
      <c r="C700" s="7">
        <v>2178</v>
      </c>
      <c r="D700" s="7" t="s">
        <v>724</v>
      </c>
      <c r="E700" s="7">
        <v>2</v>
      </c>
      <c r="F700" s="7">
        <f t="shared" si="15"/>
        <v>2136</v>
      </c>
      <c r="G700" s="7">
        <v>1</v>
      </c>
      <c r="H700" s="7">
        <v>26</v>
      </c>
      <c r="I700" s="7">
        <v>10</v>
      </c>
      <c r="J700" s="7" t="s">
        <v>540</v>
      </c>
      <c r="K700" s="7" t="s">
        <v>552</v>
      </c>
    </row>
    <row r="701" customHeight="1" spans="3:11">
      <c r="C701" s="7">
        <v>2179</v>
      </c>
      <c r="D701" s="7" t="s">
        <v>725</v>
      </c>
      <c r="E701" s="7">
        <v>2</v>
      </c>
      <c r="F701" s="7">
        <f t="shared" si="15"/>
        <v>2148</v>
      </c>
      <c r="G701" s="7">
        <v>1</v>
      </c>
      <c r="H701" s="7">
        <v>27</v>
      </c>
      <c r="I701" s="7">
        <v>10</v>
      </c>
      <c r="J701" s="7" t="s">
        <v>540</v>
      </c>
      <c r="K701" s="7" t="s">
        <v>554</v>
      </c>
    </row>
    <row r="702" customHeight="1" spans="3:11">
      <c r="C702" s="7">
        <v>2180</v>
      </c>
      <c r="D702" s="7" t="s">
        <v>726</v>
      </c>
      <c r="E702" s="4">
        <v>2</v>
      </c>
      <c r="F702" s="4">
        <f t="shared" si="15"/>
        <v>2160</v>
      </c>
      <c r="G702" s="4">
        <v>1</v>
      </c>
      <c r="H702" s="4">
        <v>28</v>
      </c>
      <c r="I702" s="4">
        <v>10</v>
      </c>
      <c r="J702" s="4" t="s">
        <v>540</v>
      </c>
      <c r="K702" s="4" t="s">
        <v>556</v>
      </c>
    </row>
    <row r="703" customHeight="1" spans="3:11">
      <c r="C703" s="7">
        <v>2181</v>
      </c>
      <c r="D703" s="7" t="s">
        <v>727</v>
      </c>
      <c r="E703" s="7">
        <v>2</v>
      </c>
      <c r="F703" s="7">
        <f t="shared" si="15"/>
        <v>2172</v>
      </c>
      <c r="G703" s="7">
        <v>1</v>
      </c>
      <c r="H703" s="7">
        <v>14</v>
      </c>
      <c r="I703" s="7">
        <v>15</v>
      </c>
      <c r="J703" s="7" t="s">
        <v>540</v>
      </c>
      <c r="K703" s="7" t="s">
        <v>15</v>
      </c>
    </row>
    <row r="704" customHeight="1" spans="3:11">
      <c r="C704" s="7">
        <v>2182</v>
      </c>
      <c r="D704" s="7" t="s">
        <v>728</v>
      </c>
      <c r="E704" s="7">
        <v>2</v>
      </c>
      <c r="F704" s="7">
        <f t="shared" si="15"/>
        <v>2184</v>
      </c>
      <c r="G704" s="7">
        <v>1</v>
      </c>
      <c r="H704" s="7">
        <v>15</v>
      </c>
      <c r="I704" s="7">
        <v>15</v>
      </c>
      <c r="J704" s="7" t="s">
        <v>540</v>
      </c>
      <c r="K704" s="7" t="s">
        <v>19</v>
      </c>
    </row>
    <row r="705" customHeight="1" spans="3:11">
      <c r="C705" s="7">
        <v>2183</v>
      </c>
      <c r="D705" s="7" t="s">
        <v>729</v>
      </c>
      <c r="E705" s="7">
        <v>2</v>
      </c>
      <c r="F705" s="7">
        <f t="shared" si="15"/>
        <v>2196</v>
      </c>
      <c r="G705" s="7">
        <v>1</v>
      </c>
      <c r="H705" s="7">
        <v>16</v>
      </c>
      <c r="I705" s="7">
        <v>15</v>
      </c>
      <c r="J705" s="7" t="s">
        <v>540</v>
      </c>
      <c r="K705" s="7" t="s">
        <v>21</v>
      </c>
    </row>
    <row r="706" customHeight="1" spans="3:11">
      <c r="C706" s="7">
        <v>2184</v>
      </c>
      <c r="D706" s="7" t="s">
        <v>730</v>
      </c>
      <c r="E706" s="7">
        <v>2</v>
      </c>
      <c r="F706" s="7">
        <f t="shared" si="15"/>
        <v>2208</v>
      </c>
      <c r="G706" s="7">
        <v>1</v>
      </c>
      <c r="H706" s="7">
        <v>18</v>
      </c>
      <c r="I706" s="7">
        <v>7</v>
      </c>
      <c r="J706" s="7" t="s">
        <v>540</v>
      </c>
      <c r="K706" s="7" t="s">
        <v>544</v>
      </c>
    </row>
    <row r="707" customHeight="1" spans="3:11">
      <c r="C707" s="7">
        <v>2185</v>
      </c>
      <c r="D707" s="7" t="s">
        <v>731</v>
      </c>
      <c r="E707" s="7">
        <v>2</v>
      </c>
      <c r="F707" s="7">
        <f t="shared" si="15"/>
        <v>2220</v>
      </c>
      <c r="G707" s="7">
        <v>1</v>
      </c>
      <c r="H707" s="7">
        <v>19</v>
      </c>
      <c r="I707" s="7">
        <v>7</v>
      </c>
      <c r="J707" s="7" t="s">
        <v>540</v>
      </c>
      <c r="K707" s="7" t="s">
        <v>546</v>
      </c>
    </row>
    <row r="708" customHeight="1" spans="3:11">
      <c r="C708" s="7">
        <v>2186</v>
      </c>
      <c r="D708" s="7" t="s">
        <v>732</v>
      </c>
      <c r="E708" s="7">
        <v>2</v>
      </c>
      <c r="F708" s="7">
        <f t="shared" si="15"/>
        <v>2232</v>
      </c>
      <c r="G708" s="7">
        <v>1</v>
      </c>
      <c r="H708" s="7">
        <v>20</v>
      </c>
      <c r="I708" s="7">
        <v>7</v>
      </c>
      <c r="J708" s="7" t="s">
        <v>540</v>
      </c>
      <c r="K708" s="7" t="s">
        <v>548</v>
      </c>
    </row>
    <row r="709" customHeight="1" spans="3:11">
      <c r="C709" s="7">
        <v>2187</v>
      </c>
      <c r="D709" s="7" t="s">
        <v>733</v>
      </c>
      <c r="E709" s="7">
        <v>2</v>
      </c>
      <c r="F709" s="7">
        <f t="shared" si="15"/>
        <v>2244</v>
      </c>
      <c r="G709" s="7">
        <v>1</v>
      </c>
      <c r="H709" s="7">
        <v>24</v>
      </c>
      <c r="I709" s="7">
        <v>7</v>
      </c>
      <c r="J709" s="7" t="s">
        <v>540</v>
      </c>
      <c r="K709" s="7" t="s">
        <v>550</v>
      </c>
    </row>
    <row r="710" customHeight="1" spans="3:11">
      <c r="C710" s="7">
        <v>2188</v>
      </c>
      <c r="D710" s="7" t="s">
        <v>734</v>
      </c>
      <c r="E710" s="7">
        <v>2</v>
      </c>
      <c r="F710" s="7">
        <f t="shared" si="15"/>
        <v>2256</v>
      </c>
      <c r="G710" s="7">
        <v>1</v>
      </c>
      <c r="H710" s="7">
        <v>26</v>
      </c>
      <c r="I710" s="7">
        <v>15</v>
      </c>
      <c r="J710" s="7" t="s">
        <v>540</v>
      </c>
      <c r="K710" s="7" t="s">
        <v>552</v>
      </c>
    </row>
    <row r="711" customHeight="1" spans="3:11">
      <c r="C711" s="7">
        <v>2189</v>
      </c>
      <c r="D711" s="7" t="s">
        <v>735</v>
      </c>
      <c r="E711" s="7">
        <v>2</v>
      </c>
      <c r="F711" s="7">
        <f t="shared" si="15"/>
        <v>2268</v>
      </c>
      <c r="G711" s="7">
        <v>1</v>
      </c>
      <c r="H711" s="7">
        <v>27</v>
      </c>
      <c r="I711" s="7">
        <v>15</v>
      </c>
      <c r="J711" s="7" t="s">
        <v>540</v>
      </c>
      <c r="K711" s="7" t="s">
        <v>554</v>
      </c>
    </row>
    <row r="712" customHeight="1" spans="3:11">
      <c r="C712" s="7">
        <v>2190</v>
      </c>
      <c r="D712" s="7" t="s">
        <v>736</v>
      </c>
      <c r="E712" s="4">
        <v>2</v>
      </c>
      <c r="F712" s="4">
        <f t="shared" si="15"/>
        <v>2280</v>
      </c>
      <c r="G712" s="4">
        <v>1</v>
      </c>
      <c r="H712" s="4">
        <v>28</v>
      </c>
      <c r="I712" s="4">
        <v>15</v>
      </c>
      <c r="J712" s="4" t="s">
        <v>540</v>
      </c>
      <c r="K712" s="4" t="s">
        <v>556</v>
      </c>
    </row>
    <row r="713" customHeight="1" spans="3:11">
      <c r="C713" s="7">
        <v>2191</v>
      </c>
      <c r="D713" s="7" t="s">
        <v>737</v>
      </c>
      <c r="E713" s="7">
        <v>2</v>
      </c>
      <c r="F713" s="7">
        <f t="shared" si="15"/>
        <v>2292</v>
      </c>
      <c r="G713" s="7">
        <v>1</v>
      </c>
      <c r="H713" s="7">
        <v>14</v>
      </c>
      <c r="I713" s="7">
        <v>15</v>
      </c>
      <c r="J713" s="7" t="s">
        <v>540</v>
      </c>
      <c r="K713" s="7" t="s">
        <v>15</v>
      </c>
    </row>
    <row r="714" customHeight="1" spans="3:11">
      <c r="C714" s="7">
        <v>2192</v>
      </c>
      <c r="D714" s="7" t="s">
        <v>738</v>
      </c>
      <c r="E714" s="7">
        <v>2</v>
      </c>
      <c r="F714" s="7">
        <f t="shared" si="15"/>
        <v>2304</v>
      </c>
      <c r="G714" s="7">
        <v>1</v>
      </c>
      <c r="H714" s="7">
        <v>15</v>
      </c>
      <c r="I714" s="7">
        <v>15</v>
      </c>
      <c r="J714" s="7" t="s">
        <v>540</v>
      </c>
      <c r="K714" s="7" t="s">
        <v>19</v>
      </c>
    </row>
    <row r="715" customHeight="1" spans="3:11">
      <c r="C715" s="7">
        <v>2193</v>
      </c>
      <c r="D715" s="7" t="s">
        <v>739</v>
      </c>
      <c r="E715" s="7">
        <v>2</v>
      </c>
      <c r="F715" s="7">
        <f t="shared" ref="F715:F741" si="16">(C715-2000)*12</f>
        <v>2316</v>
      </c>
      <c r="G715" s="7">
        <v>1</v>
      </c>
      <c r="H715" s="7">
        <v>16</v>
      </c>
      <c r="I715" s="7">
        <v>15</v>
      </c>
      <c r="J715" s="7" t="s">
        <v>540</v>
      </c>
      <c r="K715" s="7" t="s">
        <v>21</v>
      </c>
    </row>
    <row r="716" customHeight="1" spans="3:11">
      <c r="C716" s="7">
        <v>2194</v>
      </c>
      <c r="D716" s="7" t="s">
        <v>740</v>
      </c>
      <c r="E716" s="7">
        <v>2</v>
      </c>
      <c r="F716" s="7">
        <f t="shared" si="16"/>
        <v>2328</v>
      </c>
      <c r="G716" s="7">
        <v>1</v>
      </c>
      <c r="H716" s="7">
        <v>18</v>
      </c>
      <c r="I716" s="7">
        <v>7</v>
      </c>
      <c r="J716" s="7" t="s">
        <v>540</v>
      </c>
      <c r="K716" s="7" t="s">
        <v>544</v>
      </c>
    </row>
    <row r="717" customHeight="1" spans="3:11">
      <c r="C717" s="7">
        <v>2195</v>
      </c>
      <c r="D717" s="7" t="s">
        <v>741</v>
      </c>
      <c r="E717" s="7">
        <v>2</v>
      </c>
      <c r="F717" s="7">
        <f t="shared" si="16"/>
        <v>2340</v>
      </c>
      <c r="G717" s="7">
        <v>1</v>
      </c>
      <c r="H717" s="7">
        <v>19</v>
      </c>
      <c r="I717" s="7">
        <v>7</v>
      </c>
      <c r="J717" s="7" t="s">
        <v>540</v>
      </c>
      <c r="K717" s="7" t="s">
        <v>546</v>
      </c>
    </row>
    <row r="718" customHeight="1" spans="3:11">
      <c r="C718" s="7">
        <v>2196</v>
      </c>
      <c r="D718" s="7" t="s">
        <v>742</v>
      </c>
      <c r="E718" s="7">
        <v>2</v>
      </c>
      <c r="F718" s="7">
        <f t="shared" si="16"/>
        <v>2352</v>
      </c>
      <c r="G718" s="7">
        <v>1</v>
      </c>
      <c r="H718" s="7">
        <v>20</v>
      </c>
      <c r="I718" s="7">
        <v>7</v>
      </c>
      <c r="J718" s="7" t="s">
        <v>540</v>
      </c>
      <c r="K718" s="7" t="s">
        <v>548</v>
      </c>
    </row>
    <row r="719" customHeight="1" spans="3:11">
      <c r="C719" s="7">
        <v>2197</v>
      </c>
      <c r="D719" s="7" t="s">
        <v>743</v>
      </c>
      <c r="E719" s="7">
        <v>2</v>
      </c>
      <c r="F719" s="7">
        <f t="shared" si="16"/>
        <v>2364</v>
      </c>
      <c r="G719" s="7">
        <v>1</v>
      </c>
      <c r="H719" s="7">
        <v>24</v>
      </c>
      <c r="I719" s="7">
        <v>7</v>
      </c>
      <c r="J719" s="7" t="s">
        <v>540</v>
      </c>
      <c r="K719" s="7" t="s">
        <v>550</v>
      </c>
    </row>
    <row r="720" customHeight="1" spans="3:11">
      <c r="C720" s="7">
        <v>2198</v>
      </c>
      <c r="D720" s="7" t="s">
        <v>744</v>
      </c>
      <c r="E720" s="7">
        <v>2</v>
      </c>
      <c r="F720" s="7">
        <f t="shared" si="16"/>
        <v>2376</v>
      </c>
      <c r="G720" s="7">
        <v>1</v>
      </c>
      <c r="H720" s="7">
        <v>26</v>
      </c>
      <c r="I720" s="7">
        <v>15</v>
      </c>
      <c r="J720" s="7" t="s">
        <v>540</v>
      </c>
      <c r="K720" s="7" t="s">
        <v>552</v>
      </c>
    </row>
    <row r="721" customHeight="1" spans="3:11">
      <c r="C721" s="7">
        <v>2199</v>
      </c>
      <c r="D721" s="7" t="s">
        <v>745</v>
      </c>
      <c r="E721" s="7">
        <v>2</v>
      </c>
      <c r="F721" s="7">
        <f t="shared" si="16"/>
        <v>2388</v>
      </c>
      <c r="G721" s="7">
        <v>1</v>
      </c>
      <c r="H721" s="7">
        <v>27</v>
      </c>
      <c r="I721" s="7">
        <v>15</v>
      </c>
      <c r="J721" s="7" t="s">
        <v>540</v>
      </c>
      <c r="K721" s="7" t="s">
        <v>554</v>
      </c>
    </row>
    <row r="722" customHeight="1" spans="3:11">
      <c r="C722" s="7">
        <v>2200</v>
      </c>
      <c r="D722" s="7" t="s">
        <v>746</v>
      </c>
      <c r="E722" s="4">
        <v>2</v>
      </c>
      <c r="F722" s="4">
        <f t="shared" si="16"/>
        <v>2400</v>
      </c>
      <c r="G722" s="4">
        <v>1</v>
      </c>
      <c r="H722" s="4">
        <v>28</v>
      </c>
      <c r="I722" s="4">
        <v>15</v>
      </c>
      <c r="J722" s="4" t="s">
        <v>540</v>
      </c>
      <c r="K722" s="4" t="s">
        <v>556</v>
      </c>
    </row>
    <row r="723" customHeight="1" spans="3:11">
      <c r="C723" s="7">
        <v>2201</v>
      </c>
      <c r="D723" s="7" t="s">
        <v>747</v>
      </c>
      <c r="E723" s="7">
        <v>2</v>
      </c>
      <c r="F723" s="7">
        <f t="shared" si="16"/>
        <v>2412</v>
      </c>
      <c r="G723" s="7">
        <v>1</v>
      </c>
      <c r="H723" s="7">
        <v>14</v>
      </c>
      <c r="I723" s="7">
        <v>15</v>
      </c>
      <c r="J723" s="7" t="s">
        <v>540</v>
      </c>
      <c r="K723" s="7" t="s">
        <v>15</v>
      </c>
    </row>
    <row r="724" customHeight="1" spans="3:11">
      <c r="C724" s="7">
        <v>2202</v>
      </c>
      <c r="D724" s="7" t="s">
        <v>748</v>
      </c>
      <c r="E724" s="7">
        <v>2</v>
      </c>
      <c r="F724" s="7">
        <f t="shared" si="16"/>
        <v>2424</v>
      </c>
      <c r="G724" s="7">
        <v>1</v>
      </c>
      <c r="H724" s="7">
        <v>15</v>
      </c>
      <c r="I724" s="7">
        <v>15</v>
      </c>
      <c r="J724" s="7" t="s">
        <v>540</v>
      </c>
      <c r="K724" s="7" t="s">
        <v>19</v>
      </c>
    </row>
    <row r="725" customHeight="1" spans="3:11">
      <c r="C725" s="7">
        <v>2203</v>
      </c>
      <c r="D725" s="7" t="s">
        <v>749</v>
      </c>
      <c r="E725" s="7">
        <v>2</v>
      </c>
      <c r="F725" s="7">
        <f t="shared" si="16"/>
        <v>2436</v>
      </c>
      <c r="G725" s="7">
        <v>1</v>
      </c>
      <c r="H725" s="7">
        <v>16</v>
      </c>
      <c r="I725" s="7">
        <v>15</v>
      </c>
      <c r="J725" s="7" t="s">
        <v>540</v>
      </c>
      <c r="K725" s="7" t="s">
        <v>21</v>
      </c>
    </row>
    <row r="726" customHeight="1" spans="3:11">
      <c r="C726" s="7">
        <v>2204</v>
      </c>
      <c r="D726" s="7" t="s">
        <v>750</v>
      </c>
      <c r="E726" s="7">
        <v>2</v>
      </c>
      <c r="F726" s="7">
        <f t="shared" si="16"/>
        <v>2448</v>
      </c>
      <c r="G726" s="7">
        <v>1</v>
      </c>
      <c r="H726" s="7">
        <v>18</v>
      </c>
      <c r="I726" s="7">
        <v>7</v>
      </c>
      <c r="J726" s="7" t="s">
        <v>540</v>
      </c>
      <c r="K726" s="7" t="s">
        <v>544</v>
      </c>
    </row>
    <row r="727" customHeight="1" spans="3:11">
      <c r="C727" s="7">
        <v>2205</v>
      </c>
      <c r="D727" s="7" t="s">
        <v>751</v>
      </c>
      <c r="E727" s="7">
        <v>2</v>
      </c>
      <c r="F727" s="7">
        <f t="shared" si="16"/>
        <v>2460</v>
      </c>
      <c r="G727" s="7">
        <v>1</v>
      </c>
      <c r="H727" s="7">
        <v>20</v>
      </c>
      <c r="I727" s="7">
        <v>7</v>
      </c>
      <c r="J727" s="7" t="s">
        <v>540</v>
      </c>
      <c r="K727" s="7" t="s">
        <v>548</v>
      </c>
    </row>
    <row r="728" customHeight="1" spans="3:11">
      <c r="C728" s="7">
        <v>2206</v>
      </c>
      <c r="D728" s="7" t="s">
        <v>752</v>
      </c>
      <c r="E728" s="7">
        <v>2</v>
      </c>
      <c r="F728" s="7">
        <f t="shared" si="16"/>
        <v>2472</v>
      </c>
      <c r="G728" s="7">
        <v>1</v>
      </c>
      <c r="H728" s="7">
        <v>24</v>
      </c>
      <c r="I728" s="7">
        <v>7</v>
      </c>
      <c r="J728" s="7" t="s">
        <v>540</v>
      </c>
      <c r="K728" s="7" t="s">
        <v>550</v>
      </c>
    </row>
    <row r="729" customHeight="1" spans="3:11">
      <c r="C729" s="7">
        <v>2207</v>
      </c>
      <c r="D729" s="7" t="s">
        <v>753</v>
      </c>
      <c r="E729" s="7">
        <v>2</v>
      </c>
      <c r="F729" s="7">
        <f t="shared" si="16"/>
        <v>2484</v>
      </c>
      <c r="G729" s="7">
        <v>1</v>
      </c>
      <c r="H729" s="7">
        <v>26</v>
      </c>
      <c r="I729" s="7">
        <v>15</v>
      </c>
      <c r="J729" s="7" t="s">
        <v>540</v>
      </c>
      <c r="K729" s="7" t="s">
        <v>552</v>
      </c>
    </row>
    <row r="730" customHeight="1" spans="3:11">
      <c r="C730" s="7">
        <v>2208</v>
      </c>
      <c r="D730" s="7" t="s">
        <v>754</v>
      </c>
      <c r="E730" s="7">
        <v>2</v>
      </c>
      <c r="F730" s="7">
        <f t="shared" si="16"/>
        <v>2496</v>
      </c>
      <c r="G730" s="7">
        <v>1</v>
      </c>
      <c r="H730" s="7">
        <v>27</v>
      </c>
      <c r="I730" s="7">
        <v>15</v>
      </c>
      <c r="J730" s="7" t="s">
        <v>540</v>
      </c>
      <c r="K730" s="7" t="s">
        <v>554</v>
      </c>
    </row>
    <row r="731" customHeight="1" spans="3:11">
      <c r="C731" s="7">
        <v>2209</v>
      </c>
      <c r="D731" s="7" t="s">
        <v>755</v>
      </c>
      <c r="E731" s="7">
        <v>2</v>
      </c>
      <c r="F731" s="7">
        <f t="shared" si="16"/>
        <v>2508</v>
      </c>
      <c r="G731" s="7">
        <v>1</v>
      </c>
      <c r="H731" s="7">
        <v>28</v>
      </c>
      <c r="I731" s="7">
        <v>15</v>
      </c>
      <c r="J731" s="7" t="s">
        <v>540</v>
      </c>
      <c r="K731" s="7" t="s">
        <v>556</v>
      </c>
    </row>
    <row r="732" customHeight="1" spans="3:11">
      <c r="C732" s="7">
        <v>2210</v>
      </c>
      <c r="D732" s="7" t="s">
        <v>756</v>
      </c>
      <c r="E732" s="7">
        <v>2</v>
      </c>
      <c r="F732" s="7">
        <f t="shared" si="16"/>
        <v>2520</v>
      </c>
      <c r="G732" s="7">
        <v>1</v>
      </c>
      <c r="H732" s="7">
        <v>33</v>
      </c>
      <c r="I732" s="7">
        <v>5</v>
      </c>
      <c r="J732" s="7" t="s">
        <v>540</v>
      </c>
      <c r="K732" s="7" t="s">
        <v>236</v>
      </c>
    </row>
    <row r="733" customHeight="1" spans="3:11">
      <c r="C733" s="7">
        <v>2211</v>
      </c>
      <c r="D733" s="7" t="s">
        <v>757</v>
      </c>
      <c r="E733" s="7">
        <v>2</v>
      </c>
      <c r="F733" s="7">
        <f t="shared" si="16"/>
        <v>2532</v>
      </c>
      <c r="G733" s="7">
        <v>1</v>
      </c>
      <c r="H733" s="7">
        <v>34</v>
      </c>
      <c r="I733" s="7">
        <v>5</v>
      </c>
      <c r="J733" s="7" t="s">
        <v>540</v>
      </c>
      <c r="K733" s="7" t="s">
        <v>238</v>
      </c>
    </row>
    <row r="734" customHeight="1" spans="3:11">
      <c r="C734" s="7">
        <v>2212</v>
      </c>
      <c r="D734" s="7" t="s">
        <v>758</v>
      </c>
      <c r="E734" s="7">
        <v>2</v>
      </c>
      <c r="F734" s="7">
        <f t="shared" si="16"/>
        <v>2544</v>
      </c>
      <c r="G734" s="7">
        <v>1</v>
      </c>
      <c r="H734" s="7">
        <v>35</v>
      </c>
      <c r="I734" s="7">
        <v>5</v>
      </c>
      <c r="J734" s="7" t="s">
        <v>540</v>
      </c>
      <c r="K734" s="7" t="s">
        <v>240</v>
      </c>
    </row>
    <row r="735" customHeight="1" spans="3:11">
      <c r="C735" s="7">
        <v>2213</v>
      </c>
      <c r="D735" s="7" t="s">
        <v>759</v>
      </c>
      <c r="E735" s="7">
        <v>2</v>
      </c>
      <c r="F735" s="7">
        <f t="shared" si="16"/>
        <v>2556</v>
      </c>
      <c r="G735" s="7">
        <v>1</v>
      </c>
      <c r="H735" s="7">
        <v>12</v>
      </c>
      <c r="I735" s="7">
        <v>2</v>
      </c>
      <c r="J735" s="7" t="s">
        <v>540</v>
      </c>
      <c r="K735" s="7" t="s">
        <v>760</v>
      </c>
    </row>
    <row r="736" customHeight="1" spans="3:11">
      <c r="C736" s="7">
        <v>2214</v>
      </c>
      <c r="D736" s="7" t="s">
        <v>761</v>
      </c>
      <c r="E736" s="7">
        <v>2</v>
      </c>
      <c r="F736" s="7">
        <f t="shared" si="16"/>
        <v>2568</v>
      </c>
      <c r="G736" s="7">
        <v>1</v>
      </c>
      <c r="H736" s="7">
        <v>12</v>
      </c>
      <c r="I736" s="7">
        <v>2</v>
      </c>
      <c r="J736" s="7" t="s">
        <v>540</v>
      </c>
      <c r="K736" s="7" t="s">
        <v>762</v>
      </c>
    </row>
    <row r="737" customHeight="1" spans="3:11">
      <c r="C737" s="7">
        <v>2215</v>
      </c>
      <c r="D737" s="7" t="s">
        <v>763</v>
      </c>
      <c r="E737" s="4">
        <v>2</v>
      </c>
      <c r="F737" s="4">
        <f t="shared" si="16"/>
        <v>2580</v>
      </c>
      <c r="G737" s="4">
        <v>1</v>
      </c>
      <c r="H737" s="4">
        <v>9</v>
      </c>
      <c r="I737" s="4">
        <v>2</v>
      </c>
      <c r="J737" s="4" t="s">
        <v>540</v>
      </c>
      <c r="K737" s="4" t="s">
        <v>764</v>
      </c>
    </row>
    <row r="738" customHeight="1" spans="3:11">
      <c r="C738" s="7">
        <v>2216</v>
      </c>
      <c r="D738" s="7" t="s">
        <v>765</v>
      </c>
      <c r="E738" s="7">
        <v>2</v>
      </c>
      <c r="F738" s="7">
        <f t="shared" si="16"/>
        <v>2592</v>
      </c>
      <c r="G738" s="7">
        <v>1</v>
      </c>
      <c r="H738" s="7">
        <v>14</v>
      </c>
      <c r="I738" s="7">
        <v>15</v>
      </c>
      <c r="J738" s="7" t="s">
        <v>540</v>
      </c>
      <c r="K738" s="7" t="s">
        <v>15</v>
      </c>
    </row>
    <row r="739" customHeight="1" spans="3:11">
      <c r="C739" s="7">
        <v>2217</v>
      </c>
      <c r="D739" s="7" t="s">
        <v>766</v>
      </c>
      <c r="E739" s="7">
        <v>2</v>
      </c>
      <c r="F739" s="7">
        <f t="shared" si="16"/>
        <v>2604</v>
      </c>
      <c r="G739" s="7">
        <v>1</v>
      </c>
      <c r="H739" s="7">
        <v>15</v>
      </c>
      <c r="I739" s="7">
        <v>15</v>
      </c>
      <c r="J739" s="7" t="s">
        <v>540</v>
      </c>
      <c r="K739" s="7" t="s">
        <v>19</v>
      </c>
    </row>
    <row r="740" customHeight="1" spans="3:11">
      <c r="C740" s="7">
        <v>2218</v>
      </c>
      <c r="D740" s="7" t="s">
        <v>767</v>
      </c>
      <c r="E740" s="7">
        <v>2</v>
      </c>
      <c r="F740" s="7">
        <f t="shared" si="16"/>
        <v>2616</v>
      </c>
      <c r="G740" s="7">
        <v>1</v>
      </c>
      <c r="H740" s="7">
        <v>16</v>
      </c>
      <c r="I740" s="7">
        <v>15</v>
      </c>
      <c r="J740" s="7" t="s">
        <v>540</v>
      </c>
      <c r="K740" s="7" t="s">
        <v>21</v>
      </c>
    </row>
    <row r="741" customHeight="1" spans="3:11">
      <c r="C741" s="7">
        <v>2219</v>
      </c>
      <c r="D741" s="7" t="s">
        <v>768</v>
      </c>
      <c r="E741" s="7">
        <v>2</v>
      </c>
      <c r="F741" s="7">
        <f t="shared" si="16"/>
        <v>2628</v>
      </c>
      <c r="G741" s="7">
        <v>1</v>
      </c>
      <c r="H741" s="7">
        <v>18</v>
      </c>
      <c r="I741" s="7">
        <v>7</v>
      </c>
      <c r="J741" s="7" t="s">
        <v>540</v>
      </c>
      <c r="K741" s="7" t="s">
        <v>544</v>
      </c>
    </row>
    <row r="742" customHeight="1" spans="3:11">
      <c r="C742" s="7">
        <v>2220</v>
      </c>
      <c r="D742" s="7" t="s">
        <v>769</v>
      </c>
      <c r="E742" s="7">
        <v>2</v>
      </c>
      <c r="F742" s="7">
        <f t="shared" ref="F742:F805" si="17">(C742-2000)*12</f>
        <v>2640</v>
      </c>
      <c r="G742" s="7">
        <v>1</v>
      </c>
      <c r="H742" s="7">
        <v>20</v>
      </c>
      <c r="I742" s="7">
        <v>7</v>
      </c>
      <c r="J742" s="7" t="s">
        <v>540</v>
      </c>
      <c r="K742" s="7" t="s">
        <v>548</v>
      </c>
    </row>
    <row r="743" customHeight="1" spans="3:11">
      <c r="C743" s="7">
        <v>2221</v>
      </c>
      <c r="D743" s="7" t="s">
        <v>770</v>
      </c>
      <c r="E743" s="7">
        <v>2</v>
      </c>
      <c r="F743" s="7">
        <f t="shared" si="17"/>
        <v>2652</v>
      </c>
      <c r="G743" s="7">
        <v>1</v>
      </c>
      <c r="H743" s="7">
        <v>24</v>
      </c>
      <c r="I743" s="7">
        <v>7</v>
      </c>
      <c r="J743" s="7" t="s">
        <v>540</v>
      </c>
      <c r="K743" s="7" t="s">
        <v>550</v>
      </c>
    </row>
    <row r="744" customHeight="1" spans="3:11">
      <c r="C744" s="7">
        <v>2222</v>
      </c>
      <c r="D744" s="7" t="s">
        <v>771</v>
      </c>
      <c r="E744" s="7">
        <v>2</v>
      </c>
      <c r="F744" s="7">
        <f t="shared" si="17"/>
        <v>2664</v>
      </c>
      <c r="G744" s="7">
        <v>1</v>
      </c>
      <c r="H744" s="7">
        <v>26</v>
      </c>
      <c r="I744" s="7">
        <v>15</v>
      </c>
      <c r="J744" s="7" t="s">
        <v>540</v>
      </c>
      <c r="K744" s="7" t="s">
        <v>552</v>
      </c>
    </row>
    <row r="745" customHeight="1" spans="3:11">
      <c r="C745" s="7">
        <v>2223</v>
      </c>
      <c r="D745" s="7" t="s">
        <v>772</v>
      </c>
      <c r="E745" s="7">
        <v>2</v>
      </c>
      <c r="F745" s="7">
        <f t="shared" si="17"/>
        <v>2676</v>
      </c>
      <c r="G745" s="7">
        <v>1</v>
      </c>
      <c r="H745" s="7">
        <v>27</v>
      </c>
      <c r="I745" s="7">
        <v>15</v>
      </c>
      <c r="J745" s="7" t="s">
        <v>540</v>
      </c>
      <c r="K745" s="7" t="s">
        <v>554</v>
      </c>
    </row>
    <row r="746" customHeight="1" spans="3:11">
      <c r="C746" s="7">
        <v>2224</v>
      </c>
      <c r="D746" s="7" t="s">
        <v>773</v>
      </c>
      <c r="E746" s="7">
        <v>2</v>
      </c>
      <c r="F746" s="7">
        <f t="shared" si="17"/>
        <v>2688</v>
      </c>
      <c r="G746" s="7">
        <v>1</v>
      </c>
      <c r="H746" s="7">
        <v>28</v>
      </c>
      <c r="I746" s="7">
        <v>15</v>
      </c>
      <c r="J746" s="7" t="s">
        <v>540</v>
      </c>
      <c r="K746" s="7" t="s">
        <v>556</v>
      </c>
    </row>
    <row r="747" customHeight="1" spans="3:11">
      <c r="C747" s="7">
        <v>2225</v>
      </c>
      <c r="D747" s="7" t="s">
        <v>774</v>
      </c>
      <c r="E747" s="7">
        <v>2</v>
      </c>
      <c r="F747" s="7">
        <f t="shared" si="17"/>
        <v>2700</v>
      </c>
      <c r="G747" s="7">
        <v>1</v>
      </c>
      <c r="H747" s="7">
        <v>33</v>
      </c>
      <c r="I747" s="7">
        <v>5</v>
      </c>
      <c r="J747" s="7" t="s">
        <v>540</v>
      </c>
      <c r="K747" s="7" t="s">
        <v>236</v>
      </c>
    </row>
    <row r="748" customHeight="1" spans="3:11">
      <c r="C748" s="7">
        <v>2226</v>
      </c>
      <c r="D748" s="7" t="s">
        <v>775</v>
      </c>
      <c r="E748" s="7">
        <v>2</v>
      </c>
      <c r="F748" s="7">
        <f t="shared" si="17"/>
        <v>2712</v>
      </c>
      <c r="G748" s="7">
        <v>1</v>
      </c>
      <c r="H748" s="7">
        <v>34</v>
      </c>
      <c r="I748" s="7">
        <v>5</v>
      </c>
      <c r="J748" s="7" t="s">
        <v>540</v>
      </c>
      <c r="K748" s="7" t="s">
        <v>238</v>
      </c>
    </row>
    <row r="749" customHeight="1" spans="3:11">
      <c r="C749" s="7">
        <v>2227</v>
      </c>
      <c r="D749" s="7" t="s">
        <v>776</v>
      </c>
      <c r="E749" s="7">
        <v>2</v>
      </c>
      <c r="F749" s="7">
        <f t="shared" si="17"/>
        <v>2724</v>
      </c>
      <c r="G749" s="7">
        <v>1</v>
      </c>
      <c r="H749" s="7">
        <v>35</v>
      </c>
      <c r="I749" s="7">
        <v>5</v>
      </c>
      <c r="J749" s="7" t="s">
        <v>540</v>
      </c>
      <c r="K749" s="7" t="s">
        <v>240</v>
      </c>
    </row>
    <row r="750" customHeight="1" spans="3:11">
      <c r="C750" s="7">
        <v>2228</v>
      </c>
      <c r="D750" s="7" t="s">
        <v>777</v>
      </c>
      <c r="E750" s="7">
        <v>2</v>
      </c>
      <c r="F750" s="7">
        <f t="shared" si="17"/>
        <v>2736</v>
      </c>
      <c r="G750" s="7">
        <v>1</v>
      </c>
      <c r="H750" s="7">
        <v>12</v>
      </c>
      <c r="I750" s="7">
        <v>2</v>
      </c>
      <c r="J750" s="7" t="s">
        <v>540</v>
      </c>
      <c r="K750" s="7" t="s">
        <v>760</v>
      </c>
    </row>
    <row r="751" customHeight="1" spans="3:11">
      <c r="C751" s="7">
        <v>2229</v>
      </c>
      <c r="D751" s="7" t="s">
        <v>778</v>
      </c>
      <c r="E751" s="7">
        <v>2</v>
      </c>
      <c r="F751" s="7">
        <f t="shared" si="17"/>
        <v>2748</v>
      </c>
      <c r="G751" s="7">
        <v>1</v>
      </c>
      <c r="H751" s="7">
        <v>12</v>
      </c>
      <c r="I751" s="7">
        <v>2</v>
      </c>
      <c r="J751" s="7" t="s">
        <v>540</v>
      </c>
      <c r="K751" s="7" t="s">
        <v>762</v>
      </c>
    </row>
    <row r="752" customHeight="1" spans="3:11">
      <c r="C752" s="7">
        <v>2230</v>
      </c>
      <c r="D752" s="7" t="s">
        <v>779</v>
      </c>
      <c r="E752" s="4">
        <v>2</v>
      </c>
      <c r="F752" s="4">
        <f t="shared" si="17"/>
        <v>2760</v>
      </c>
      <c r="G752" s="4">
        <v>1</v>
      </c>
      <c r="H752" s="4">
        <v>9</v>
      </c>
      <c r="I752" s="4">
        <v>2</v>
      </c>
      <c r="J752" s="4" t="s">
        <v>540</v>
      </c>
      <c r="K752" s="4" t="s">
        <v>764</v>
      </c>
    </row>
    <row r="753" customHeight="1" spans="3:11">
      <c r="C753" s="7">
        <v>2231</v>
      </c>
      <c r="D753" s="7" t="s">
        <v>780</v>
      </c>
      <c r="E753" s="7">
        <v>2</v>
      </c>
      <c r="F753" s="7">
        <f t="shared" si="17"/>
        <v>2772</v>
      </c>
      <c r="G753" s="7">
        <v>1</v>
      </c>
      <c r="H753" s="7">
        <v>14</v>
      </c>
      <c r="I753" s="7">
        <v>15</v>
      </c>
      <c r="J753" s="7" t="s">
        <v>540</v>
      </c>
      <c r="K753" s="7" t="s">
        <v>15</v>
      </c>
    </row>
    <row r="754" customHeight="1" spans="3:11">
      <c r="C754" s="7">
        <v>2232</v>
      </c>
      <c r="D754" s="7" t="s">
        <v>781</v>
      </c>
      <c r="E754" s="7">
        <v>2</v>
      </c>
      <c r="F754" s="7">
        <f t="shared" si="17"/>
        <v>2784</v>
      </c>
      <c r="G754" s="7">
        <v>1</v>
      </c>
      <c r="H754" s="7">
        <v>15</v>
      </c>
      <c r="I754" s="7">
        <v>15</v>
      </c>
      <c r="J754" s="7" t="s">
        <v>540</v>
      </c>
      <c r="K754" s="7" t="s">
        <v>19</v>
      </c>
    </row>
    <row r="755" customHeight="1" spans="3:11">
      <c r="C755" s="7">
        <v>2233</v>
      </c>
      <c r="D755" s="7" t="s">
        <v>782</v>
      </c>
      <c r="E755" s="7">
        <v>2</v>
      </c>
      <c r="F755" s="7">
        <f t="shared" si="17"/>
        <v>2796</v>
      </c>
      <c r="G755" s="7">
        <v>1</v>
      </c>
      <c r="H755" s="7">
        <v>16</v>
      </c>
      <c r="I755" s="7">
        <v>15</v>
      </c>
      <c r="J755" s="7" t="s">
        <v>540</v>
      </c>
      <c r="K755" s="7" t="s">
        <v>21</v>
      </c>
    </row>
    <row r="756" customHeight="1" spans="3:11">
      <c r="C756" s="7">
        <v>2234</v>
      </c>
      <c r="D756" s="7" t="s">
        <v>783</v>
      </c>
      <c r="E756" s="7">
        <v>2</v>
      </c>
      <c r="F756" s="7">
        <f t="shared" si="17"/>
        <v>2808</v>
      </c>
      <c r="G756" s="7">
        <v>1</v>
      </c>
      <c r="H756" s="7">
        <v>18</v>
      </c>
      <c r="I756" s="7">
        <v>7</v>
      </c>
      <c r="J756" s="7" t="s">
        <v>540</v>
      </c>
      <c r="K756" s="7" t="s">
        <v>544</v>
      </c>
    </row>
    <row r="757" customHeight="1" spans="3:11">
      <c r="C757" s="7">
        <v>2235</v>
      </c>
      <c r="D757" s="7" t="s">
        <v>784</v>
      </c>
      <c r="E757" s="7">
        <v>2</v>
      </c>
      <c r="F757" s="7">
        <f t="shared" si="17"/>
        <v>2820</v>
      </c>
      <c r="G757" s="7">
        <v>1</v>
      </c>
      <c r="H757" s="7">
        <v>20</v>
      </c>
      <c r="I757" s="7">
        <v>7</v>
      </c>
      <c r="J757" s="7" t="s">
        <v>540</v>
      </c>
      <c r="K757" s="7" t="s">
        <v>548</v>
      </c>
    </row>
    <row r="758" customHeight="1" spans="3:11">
      <c r="C758" s="7">
        <v>2236</v>
      </c>
      <c r="D758" s="7" t="s">
        <v>785</v>
      </c>
      <c r="E758" s="7">
        <v>2</v>
      </c>
      <c r="F758" s="7">
        <f t="shared" si="17"/>
        <v>2832</v>
      </c>
      <c r="G758" s="7">
        <v>1</v>
      </c>
      <c r="H758" s="7">
        <v>24</v>
      </c>
      <c r="I758" s="7">
        <v>7</v>
      </c>
      <c r="J758" s="7" t="s">
        <v>540</v>
      </c>
      <c r="K758" s="7" t="s">
        <v>550</v>
      </c>
    </row>
    <row r="759" customHeight="1" spans="3:11">
      <c r="C759" s="7">
        <v>2237</v>
      </c>
      <c r="D759" s="7" t="s">
        <v>786</v>
      </c>
      <c r="E759" s="7">
        <v>2</v>
      </c>
      <c r="F759" s="7">
        <f t="shared" si="17"/>
        <v>2844</v>
      </c>
      <c r="G759" s="7">
        <v>1</v>
      </c>
      <c r="H759" s="7">
        <v>26</v>
      </c>
      <c r="I759" s="7">
        <v>15</v>
      </c>
      <c r="J759" s="7" t="s">
        <v>540</v>
      </c>
      <c r="K759" s="7" t="s">
        <v>552</v>
      </c>
    </row>
    <row r="760" customHeight="1" spans="3:11">
      <c r="C760" s="7">
        <v>2238</v>
      </c>
      <c r="D760" s="7" t="s">
        <v>787</v>
      </c>
      <c r="E760" s="7">
        <v>2</v>
      </c>
      <c r="F760" s="7">
        <f t="shared" si="17"/>
        <v>2856</v>
      </c>
      <c r="G760" s="7">
        <v>1</v>
      </c>
      <c r="H760" s="7">
        <v>27</v>
      </c>
      <c r="I760" s="7">
        <v>15</v>
      </c>
      <c r="J760" s="7" t="s">
        <v>540</v>
      </c>
      <c r="K760" s="7" t="s">
        <v>554</v>
      </c>
    </row>
    <row r="761" customHeight="1" spans="3:11">
      <c r="C761" s="7">
        <v>2239</v>
      </c>
      <c r="D761" s="7" t="s">
        <v>788</v>
      </c>
      <c r="E761" s="7">
        <v>2</v>
      </c>
      <c r="F761" s="7">
        <f t="shared" si="17"/>
        <v>2868</v>
      </c>
      <c r="G761" s="7">
        <v>1</v>
      </c>
      <c r="H761" s="7">
        <v>28</v>
      </c>
      <c r="I761" s="7">
        <v>15</v>
      </c>
      <c r="J761" s="7" t="s">
        <v>540</v>
      </c>
      <c r="K761" s="7" t="s">
        <v>556</v>
      </c>
    </row>
    <row r="762" customHeight="1" spans="3:11">
      <c r="C762" s="7">
        <v>2240</v>
      </c>
      <c r="D762" s="7" t="s">
        <v>789</v>
      </c>
      <c r="E762" s="7">
        <v>2</v>
      </c>
      <c r="F762" s="7">
        <f t="shared" si="17"/>
        <v>2880</v>
      </c>
      <c r="G762" s="7">
        <v>1</v>
      </c>
      <c r="H762" s="7">
        <v>33</v>
      </c>
      <c r="I762" s="7">
        <v>5</v>
      </c>
      <c r="J762" s="7" t="s">
        <v>540</v>
      </c>
      <c r="K762" s="7" t="s">
        <v>236</v>
      </c>
    </row>
    <row r="763" customHeight="1" spans="3:11">
      <c r="C763" s="7">
        <v>2241</v>
      </c>
      <c r="D763" s="7" t="s">
        <v>790</v>
      </c>
      <c r="E763" s="7">
        <v>2</v>
      </c>
      <c r="F763" s="7">
        <f t="shared" si="17"/>
        <v>2892</v>
      </c>
      <c r="G763" s="7">
        <v>1</v>
      </c>
      <c r="H763" s="7">
        <v>34</v>
      </c>
      <c r="I763" s="7">
        <v>5</v>
      </c>
      <c r="J763" s="7" t="s">
        <v>540</v>
      </c>
      <c r="K763" s="7" t="s">
        <v>238</v>
      </c>
    </row>
    <row r="764" customHeight="1" spans="3:11">
      <c r="C764" s="7">
        <v>2242</v>
      </c>
      <c r="D764" s="7" t="s">
        <v>791</v>
      </c>
      <c r="E764" s="7">
        <v>2</v>
      </c>
      <c r="F764" s="7">
        <f t="shared" si="17"/>
        <v>2904</v>
      </c>
      <c r="G764" s="7">
        <v>1</v>
      </c>
      <c r="H764" s="7">
        <v>35</v>
      </c>
      <c r="I764" s="7">
        <v>5</v>
      </c>
      <c r="J764" s="7" t="s">
        <v>540</v>
      </c>
      <c r="K764" s="7" t="s">
        <v>240</v>
      </c>
    </row>
    <row r="765" customHeight="1" spans="3:11">
      <c r="C765" s="7">
        <v>2243</v>
      </c>
      <c r="D765" s="7" t="s">
        <v>792</v>
      </c>
      <c r="E765" s="7">
        <v>2</v>
      </c>
      <c r="F765" s="7">
        <f t="shared" si="17"/>
        <v>2916</v>
      </c>
      <c r="G765" s="7">
        <v>1</v>
      </c>
      <c r="H765" s="7">
        <v>12</v>
      </c>
      <c r="I765" s="7">
        <v>2</v>
      </c>
      <c r="J765" s="7" t="s">
        <v>540</v>
      </c>
      <c r="K765" s="7" t="s">
        <v>760</v>
      </c>
    </row>
    <row r="766" customHeight="1" spans="3:11">
      <c r="C766" s="7">
        <v>2244</v>
      </c>
      <c r="D766" s="7" t="s">
        <v>793</v>
      </c>
      <c r="E766" s="7">
        <v>2</v>
      </c>
      <c r="F766" s="7">
        <f t="shared" si="17"/>
        <v>2928</v>
      </c>
      <c r="G766" s="7">
        <v>1</v>
      </c>
      <c r="H766" s="7">
        <v>12</v>
      </c>
      <c r="I766" s="7">
        <v>2</v>
      </c>
      <c r="J766" s="7" t="s">
        <v>540</v>
      </c>
      <c r="K766" s="7" t="s">
        <v>762</v>
      </c>
    </row>
    <row r="767" customHeight="1" spans="3:11">
      <c r="C767" s="7">
        <v>2245</v>
      </c>
      <c r="D767" s="7" t="s">
        <v>794</v>
      </c>
      <c r="E767" s="4">
        <v>2</v>
      </c>
      <c r="F767" s="4">
        <f t="shared" si="17"/>
        <v>2940</v>
      </c>
      <c r="G767" s="4">
        <v>1</v>
      </c>
      <c r="H767" s="4">
        <v>9</v>
      </c>
      <c r="I767" s="4">
        <v>2</v>
      </c>
      <c r="J767" s="4" t="s">
        <v>540</v>
      </c>
      <c r="K767" s="4" t="s">
        <v>764</v>
      </c>
    </row>
    <row r="768" customHeight="1" spans="3:11">
      <c r="C768" s="7">
        <v>2246</v>
      </c>
      <c r="D768" s="7" t="s">
        <v>795</v>
      </c>
      <c r="E768" s="7">
        <v>2</v>
      </c>
      <c r="F768" s="7">
        <f t="shared" si="17"/>
        <v>2952</v>
      </c>
      <c r="G768" s="7">
        <v>1</v>
      </c>
      <c r="H768" s="7">
        <v>14</v>
      </c>
      <c r="I768" s="7">
        <v>15</v>
      </c>
      <c r="J768" s="7" t="s">
        <v>540</v>
      </c>
      <c r="K768" s="7" t="s">
        <v>15</v>
      </c>
    </row>
    <row r="769" customHeight="1" spans="3:11">
      <c r="C769" s="7">
        <v>2247</v>
      </c>
      <c r="D769" s="7" t="s">
        <v>796</v>
      </c>
      <c r="E769" s="7">
        <v>2</v>
      </c>
      <c r="F769" s="7">
        <f t="shared" si="17"/>
        <v>2964</v>
      </c>
      <c r="G769" s="7">
        <v>1</v>
      </c>
      <c r="H769" s="7">
        <v>15</v>
      </c>
      <c r="I769" s="7">
        <v>15</v>
      </c>
      <c r="J769" s="7" t="s">
        <v>540</v>
      </c>
      <c r="K769" s="7" t="s">
        <v>19</v>
      </c>
    </row>
    <row r="770" customHeight="1" spans="3:11">
      <c r="C770" s="7">
        <v>2248</v>
      </c>
      <c r="D770" s="7" t="s">
        <v>797</v>
      </c>
      <c r="E770" s="7">
        <v>2</v>
      </c>
      <c r="F770" s="7">
        <f t="shared" si="17"/>
        <v>2976</v>
      </c>
      <c r="G770" s="7">
        <v>1</v>
      </c>
      <c r="H770" s="7">
        <v>16</v>
      </c>
      <c r="I770" s="7">
        <v>15</v>
      </c>
      <c r="J770" s="7" t="s">
        <v>540</v>
      </c>
      <c r="K770" s="7" t="s">
        <v>21</v>
      </c>
    </row>
    <row r="771" customHeight="1" spans="3:11">
      <c r="C771" s="7">
        <v>2249</v>
      </c>
      <c r="D771" s="7" t="s">
        <v>798</v>
      </c>
      <c r="E771" s="7">
        <v>2</v>
      </c>
      <c r="F771" s="7">
        <f t="shared" si="17"/>
        <v>2988</v>
      </c>
      <c r="G771" s="7">
        <v>1</v>
      </c>
      <c r="H771" s="7">
        <v>18</v>
      </c>
      <c r="I771" s="7">
        <v>7</v>
      </c>
      <c r="J771" s="7" t="s">
        <v>540</v>
      </c>
      <c r="K771" s="7" t="s">
        <v>544</v>
      </c>
    </row>
    <row r="772" customHeight="1" spans="3:11">
      <c r="C772" s="7">
        <v>2250</v>
      </c>
      <c r="D772" s="7" t="s">
        <v>799</v>
      </c>
      <c r="E772" s="7">
        <v>2</v>
      </c>
      <c r="F772" s="7">
        <f t="shared" si="17"/>
        <v>3000</v>
      </c>
      <c r="G772" s="7">
        <v>1</v>
      </c>
      <c r="H772" s="7">
        <v>20</v>
      </c>
      <c r="I772" s="7">
        <v>7</v>
      </c>
      <c r="J772" s="7" t="s">
        <v>540</v>
      </c>
      <c r="K772" s="7" t="s">
        <v>548</v>
      </c>
    </row>
    <row r="773" customHeight="1" spans="3:11">
      <c r="C773" s="7">
        <v>2251</v>
      </c>
      <c r="D773" s="7" t="s">
        <v>800</v>
      </c>
      <c r="E773" s="7">
        <v>2</v>
      </c>
      <c r="F773" s="7">
        <f t="shared" si="17"/>
        <v>3012</v>
      </c>
      <c r="G773" s="7">
        <v>1</v>
      </c>
      <c r="H773" s="7">
        <v>24</v>
      </c>
      <c r="I773" s="7">
        <v>7</v>
      </c>
      <c r="J773" s="7" t="s">
        <v>540</v>
      </c>
      <c r="K773" s="7" t="s">
        <v>550</v>
      </c>
    </row>
    <row r="774" customHeight="1" spans="3:11">
      <c r="C774" s="7">
        <v>2252</v>
      </c>
      <c r="D774" s="7" t="s">
        <v>801</v>
      </c>
      <c r="E774" s="7">
        <v>2</v>
      </c>
      <c r="F774" s="7">
        <f t="shared" si="17"/>
        <v>3024</v>
      </c>
      <c r="G774" s="7">
        <v>1</v>
      </c>
      <c r="H774" s="7">
        <v>26</v>
      </c>
      <c r="I774" s="7">
        <v>15</v>
      </c>
      <c r="J774" s="7" t="s">
        <v>540</v>
      </c>
      <c r="K774" s="7" t="s">
        <v>552</v>
      </c>
    </row>
    <row r="775" customHeight="1" spans="3:11">
      <c r="C775" s="7">
        <v>2253</v>
      </c>
      <c r="D775" s="7" t="s">
        <v>802</v>
      </c>
      <c r="E775" s="7">
        <v>2</v>
      </c>
      <c r="F775" s="7">
        <f t="shared" si="17"/>
        <v>3036</v>
      </c>
      <c r="G775" s="7">
        <v>1</v>
      </c>
      <c r="H775" s="7">
        <v>27</v>
      </c>
      <c r="I775" s="7">
        <v>15</v>
      </c>
      <c r="J775" s="7" t="s">
        <v>540</v>
      </c>
      <c r="K775" s="7" t="s">
        <v>554</v>
      </c>
    </row>
    <row r="776" customHeight="1" spans="3:11">
      <c r="C776" s="7">
        <v>2254</v>
      </c>
      <c r="D776" s="7" t="s">
        <v>803</v>
      </c>
      <c r="E776" s="7">
        <v>2</v>
      </c>
      <c r="F776" s="7">
        <f t="shared" si="17"/>
        <v>3048</v>
      </c>
      <c r="G776" s="7">
        <v>1</v>
      </c>
      <c r="H776" s="7">
        <v>28</v>
      </c>
      <c r="I776" s="7">
        <v>15</v>
      </c>
      <c r="J776" s="7" t="s">
        <v>540</v>
      </c>
      <c r="K776" s="7" t="s">
        <v>556</v>
      </c>
    </row>
    <row r="777" customHeight="1" spans="3:11">
      <c r="C777" s="7">
        <v>2255</v>
      </c>
      <c r="D777" s="7" t="s">
        <v>804</v>
      </c>
      <c r="E777" s="7">
        <v>2</v>
      </c>
      <c r="F777" s="7">
        <f t="shared" si="17"/>
        <v>3060</v>
      </c>
      <c r="G777" s="7">
        <v>1</v>
      </c>
      <c r="H777" s="7">
        <v>33</v>
      </c>
      <c r="I777" s="7">
        <v>5</v>
      </c>
      <c r="J777" s="7" t="s">
        <v>540</v>
      </c>
      <c r="K777" s="7" t="s">
        <v>236</v>
      </c>
    </row>
    <row r="778" customHeight="1" spans="3:11">
      <c r="C778" s="7">
        <v>2256</v>
      </c>
      <c r="D778" s="7" t="s">
        <v>805</v>
      </c>
      <c r="E778" s="7">
        <v>2</v>
      </c>
      <c r="F778" s="7">
        <f t="shared" si="17"/>
        <v>3072</v>
      </c>
      <c r="G778" s="7">
        <v>1</v>
      </c>
      <c r="H778" s="7">
        <v>34</v>
      </c>
      <c r="I778" s="7">
        <v>5</v>
      </c>
      <c r="J778" s="7" t="s">
        <v>540</v>
      </c>
      <c r="K778" s="7" t="s">
        <v>238</v>
      </c>
    </row>
    <row r="779" customHeight="1" spans="3:11">
      <c r="C779" s="7">
        <v>2257</v>
      </c>
      <c r="D779" s="7" t="s">
        <v>806</v>
      </c>
      <c r="E779" s="7">
        <v>2</v>
      </c>
      <c r="F779" s="7">
        <f t="shared" si="17"/>
        <v>3084</v>
      </c>
      <c r="G779" s="7">
        <v>1</v>
      </c>
      <c r="H779" s="7">
        <v>35</v>
      </c>
      <c r="I779" s="7">
        <v>5</v>
      </c>
      <c r="J779" s="7" t="s">
        <v>540</v>
      </c>
      <c r="K779" s="7" t="s">
        <v>240</v>
      </c>
    </row>
    <row r="780" customHeight="1" spans="3:11">
      <c r="C780" s="7">
        <v>2258</v>
      </c>
      <c r="D780" s="7" t="s">
        <v>807</v>
      </c>
      <c r="E780" s="7">
        <v>2</v>
      </c>
      <c r="F780" s="7">
        <f t="shared" si="17"/>
        <v>3096</v>
      </c>
      <c r="G780" s="7">
        <v>1</v>
      </c>
      <c r="H780" s="7">
        <v>12</v>
      </c>
      <c r="I780" s="7">
        <v>2</v>
      </c>
      <c r="J780" s="7" t="s">
        <v>540</v>
      </c>
      <c r="K780" s="7" t="s">
        <v>760</v>
      </c>
    </row>
    <row r="781" customHeight="1" spans="3:11">
      <c r="C781" s="7">
        <v>2259</v>
      </c>
      <c r="D781" s="7" t="s">
        <v>808</v>
      </c>
      <c r="E781" s="7">
        <v>2</v>
      </c>
      <c r="F781" s="7">
        <f t="shared" si="17"/>
        <v>3108</v>
      </c>
      <c r="G781" s="7">
        <v>1</v>
      </c>
      <c r="H781" s="7">
        <v>12</v>
      </c>
      <c r="I781" s="7">
        <v>2</v>
      </c>
      <c r="J781" s="7" t="s">
        <v>540</v>
      </c>
      <c r="K781" s="7" t="s">
        <v>762</v>
      </c>
    </row>
    <row r="782" customHeight="1" spans="3:11">
      <c r="C782" s="7">
        <v>2260</v>
      </c>
      <c r="D782" s="7" t="s">
        <v>809</v>
      </c>
      <c r="E782" s="4">
        <v>2</v>
      </c>
      <c r="F782" s="4">
        <f t="shared" si="17"/>
        <v>3120</v>
      </c>
      <c r="G782" s="4">
        <v>1</v>
      </c>
      <c r="H782" s="4">
        <v>9</v>
      </c>
      <c r="I782" s="4">
        <v>2</v>
      </c>
      <c r="J782" s="4" t="s">
        <v>540</v>
      </c>
      <c r="K782" s="4" t="s">
        <v>764</v>
      </c>
    </row>
    <row r="783" customHeight="1" spans="3:11">
      <c r="C783" s="7">
        <v>2261</v>
      </c>
      <c r="D783" s="7" t="s">
        <v>810</v>
      </c>
      <c r="E783" s="7">
        <v>2</v>
      </c>
      <c r="F783" s="7">
        <f t="shared" si="17"/>
        <v>3132</v>
      </c>
      <c r="G783" s="7">
        <v>1</v>
      </c>
      <c r="H783" s="7">
        <v>14</v>
      </c>
      <c r="I783" s="7">
        <v>15</v>
      </c>
      <c r="J783" s="7" t="s">
        <v>540</v>
      </c>
      <c r="K783" s="7" t="s">
        <v>15</v>
      </c>
    </row>
    <row r="784" customHeight="1" spans="3:11">
      <c r="C784" s="7">
        <v>2262</v>
      </c>
      <c r="D784" s="7" t="s">
        <v>811</v>
      </c>
      <c r="E784" s="7">
        <v>2</v>
      </c>
      <c r="F784" s="7">
        <f t="shared" si="17"/>
        <v>3144</v>
      </c>
      <c r="G784" s="7">
        <v>1</v>
      </c>
      <c r="H784" s="7">
        <v>15</v>
      </c>
      <c r="I784" s="7">
        <v>15</v>
      </c>
      <c r="J784" s="7" t="s">
        <v>540</v>
      </c>
      <c r="K784" s="7" t="s">
        <v>19</v>
      </c>
    </row>
    <row r="785" customHeight="1" spans="3:11">
      <c r="C785" s="7">
        <v>2263</v>
      </c>
      <c r="D785" s="7" t="s">
        <v>812</v>
      </c>
      <c r="E785" s="7">
        <v>2</v>
      </c>
      <c r="F785" s="7">
        <f t="shared" si="17"/>
        <v>3156</v>
      </c>
      <c r="G785" s="7">
        <v>1</v>
      </c>
      <c r="H785" s="7">
        <v>16</v>
      </c>
      <c r="I785" s="7">
        <v>15</v>
      </c>
      <c r="J785" s="7" t="s">
        <v>540</v>
      </c>
      <c r="K785" s="7" t="s">
        <v>21</v>
      </c>
    </row>
    <row r="786" customHeight="1" spans="3:11">
      <c r="C786" s="7">
        <v>2264</v>
      </c>
      <c r="D786" s="7" t="s">
        <v>813</v>
      </c>
      <c r="E786" s="7">
        <v>2</v>
      </c>
      <c r="F786" s="7">
        <f t="shared" si="17"/>
        <v>3168</v>
      </c>
      <c r="G786" s="7">
        <v>1</v>
      </c>
      <c r="H786" s="7">
        <v>18</v>
      </c>
      <c r="I786" s="7">
        <v>7</v>
      </c>
      <c r="J786" s="7" t="s">
        <v>540</v>
      </c>
      <c r="K786" s="7" t="s">
        <v>544</v>
      </c>
    </row>
    <row r="787" customHeight="1" spans="3:11">
      <c r="C787" s="7">
        <v>2265</v>
      </c>
      <c r="D787" s="7" t="s">
        <v>814</v>
      </c>
      <c r="E787" s="7">
        <v>2</v>
      </c>
      <c r="F787" s="7">
        <f t="shared" si="17"/>
        <v>3180</v>
      </c>
      <c r="G787" s="7">
        <v>1</v>
      </c>
      <c r="H787" s="7">
        <v>20</v>
      </c>
      <c r="I787" s="7">
        <v>7</v>
      </c>
      <c r="J787" s="7" t="s">
        <v>540</v>
      </c>
      <c r="K787" s="7" t="s">
        <v>548</v>
      </c>
    </row>
    <row r="788" customHeight="1" spans="3:11">
      <c r="C788" s="7">
        <v>2266</v>
      </c>
      <c r="D788" s="7" t="s">
        <v>815</v>
      </c>
      <c r="E788" s="7">
        <v>2</v>
      </c>
      <c r="F788" s="7">
        <f t="shared" si="17"/>
        <v>3192</v>
      </c>
      <c r="G788" s="7">
        <v>1</v>
      </c>
      <c r="H788" s="7">
        <v>24</v>
      </c>
      <c r="I788" s="7">
        <v>7</v>
      </c>
      <c r="J788" s="7" t="s">
        <v>540</v>
      </c>
      <c r="K788" s="7" t="s">
        <v>550</v>
      </c>
    </row>
    <row r="789" customHeight="1" spans="3:11">
      <c r="C789" s="7">
        <v>2267</v>
      </c>
      <c r="D789" s="7" t="s">
        <v>816</v>
      </c>
      <c r="E789" s="7">
        <v>2</v>
      </c>
      <c r="F789" s="7">
        <f t="shared" si="17"/>
        <v>3204</v>
      </c>
      <c r="G789" s="7">
        <v>1</v>
      </c>
      <c r="H789" s="7">
        <v>26</v>
      </c>
      <c r="I789" s="7">
        <v>15</v>
      </c>
      <c r="J789" s="7" t="s">
        <v>540</v>
      </c>
      <c r="K789" s="7" t="s">
        <v>552</v>
      </c>
    </row>
    <row r="790" customHeight="1" spans="3:11">
      <c r="C790" s="7">
        <v>2268</v>
      </c>
      <c r="D790" s="7" t="s">
        <v>817</v>
      </c>
      <c r="E790" s="7">
        <v>2</v>
      </c>
      <c r="F790" s="7">
        <f t="shared" si="17"/>
        <v>3216</v>
      </c>
      <c r="G790" s="7">
        <v>1</v>
      </c>
      <c r="H790" s="7">
        <v>27</v>
      </c>
      <c r="I790" s="7">
        <v>15</v>
      </c>
      <c r="J790" s="7" t="s">
        <v>540</v>
      </c>
      <c r="K790" s="7" t="s">
        <v>554</v>
      </c>
    </row>
    <row r="791" customHeight="1" spans="3:11">
      <c r="C791" s="7">
        <v>2269</v>
      </c>
      <c r="D791" s="7" t="s">
        <v>818</v>
      </c>
      <c r="E791" s="7">
        <v>2</v>
      </c>
      <c r="F791" s="7">
        <f t="shared" si="17"/>
        <v>3228</v>
      </c>
      <c r="G791" s="7">
        <v>1</v>
      </c>
      <c r="H791" s="7">
        <v>28</v>
      </c>
      <c r="I791" s="7">
        <v>15</v>
      </c>
      <c r="J791" s="7" t="s">
        <v>540</v>
      </c>
      <c r="K791" s="7" t="s">
        <v>556</v>
      </c>
    </row>
    <row r="792" customHeight="1" spans="3:11">
      <c r="C792" s="7">
        <v>2270</v>
      </c>
      <c r="D792" s="7" t="s">
        <v>819</v>
      </c>
      <c r="E792" s="7">
        <v>2</v>
      </c>
      <c r="F792" s="7">
        <f t="shared" si="17"/>
        <v>3240</v>
      </c>
      <c r="G792" s="7">
        <v>1</v>
      </c>
      <c r="H792" s="7">
        <v>33</v>
      </c>
      <c r="I792" s="7">
        <v>5</v>
      </c>
      <c r="J792" s="7" t="s">
        <v>540</v>
      </c>
      <c r="K792" s="7" t="s">
        <v>236</v>
      </c>
    </row>
    <row r="793" customHeight="1" spans="3:11">
      <c r="C793" s="7">
        <v>2271</v>
      </c>
      <c r="D793" s="7" t="s">
        <v>820</v>
      </c>
      <c r="E793" s="7">
        <v>2</v>
      </c>
      <c r="F793" s="7">
        <f t="shared" si="17"/>
        <v>3252</v>
      </c>
      <c r="G793" s="7">
        <v>1</v>
      </c>
      <c r="H793" s="7">
        <v>34</v>
      </c>
      <c r="I793" s="7">
        <v>5</v>
      </c>
      <c r="J793" s="7" t="s">
        <v>540</v>
      </c>
      <c r="K793" s="7" t="s">
        <v>238</v>
      </c>
    </row>
    <row r="794" customHeight="1" spans="3:11">
      <c r="C794" s="7">
        <v>2272</v>
      </c>
      <c r="D794" s="7" t="s">
        <v>821</v>
      </c>
      <c r="E794" s="7">
        <v>2</v>
      </c>
      <c r="F794" s="7">
        <f t="shared" si="17"/>
        <v>3264</v>
      </c>
      <c r="G794" s="7">
        <v>1</v>
      </c>
      <c r="H794" s="7">
        <v>35</v>
      </c>
      <c r="I794" s="7">
        <v>5</v>
      </c>
      <c r="J794" s="7" t="s">
        <v>540</v>
      </c>
      <c r="K794" s="7" t="s">
        <v>240</v>
      </c>
    </row>
    <row r="795" customHeight="1" spans="3:11">
      <c r="C795" s="7">
        <v>2273</v>
      </c>
      <c r="D795" s="7" t="s">
        <v>822</v>
      </c>
      <c r="E795" s="7">
        <v>2</v>
      </c>
      <c r="F795" s="7">
        <f t="shared" si="17"/>
        <v>3276</v>
      </c>
      <c r="G795" s="7">
        <v>1</v>
      </c>
      <c r="H795" s="7">
        <v>12</v>
      </c>
      <c r="I795" s="7">
        <v>2</v>
      </c>
      <c r="J795" s="7" t="s">
        <v>540</v>
      </c>
      <c r="K795" s="7" t="s">
        <v>760</v>
      </c>
    </row>
    <row r="796" customHeight="1" spans="3:11">
      <c r="C796" s="7">
        <v>2274</v>
      </c>
      <c r="D796" s="7" t="s">
        <v>823</v>
      </c>
      <c r="E796" s="7">
        <v>2</v>
      </c>
      <c r="F796" s="7">
        <f t="shared" si="17"/>
        <v>3288</v>
      </c>
      <c r="G796" s="7">
        <v>1</v>
      </c>
      <c r="H796" s="7">
        <v>12</v>
      </c>
      <c r="I796" s="7">
        <v>2</v>
      </c>
      <c r="J796" s="7" t="s">
        <v>540</v>
      </c>
      <c r="K796" s="7" t="s">
        <v>762</v>
      </c>
    </row>
    <row r="797" customHeight="1" spans="3:11">
      <c r="C797" s="7">
        <v>2275</v>
      </c>
      <c r="D797" s="7" t="s">
        <v>824</v>
      </c>
      <c r="E797" s="4">
        <v>2</v>
      </c>
      <c r="F797" s="4">
        <f t="shared" si="17"/>
        <v>3300</v>
      </c>
      <c r="G797" s="4">
        <v>1</v>
      </c>
      <c r="H797" s="4">
        <v>9</v>
      </c>
      <c r="I797" s="4">
        <v>2</v>
      </c>
      <c r="J797" s="4" t="s">
        <v>540</v>
      </c>
      <c r="K797" s="4" t="s">
        <v>764</v>
      </c>
    </row>
    <row r="798" customHeight="1" spans="3:11">
      <c r="C798" s="7">
        <v>2276</v>
      </c>
      <c r="D798" s="7" t="s">
        <v>825</v>
      </c>
      <c r="E798" s="7">
        <v>2</v>
      </c>
      <c r="F798" s="7">
        <f t="shared" si="17"/>
        <v>3312</v>
      </c>
      <c r="G798" s="7">
        <v>1</v>
      </c>
      <c r="H798" s="7">
        <v>14</v>
      </c>
      <c r="I798" s="7">
        <v>15</v>
      </c>
      <c r="J798" s="7" t="s">
        <v>540</v>
      </c>
      <c r="K798" s="7" t="s">
        <v>15</v>
      </c>
    </row>
    <row r="799" customHeight="1" spans="3:11">
      <c r="C799" s="7">
        <v>2277</v>
      </c>
      <c r="D799" s="7" t="s">
        <v>826</v>
      </c>
      <c r="E799" s="7">
        <v>2</v>
      </c>
      <c r="F799" s="7">
        <f t="shared" si="17"/>
        <v>3324</v>
      </c>
      <c r="G799" s="7">
        <v>1</v>
      </c>
      <c r="H799" s="7">
        <v>15</v>
      </c>
      <c r="I799" s="7">
        <v>15</v>
      </c>
      <c r="J799" s="7" t="s">
        <v>540</v>
      </c>
      <c r="K799" s="7" t="s">
        <v>19</v>
      </c>
    </row>
    <row r="800" customHeight="1" spans="3:11">
      <c r="C800" s="7">
        <v>2278</v>
      </c>
      <c r="D800" s="7" t="s">
        <v>827</v>
      </c>
      <c r="E800" s="7">
        <v>2</v>
      </c>
      <c r="F800" s="7">
        <f t="shared" si="17"/>
        <v>3336</v>
      </c>
      <c r="G800" s="7">
        <v>1</v>
      </c>
      <c r="H800" s="7">
        <v>16</v>
      </c>
      <c r="I800" s="7">
        <v>15</v>
      </c>
      <c r="J800" s="7" t="s">
        <v>540</v>
      </c>
      <c r="K800" s="7" t="s">
        <v>21</v>
      </c>
    </row>
    <row r="801" customHeight="1" spans="3:11">
      <c r="C801" s="7">
        <v>2279</v>
      </c>
      <c r="D801" s="7" t="s">
        <v>828</v>
      </c>
      <c r="E801" s="7">
        <v>2</v>
      </c>
      <c r="F801" s="7">
        <f t="shared" si="17"/>
        <v>3348</v>
      </c>
      <c r="G801" s="7">
        <v>1</v>
      </c>
      <c r="H801" s="7">
        <v>18</v>
      </c>
      <c r="I801" s="7">
        <v>7</v>
      </c>
      <c r="J801" s="7" t="s">
        <v>540</v>
      </c>
      <c r="K801" s="7" t="s">
        <v>544</v>
      </c>
    </row>
    <row r="802" customHeight="1" spans="3:11">
      <c r="C802" s="7">
        <v>2280</v>
      </c>
      <c r="D802" s="7" t="s">
        <v>829</v>
      </c>
      <c r="E802" s="7">
        <v>2</v>
      </c>
      <c r="F802" s="7">
        <f t="shared" si="17"/>
        <v>3360</v>
      </c>
      <c r="G802" s="7">
        <v>1</v>
      </c>
      <c r="H802" s="7">
        <v>20</v>
      </c>
      <c r="I802" s="7">
        <v>7</v>
      </c>
      <c r="J802" s="7" t="s">
        <v>540</v>
      </c>
      <c r="K802" s="7" t="s">
        <v>548</v>
      </c>
    </row>
    <row r="803" customHeight="1" spans="3:11">
      <c r="C803" s="7">
        <v>2281</v>
      </c>
      <c r="D803" s="7" t="s">
        <v>830</v>
      </c>
      <c r="E803" s="7">
        <v>2</v>
      </c>
      <c r="F803" s="7">
        <f t="shared" si="17"/>
        <v>3372</v>
      </c>
      <c r="G803" s="7">
        <v>1</v>
      </c>
      <c r="H803" s="7">
        <v>24</v>
      </c>
      <c r="I803" s="7">
        <v>7</v>
      </c>
      <c r="J803" s="7" t="s">
        <v>540</v>
      </c>
      <c r="K803" s="7" t="s">
        <v>550</v>
      </c>
    </row>
    <row r="804" customHeight="1" spans="3:11">
      <c r="C804" s="7">
        <v>2282</v>
      </c>
      <c r="D804" s="7" t="s">
        <v>831</v>
      </c>
      <c r="E804" s="7">
        <v>2</v>
      </c>
      <c r="F804" s="7">
        <f t="shared" si="17"/>
        <v>3384</v>
      </c>
      <c r="G804" s="7">
        <v>1</v>
      </c>
      <c r="H804" s="7">
        <v>26</v>
      </c>
      <c r="I804" s="7">
        <v>15</v>
      </c>
      <c r="J804" s="7" t="s">
        <v>540</v>
      </c>
      <c r="K804" s="7" t="s">
        <v>552</v>
      </c>
    </row>
    <row r="805" customHeight="1" spans="3:11">
      <c r="C805" s="7">
        <v>2283</v>
      </c>
      <c r="D805" s="7" t="s">
        <v>832</v>
      </c>
      <c r="E805" s="7">
        <v>2</v>
      </c>
      <c r="F805" s="7">
        <f t="shared" si="17"/>
        <v>3396</v>
      </c>
      <c r="G805" s="7">
        <v>1</v>
      </c>
      <c r="H805" s="7">
        <v>27</v>
      </c>
      <c r="I805" s="7">
        <v>15</v>
      </c>
      <c r="J805" s="7" t="s">
        <v>540</v>
      </c>
      <c r="K805" s="7" t="s">
        <v>554</v>
      </c>
    </row>
    <row r="806" customHeight="1" spans="3:11">
      <c r="C806" s="7">
        <v>2284</v>
      </c>
      <c r="D806" s="7" t="s">
        <v>833</v>
      </c>
      <c r="E806" s="7">
        <v>2</v>
      </c>
      <c r="F806" s="7">
        <f t="shared" ref="F806:F869" si="18">(C806-2000)*12</f>
        <v>3408</v>
      </c>
      <c r="G806" s="7">
        <v>1</v>
      </c>
      <c r="H806" s="7">
        <v>28</v>
      </c>
      <c r="I806" s="7">
        <v>15</v>
      </c>
      <c r="J806" s="7" t="s">
        <v>540</v>
      </c>
      <c r="K806" s="7" t="s">
        <v>556</v>
      </c>
    </row>
    <row r="807" customHeight="1" spans="3:11">
      <c r="C807" s="7">
        <v>2285</v>
      </c>
      <c r="D807" s="7" t="s">
        <v>834</v>
      </c>
      <c r="E807" s="7">
        <v>2</v>
      </c>
      <c r="F807" s="7">
        <f t="shared" si="18"/>
        <v>3420</v>
      </c>
      <c r="G807" s="7">
        <v>1</v>
      </c>
      <c r="H807" s="7">
        <v>33</v>
      </c>
      <c r="I807" s="7">
        <v>5</v>
      </c>
      <c r="J807" s="7" t="s">
        <v>540</v>
      </c>
      <c r="K807" s="7" t="s">
        <v>236</v>
      </c>
    </row>
    <row r="808" customHeight="1" spans="3:11">
      <c r="C808" s="7">
        <v>2286</v>
      </c>
      <c r="D808" s="7" t="s">
        <v>835</v>
      </c>
      <c r="E808" s="7">
        <v>2</v>
      </c>
      <c r="F808" s="7">
        <f t="shared" si="18"/>
        <v>3432</v>
      </c>
      <c r="G808" s="7">
        <v>1</v>
      </c>
      <c r="H808" s="7">
        <v>34</v>
      </c>
      <c r="I808" s="7">
        <v>5</v>
      </c>
      <c r="J808" s="7" t="s">
        <v>540</v>
      </c>
      <c r="K808" s="7" t="s">
        <v>238</v>
      </c>
    </row>
    <row r="809" customHeight="1" spans="3:11">
      <c r="C809" s="7">
        <v>2287</v>
      </c>
      <c r="D809" s="7" t="s">
        <v>836</v>
      </c>
      <c r="E809" s="7">
        <v>2</v>
      </c>
      <c r="F809" s="7">
        <f t="shared" si="18"/>
        <v>3444</v>
      </c>
      <c r="G809" s="7">
        <v>1</v>
      </c>
      <c r="H809" s="7">
        <v>35</v>
      </c>
      <c r="I809" s="7">
        <v>5</v>
      </c>
      <c r="J809" s="7" t="s">
        <v>540</v>
      </c>
      <c r="K809" s="7" t="s">
        <v>240</v>
      </c>
    </row>
    <row r="810" customHeight="1" spans="3:11">
      <c r="C810" s="7">
        <v>2288</v>
      </c>
      <c r="D810" s="7" t="s">
        <v>837</v>
      </c>
      <c r="E810" s="7">
        <v>2</v>
      </c>
      <c r="F810" s="7">
        <f t="shared" si="18"/>
        <v>3456</v>
      </c>
      <c r="G810" s="7">
        <v>1</v>
      </c>
      <c r="H810" s="7">
        <v>12</v>
      </c>
      <c r="I810" s="7">
        <v>2</v>
      </c>
      <c r="J810" s="7" t="s">
        <v>540</v>
      </c>
      <c r="K810" s="7" t="s">
        <v>760</v>
      </c>
    </row>
    <row r="811" customHeight="1" spans="3:11">
      <c r="C811" s="7">
        <v>2289</v>
      </c>
      <c r="D811" s="7" t="s">
        <v>838</v>
      </c>
      <c r="E811" s="7">
        <v>2</v>
      </c>
      <c r="F811" s="7">
        <f t="shared" si="18"/>
        <v>3468</v>
      </c>
      <c r="G811" s="7">
        <v>1</v>
      </c>
      <c r="H811" s="7">
        <v>12</v>
      </c>
      <c r="I811" s="7">
        <v>2</v>
      </c>
      <c r="J811" s="7" t="s">
        <v>540</v>
      </c>
      <c r="K811" s="7" t="s">
        <v>762</v>
      </c>
    </row>
    <row r="812" customHeight="1" spans="3:11">
      <c r="C812" s="7">
        <v>2290</v>
      </c>
      <c r="D812" s="7" t="s">
        <v>839</v>
      </c>
      <c r="E812" s="4">
        <v>2</v>
      </c>
      <c r="F812" s="4">
        <f t="shared" si="18"/>
        <v>3480</v>
      </c>
      <c r="G812" s="4">
        <v>1</v>
      </c>
      <c r="H812" s="4">
        <v>9</v>
      </c>
      <c r="I812" s="4">
        <v>2</v>
      </c>
      <c r="J812" s="4" t="s">
        <v>540</v>
      </c>
      <c r="K812" s="4" t="s">
        <v>764</v>
      </c>
    </row>
    <row r="813" customHeight="1" spans="3:11">
      <c r="C813" s="7">
        <v>2291</v>
      </c>
      <c r="D813" s="7" t="s">
        <v>840</v>
      </c>
      <c r="E813" s="7">
        <v>2</v>
      </c>
      <c r="F813" s="7">
        <f t="shared" si="18"/>
        <v>3492</v>
      </c>
      <c r="G813" s="7">
        <v>1</v>
      </c>
      <c r="H813" s="7">
        <v>14</v>
      </c>
      <c r="I813" s="7">
        <v>15</v>
      </c>
      <c r="J813" s="7" t="s">
        <v>540</v>
      </c>
      <c r="K813" s="7" t="s">
        <v>15</v>
      </c>
    </row>
    <row r="814" customHeight="1" spans="3:11">
      <c r="C814" s="7">
        <v>2292</v>
      </c>
      <c r="D814" s="7" t="s">
        <v>841</v>
      </c>
      <c r="E814" s="7">
        <v>2</v>
      </c>
      <c r="F814" s="7">
        <f t="shared" si="18"/>
        <v>3504</v>
      </c>
      <c r="G814" s="7">
        <v>1</v>
      </c>
      <c r="H814" s="7">
        <v>15</v>
      </c>
      <c r="I814" s="7">
        <v>15</v>
      </c>
      <c r="J814" s="7" t="s">
        <v>540</v>
      </c>
      <c r="K814" s="7" t="s">
        <v>19</v>
      </c>
    </row>
    <row r="815" customHeight="1" spans="3:11">
      <c r="C815" s="7">
        <v>2293</v>
      </c>
      <c r="D815" s="7" t="s">
        <v>842</v>
      </c>
      <c r="E815" s="7">
        <v>2</v>
      </c>
      <c r="F815" s="7">
        <f t="shared" si="18"/>
        <v>3516</v>
      </c>
      <c r="G815" s="7">
        <v>1</v>
      </c>
      <c r="H815" s="7">
        <v>16</v>
      </c>
      <c r="I815" s="7">
        <v>15</v>
      </c>
      <c r="J815" s="7" t="s">
        <v>540</v>
      </c>
      <c r="K815" s="7" t="s">
        <v>21</v>
      </c>
    </row>
    <row r="816" customHeight="1" spans="3:11">
      <c r="C816" s="7">
        <v>2294</v>
      </c>
      <c r="D816" s="7" t="s">
        <v>843</v>
      </c>
      <c r="E816" s="7">
        <v>2</v>
      </c>
      <c r="F816" s="7">
        <f t="shared" si="18"/>
        <v>3528</v>
      </c>
      <c r="G816" s="7">
        <v>1</v>
      </c>
      <c r="H816" s="7">
        <v>18</v>
      </c>
      <c r="I816" s="7">
        <v>7</v>
      </c>
      <c r="J816" s="7" t="s">
        <v>540</v>
      </c>
      <c r="K816" s="7" t="s">
        <v>544</v>
      </c>
    </row>
    <row r="817" customHeight="1" spans="3:11">
      <c r="C817" s="7">
        <v>2295</v>
      </c>
      <c r="D817" s="7" t="s">
        <v>844</v>
      </c>
      <c r="E817" s="7">
        <v>2</v>
      </c>
      <c r="F817" s="7">
        <f t="shared" si="18"/>
        <v>3540</v>
      </c>
      <c r="G817" s="7">
        <v>1</v>
      </c>
      <c r="H817" s="7">
        <v>20</v>
      </c>
      <c r="I817" s="7">
        <v>7</v>
      </c>
      <c r="J817" s="7" t="s">
        <v>540</v>
      </c>
      <c r="K817" s="7" t="s">
        <v>548</v>
      </c>
    </row>
    <row r="818" customHeight="1" spans="3:11">
      <c r="C818" s="7">
        <v>2296</v>
      </c>
      <c r="D818" s="7" t="s">
        <v>845</v>
      </c>
      <c r="E818" s="7">
        <v>2</v>
      </c>
      <c r="F818" s="7">
        <f t="shared" si="18"/>
        <v>3552</v>
      </c>
      <c r="G818" s="7">
        <v>1</v>
      </c>
      <c r="H818" s="7">
        <v>24</v>
      </c>
      <c r="I818" s="7">
        <v>7</v>
      </c>
      <c r="J818" s="7" t="s">
        <v>540</v>
      </c>
      <c r="K818" s="7" t="s">
        <v>550</v>
      </c>
    </row>
    <row r="819" customHeight="1" spans="3:11">
      <c r="C819" s="7">
        <v>2297</v>
      </c>
      <c r="D819" s="7" t="s">
        <v>846</v>
      </c>
      <c r="E819" s="7">
        <v>2</v>
      </c>
      <c r="F819" s="7">
        <f t="shared" si="18"/>
        <v>3564</v>
      </c>
      <c r="G819" s="7">
        <v>1</v>
      </c>
      <c r="H819" s="7">
        <v>26</v>
      </c>
      <c r="I819" s="7">
        <v>15</v>
      </c>
      <c r="J819" s="7" t="s">
        <v>540</v>
      </c>
      <c r="K819" s="7" t="s">
        <v>552</v>
      </c>
    </row>
    <row r="820" customHeight="1" spans="3:11">
      <c r="C820" s="7">
        <v>2298</v>
      </c>
      <c r="D820" s="7" t="s">
        <v>847</v>
      </c>
      <c r="E820" s="7">
        <v>2</v>
      </c>
      <c r="F820" s="7">
        <f t="shared" si="18"/>
        <v>3576</v>
      </c>
      <c r="G820" s="7">
        <v>1</v>
      </c>
      <c r="H820" s="7">
        <v>27</v>
      </c>
      <c r="I820" s="7">
        <v>15</v>
      </c>
      <c r="J820" s="7" t="s">
        <v>540</v>
      </c>
      <c r="K820" s="7" t="s">
        <v>554</v>
      </c>
    </row>
    <row r="821" customHeight="1" spans="3:11">
      <c r="C821" s="7">
        <v>2299</v>
      </c>
      <c r="D821" s="7" t="s">
        <v>848</v>
      </c>
      <c r="E821" s="7">
        <v>2</v>
      </c>
      <c r="F821" s="7">
        <f t="shared" si="18"/>
        <v>3588</v>
      </c>
      <c r="G821" s="7">
        <v>1</v>
      </c>
      <c r="H821" s="7">
        <v>28</v>
      </c>
      <c r="I821" s="7">
        <v>15</v>
      </c>
      <c r="J821" s="7" t="s">
        <v>540</v>
      </c>
      <c r="K821" s="7" t="s">
        <v>556</v>
      </c>
    </row>
    <row r="822" customHeight="1" spans="3:11">
      <c r="C822" s="7">
        <v>2300</v>
      </c>
      <c r="D822" s="7" t="s">
        <v>849</v>
      </c>
      <c r="E822" s="7">
        <v>2</v>
      </c>
      <c r="F822" s="7">
        <f t="shared" si="18"/>
        <v>3600</v>
      </c>
      <c r="G822" s="7">
        <v>1</v>
      </c>
      <c r="H822" s="7">
        <v>33</v>
      </c>
      <c r="I822" s="7">
        <v>5</v>
      </c>
      <c r="J822" s="7" t="s">
        <v>540</v>
      </c>
      <c r="K822" s="7" t="s">
        <v>236</v>
      </c>
    </row>
    <row r="823" customHeight="1" spans="3:11">
      <c r="C823" s="7">
        <v>2301</v>
      </c>
      <c r="D823" s="7" t="s">
        <v>850</v>
      </c>
      <c r="E823" s="7">
        <v>2</v>
      </c>
      <c r="F823" s="7">
        <f t="shared" si="18"/>
        <v>3612</v>
      </c>
      <c r="G823" s="7">
        <v>1</v>
      </c>
      <c r="H823" s="7">
        <v>34</v>
      </c>
      <c r="I823" s="7">
        <v>5</v>
      </c>
      <c r="J823" s="7" t="s">
        <v>540</v>
      </c>
      <c r="K823" s="7" t="s">
        <v>238</v>
      </c>
    </row>
    <row r="824" customHeight="1" spans="3:11">
      <c r="C824" s="7">
        <v>2302</v>
      </c>
      <c r="D824" s="7" t="s">
        <v>851</v>
      </c>
      <c r="E824" s="7">
        <v>2</v>
      </c>
      <c r="F824" s="7">
        <f t="shared" si="18"/>
        <v>3624</v>
      </c>
      <c r="G824" s="7">
        <v>1</v>
      </c>
      <c r="H824" s="7">
        <v>35</v>
      </c>
      <c r="I824" s="7">
        <v>5</v>
      </c>
      <c r="J824" s="7" t="s">
        <v>540</v>
      </c>
      <c r="K824" s="7" t="s">
        <v>240</v>
      </c>
    </row>
    <row r="825" customHeight="1" spans="3:11">
      <c r="C825" s="7">
        <v>2303</v>
      </c>
      <c r="D825" s="7" t="s">
        <v>852</v>
      </c>
      <c r="E825" s="7">
        <v>2</v>
      </c>
      <c r="F825" s="7">
        <f t="shared" si="18"/>
        <v>3636</v>
      </c>
      <c r="G825" s="7">
        <v>1</v>
      </c>
      <c r="H825" s="7">
        <v>12</v>
      </c>
      <c r="I825" s="7">
        <v>2</v>
      </c>
      <c r="J825" s="7" t="s">
        <v>540</v>
      </c>
      <c r="K825" s="7" t="s">
        <v>760</v>
      </c>
    </row>
    <row r="826" customHeight="1" spans="3:11">
      <c r="C826" s="7">
        <v>2304</v>
      </c>
      <c r="D826" s="7" t="s">
        <v>853</v>
      </c>
      <c r="E826" s="7">
        <v>2</v>
      </c>
      <c r="F826" s="7">
        <f t="shared" si="18"/>
        <v>3648</v>
      </c>
      <c r="G826" s="7">
        <v>1</v>
      </c>
      <c r="H826" s="7">
        <v>12</v>
      </c>
      <c r="I826" s="7">
        <v>2</v>
      </c>
      <c r="J826" s="7" t="s">
        <v>540</v>
      </c>
      <c r="K826" s="7" t="s">
        <v>762</v>
      </c>
    </row>
    <row r="827" customHeight="1" spans="3:11">
      <c r="C827" s="7">
        <v>2305</v>
      </c>
      <c r="D827" s="7" t="s">
        <v>854</v>
      </c>
      <c r="E827" s="4">
        <v>2</v>
      </c>
      <c r="F827" s="4">
        <f t="shared" si="18"/>
        <v>3660</v>
      </c>
      <c r="G827" s="4">
        <v>1</v>
      </c>
      <c r="H827" s="4">
        <v>9</v>
      </c>
      <c r="I827" s="4">
        <v>2</v>
      </c>
      <c r="J827" s="4" t="s">
        <v>540</v>
      </c>
      <c r="K827" s="4" t="s">
        <v>764</v>
      </c>
    </row>
    <row r="828" customHeight="1" spans="3:11">
      <c r="C828" s="7">
        <v>2306</v>
      </c>
      <c r="D828" s="7" t="s">
        <v>855</v>
      </c>
      <c r="E828" s="7">
        <v>2</v>
      </c>
      <c r="F828" s="7">
        <f t="shared" si="18"/>
        <v>3672</v>
      </c>
      <c r="G828" s="7">
        <v>1</v>
      </c>
      <c r="H828" s="7">
        <v>14</v>
      </c>
      <c r="I828" s="7">
        <v>20</v>
      </c>
      <c r="J828" s="7" t="s">
        <v>540</v>
      </c>
      <c r="K828" s="7" t="s">
        <v>15</v>
      </c>
    </row>
    <row r="829" customHeight="1" spans="3:11">
      <c r="C829" s="7">
        <v>2307</v>
      </c>
      <c r="D829" s="7" t="s">
        <v>856</v>
      </c>
      <c r="E829" s="7">
        <v>2</v>
      </c>
      <c r="F829" s="7">
        <f t="shared" si="18"/>
        <v>3684</v>
      </c>
      <c r="G829" s="7">
        <v>1</v>
      </c>
      <c r="H829" s="7">
        <v>15</v>
      </c>
      <c r="I829" s="7">
        <v>20</v>
      </c>
      <c r="J829" s="7" t="s">
        <v>540</v>
      </c>
      <c r="K829" s="7" t="s">
        <v>19</v>
      </c>
    </row>
    <row r="830" customHeight="1" spans="3:11">
      <c r="C830" s="7">
        <v>2308</v>
      </c>
      <c r="D830" s="7" t="s">
        <v>857</v>
      </c>
      <c r="E830" s="7">
        <v>2</v>
      </c>
      <c r="F830" s="7">
        <f t="shared" si="18"/>
        <v>3696</v>
      </c>
      <c r="G830" s="7">
        <v>1</v>
      </c>
      <c r="H830" s="7">
        <v>16</v>
      </c>
      <c r="I830" s="7">
        <v>20</v>
      </c>
      <c r="J830" s="7" t="s">
        <v>540</v>
      </c>
      <c r="K830" s="7" t="s">
        <v>21</v>
      </c>
    </row>
    <row r="831" customHeight="1" spans="3:11">
      <c r="C831" s="7">
        <v>2309</v>
      </c>
      <c r="D831" s="7" t="s">
        <v>858</v>
      </c>
      <c r="E831" s="7">
        <v>2</v>
      </c>
      <c r="F831" s="7">
        <f t="shared" si="18"/>
        <v>3708</v>
      </c>
      <c r="G831" s="7">
        <v>1</v>
      </c>
      <c r="H831" s="7">
        <v>18</v>
      </c>
      <c r="I831" s="7">
        <v>9</v>
      </c>
      <c r="J831" s="7" t="s">
        <v>540</v>
      </c>
      <c r="K831" s="7" t="s">
        <v>544</v>
      </c>
    </row>
    <row r="832" customHeight="1" spans="3:11">
      <c r="C832" s="7">
        <v>2310</v>
      </c>
      <c r="D832" s="7" t="s">
        <v>859</v>
      </c>
      <c r="E832" s="7">
        <v>2</v>
      </c>
      <c r="F832" s="7">
        <f t="shared" si="18"/>
        <v>3720</v>
      </c>
      <c r="G832" s="7">
        <v>1</v>
      </c>
      <c r="H832" s="7">
        <v>20</v>
      </c>
      <c r="I832" s="7">
        <v>9</v>
      </c>
      <c r="J832" s="7" t="s">
        <v>540</v>
      </c>
      <c r="K832" s="7" t="s">
        <v>548</v>
      </c>
    </row>
    <row r="833" customHeight="1" spans="3:11">
      <c r="C833" s="7">
        <v>2311</v>
      </c>
      <c r="D833" s="7" t="s">
        <v>860</v>
      </c>
      <c r="E833" s="7">
        <v>2</v>
      </c>
      <c r="F833" s="7">
        <f t="shared" si="18"/>
        <v>3732</v>
      </c>
      <c r="G833" s="7">
        <v>1</v>
      </c>
      <c r="H833" s="7">
        <v>24</v>
      </c>
      <c r="I833" s="7">
        <v>9</v>
      </c>
      <c r="J833" s="7" t="s">
        <v>540</v>
      </c>
      <c r="K833" s="7" t="s">
        <v>550</v>
      </c>
    </row>
    <row r="834" customHeight="1" spans="3:11">
      <c r="C834" s="7">
        <v>2312</v>
      </c>
      <c r="D834" s="7" t="s">
        <v>861</v>
      </c>
      <c r="E834" s="7">
        <v>2</v>
      </c>
      <c r="F834" s="7">
        <f t="shared" si="18"/>
        <v>3744</v>
      </c>
      <c r="G834" s="7">
        <v>1</v>
      </c>
      <c r="H834" s="7">
        <v>26</v>
      </c>
      <c r="I834" s="7">
        <v>20</v>
      </c>
      <c r="J834" s="7" t="s">
        <v>540</v>
      </c>
      <c r="K834" s="7" t="s">
        <v>552</v>
      </c>
    </row>
    <row r="835" customHeight="1" spans="3:11">
      <c r="C835" s="7">
        <v>2313</v>
      </c>
      <c r="D835" s="7" t="s">
        <v>862</v>
      </c>
      <c r="E835" s="7">
        <v>2</v>
      </c>
      <c r="F835" s="7">
        <f t="shared" si="18"/>
        <v>3756</v>
      </c>
      <c r="G835" s="7">
        <v>1</v>
      </c>
      <c r="H835" s="7">
        <v>27</v>
      </c>
      <c r="I835" s="7">
        <v>20</v>
      </c>
      <c r="J835" s="7" t="s">
        <v>540</v>
      </c>
      <c r="K835" s="7" t="s">
        <v>554</v>
      </c>
    </row>
    <row r="836" customHeight="1" spans="3:11">
      <c r="C836" s="7">
        <v>2314</v>
      </c>
      <c r="D836" s="7" t="s">
        <v>863</v>
      </c>
      <c r="E836" s="7">
        <v>2</v>
      </c>
      <c r="F836" s="7">
        <f t="shared" si="18"/>
        <v>3768</v>
      </c>
      <c r="G836" s="7">
        <v>1</v>
      </c>
      <c r="H836" s="7">
        <v>28</v>
      </c>
      <c r="I836" s="7">
        <v>20</v>
      </c>
      <c r="J836" s="7" t="s">
        <v>540</v>
      </c>
      <c r="K836" s="7" t="s">
        <v>556</v>
      </c>
    </row>
    <row r="837" customHeight="1" spans="3:11">
      <c r="C837" s="7">
        <v>2315</v>
      </c>
      <c r="D837" s="7" t="s">
        <v>864</v>
      </c>
      <c r="E837" s="7">
        <v>2</v>
      </c>
      <c r="F837" s="7">
        <f t="shared" si="18"/>
        <v>3780</v>
      </c>
      <c r="G837" s="7">
        <v>1</v>
      </c>
      <c r="H837" s="7">
        <v>33</v>
      </c>
      <c r="I837" s="7">
        <v>6</v>
      </c>
      <c r="J837" s="7" t="s">
        <v>540</v>
      </c>
      <c r="K837" s="7" t="s">
        <v>236</v>
      </c>
    </row>
    <row r="838" customHeight="1" spans="3:11">
      <c r="C838" s="7">
        <v>2316</v>
      </c>
      <c r="D838" s="7" t="s">
        <v>865</v>
      </c>
      <c r="E838" s="7">
        <v>2</v>
      </c>
      <c r="F838" s="7">
        <f t="shared" si="18"/>
        <v>3792</v>
      </c>
      <c r="G838" s="7">
        <v>1</v>
      </c>
      <c r="H838" s="7">
        <v>34</v>
      </c>
      <c r="I838" s="7">
        <v>6</v>
      </c>
      <c r="J838" s="7" t="s">
        <v>540</v>
      </c>
      <c r="K838" s="7" t="s">
        <v>238</v>
      </c>
    </row>
    <row r="839" customHeight="1" spans="3:11">
      <c r="C839" s="7">
        <v>2317</v>
      </c>
      <c r="D839" s="7" t="s">
        <v>866</v>
      </c>
      <c r="E839" s="7">
        <v>2</v>
      </c>
      <c r="F839" s="7">
        <f t="shared" si="18"/>
        <v>3804</v>
      </c>
      <c r="G839" s="7">
        <v>1</v>
      </c>
      <c r="H839" s="7">
        <v>35</v>
      </c>
      <c r="I839" s="7">
        <v>6</v>
      </c>
      <c r="J839" s="7" t="s">
        <v>540</v>
      </c>
      <c r="K839" s="7" t="s">
        <v>240</v>
      </c>
    </row>
    <row r="840" customHeight="1" spans="3:11">
      <c r="C840" s="7">
        <v>2318</v>
      </c>
      <c r="D840" s="7" t="s">
        <v>867</v>
      </c>
      <c r="E840" s="7">
        <v>2</v>
      </c>
      <c r="F840" s="7">
        <f t="shared" si="18"/>
        <v>3816</v>
      </c>
      <c r="G840" s="7">
        <v>1</v>
      </c>
      <c r="H840" s="7">
        <v>12</v>
      </c>
      <c r="I840" s="7">
        <v>2</v>
      </c>
      <c r="J840" s="7" t="s">
        <v>540</v>
      </c>
      <c r="K840" s="7" t="s">
        <v>760</v>
      </c>
    </row>
    <row r="841" customHeight="1" spans="3:11">
      <c r="C841" s="7">
        <v>2319</v>
      </c>
      <c r="D841" s="7" t="s">
        <v>868</v>
      </c>
      <c r="E841" s="7">
        <v>2</v>
      </c>
      <c r="F841" s="7">
        <f t="shared" si="18"/>
        <v>3828</v>
      </c>
      <c r="G841" s="7">
        <v>1</v>
      </c>
      <c r="H841" s="7">
        <v>12</v>
      </c>
      <c r="I841" s="7">
        <v>2</v>
      </c>
      <c r="J841" s="7" t="s">
        <v>540</v>
      </c>
      <c r="K841" s="7" t="s">
        <v>762</v>
      </c>
    </row>
    <row r="842" customHeight="1" spans="3:11">
      <c r="C842" s="7">
        <v>2320</v>
      </c>
      <c r="D842" s="7" t="s">
        <v>869</v>
      </c>
      <c r="E842" s="4">
        <v>2</v>
      </c>
      <c r="F842" s="4">
        <f t="shared" si="18"/>
        <v>3840</v>
      </c>
      <c r="G842" s="4">
        <v>1</v>
      </c>
      <c r="H842" s="4">
        <v>9</v>
      </c>
      <c r="I842" s="4">
        <v>2</v>
      </c>
      <c r="J842" s="4" t="s">
        <v>540</v>
      </c>
      <c r="K842" s="4" t="s">
        <v>764</v>
      </c>
    </row>
    <row r="843" customHeight="1" spans="3:11">
      <c r="C843" s="7">
        <v>2321</v>
      </c>
      <c r="D843" s="7" t="s">
        <v>870</v>
      </c>
      <c r="E843" s="7">
        <v>2</v>
      </c>
      <c r="F843" s="7">
        <f t="shared" si="18"/>
        <v>3852</v>
      </c>
      <c r="G843" s="7">
        <v>1</v>
      </c>
      <c r="H843" s="7">
        <v>14</v>
      </c>
      <c r="I843" s="7">
        <v>30</v>
      </c>
      <c r="J843" s="7" t="s">
        <v>540</v>
      </c>
      <c r="K843" s="7" t="s">
        <v>15</v>
      </c>
    </row>
    <row r="844" customHeight="1" spans="3:11">
      <c r="C844" s="7">
        <v>2322</v>
      </c>
      <c r="D844" s="7" t="s">
        <v>871</v>
      </c>
      <c r="E844" s="7">
        <v>2</v>
      </c>
      <c r="F844" s="7">
        <f t="shared" si="18"/>
        <v>3864</v>
      </c>
      <c r="G844" s="7">
        <v>1</v>
      </c>
      <c r="H844" s="7">
        <v>15</v>
      </c>
      <c r="I844" s="7">
        <v>30</v>
      </c>
      <c r="J844" s="7" t="s">
        <v>540</v>
      </c>
      <c r="K844" s="7" t="s">
        <v>19</v>
      </c>
    </row>
    <row r="845" customHeight="1" spans="3:11">
      <c r="C845" s="7">
        <v>2323</v>
      </c>
      <c r="D845" s="7" t="s">
        <v>872</v>
      </c>
      <c r="E845" s="7">
        <v>2</v>
      </c>
      <c r="F845" s="7">
        <f t="shared" si="18"/>
        <v>3876</v>
      </c>
      <c r="G845" s="7">
        <v>1</v>
      </c>
      <c r="H845" s="7">
        <v>16</v>
      </c>
      <c r="I845" s="7">
        <v>30</v>
      </c>
      <c r="J845" s="7" t="s">
        <v>540</v>
      </c>
      <c r="K845" s="7" t="s">
        <v>21</v>
      </c>
    </row>
    <row r="846" customHeight="1" spans="3:11">
      <c r="C846" s="7">
        <v>2324</v>
      </c>
      <c r="D846" s="7" t="s">
        <v>873</v>
      </c>
      <c r="E846" s="7">
        <v>2</v>
      </c>
      <c r="F846" s="7">
        <f t="shared" si="18"/>
        <v>3888</v>
      </c>
      <c r="G846" s="7">
        <v>1</v>
      </c>
      <c r="H846" s="7">
        <v>18</v>
      </c>
      <c r="I846" s="7">
        <v>12</v>
      </c>
      <c r="J846" s="7" t="s">
        <v>540</v>
      </c>
      <c r="K846" s="7" t="s">
        <v>544</v>
      </c>
    </row>
    <row r="847" customHeight="1" spans="3:11">
      <c r="C847" s="7">
        <v>2325</v>
      </c>
      <c r="D847" s="7" t="s">
        <v>874</v>
      </c>
      <c r="E847" s="7">
        <v>2</v>
      </c>
      <c r="F847" s="7">
        <f t="shared" si="18"/>
        <v>3900</v>
      </c>
      <c r="G847" s="7">
        <v>1</v>
      </c>
      <c r="H847" s="7">
        <v>20</v>
      </c>
      <c r="I847" s="7">
        <v>12</v>
      </c>
      <c r="J847" s="7" t="s">
        <v>540</v>
      </c>
      <c r="K847" s="7" t="s">
        <v>548</v>
      </c>
    </row>
    <row r="848" customHeight="1" spans="3:11">
      <c r="C848" s="7">
        <v>2326</v>
      </c>
      <c r="D848" s="7" t="s">
        <v>875</v>
      </c>
      <c r="E848" s="7">
        <v>2</v>
      </c>
      <c r="F848" s="7">
        <f t="shared" si="18"/>
        <v>3912</v>
      </c>
      <c r="G848" s="7">
        <v>1</v>
      </c>
      <c r="H848" s="7">
        <v>24</v>
      </c>
      <c r="I848" s="7">
        <v>12</v>
      </c>
      <c r="J848" s="7" t="s">
        <v>540</v>
      </c>
      <c r="K848" s="7" t="s">
        <v>550</v>
      </c>
    </row>
    <row r="849" customHeight="1" spans="3:11">
      <c r="C849" s="7">
        <v>2327</v>
      </c>
      <c r="D849" s="7" t="s">
        <v>876</v>
      </c>
      <c r="E849" s="7">
        <v>2</v>
      </c>
      <c r="F849" s="7">
        <f t="shared" si="18"/>
        <v>3924</v>
      </c>
      <c r="G849" s="7">
        <v>1</v>
      </c>
      <c r="H849" s="7">
        <v>26</v>
      </c>
      <c r="I849" s="7">
        <v>30</v>
      </c>
      <c r="J849" s="7" t="s">
        <v>540</v>
      </c>
      <c r="K849" s="7" t="s">
        <v>552</v>
      </c>
    </row>
    <row r="850" customHeight="1" spans="3:11">
      <c r="C850" s="7">
        <v>2328</v>
      </c>
      <c r="D850" s="7" t="s">
        <v>877</v>
      </c>
      <c r="E850" s="7">
        <v>2</v>
      </c>
      <c r="F850" s="7">
        <f t="shared" si="18"/>
        <v>3936</v>
      </c>
      <c r="G850" s="7">
        <v>1</v>
      </c>
      <c r="H850" s="7">
        <v>27</v>
      </c>
      <c r="I850" s="7">
        <v>30</v>
      </c>
      <c r="J850" s="7" t="s">
        <v>540</v>
      </c>
      <c r="K850" s="7" t="s">
        <v>554</v>
      </c>
    </row>
    <row r="851" customHeight="1" spans="3:11">
      <c r="C851" s="7">
        <v>2329</v>
      </c>
      <c r="D851" s="7" t="s">
        <v>878</v>
      </c>
      <c r="E851" s="7">
        <v>2</v>
      </c>
      <c r="F851" s="7">
        <f t="shared" si="18"/>
        <v>3948</v>
      </c>
      <c r="G851" s="7">
        <v>1</v>
      </c>
      <c r="H851" s="7">
        <v>28</v>
      </c>
      <c r="I851" s="7">
        <v>30</v>
      </c>
      <c r="J851" s="7" t="s">
        <v>540</v>
      </c>
      <c r="K851" s="7" t="s">
        <v>556</v>
      </c>
    </row>
    <row r="852" customHeight="1" spans="3:11">
      <c r="C852" s="7">
        <v>2330</v>
      </c>
      <c r="D852" s="7" t="s">
        <v>879</v>
      </c>
      <c r="E852" s="7">
        <v>2</v>
      </c>
      <c r="F852" s="7">
        <f t="shared" si="18"/>
        <v>3960</v>
      </c>
      <c r="G852" s="7">
        <v>1</v>
      </c>
      <c r="H852" s="7">
        <v>33</v>
      </c>
      <c r="I852" s="7">
        <v>9</v>
      </c>
      <c r="J852" s="7" t="s">
        <v>540</v>
      </c>
      <c r="K852" s="7" t="s">
        <v>236</v>
      </c>
    </row>
    <row r="853" customHeight="1" spans="3:11">
      <c r="C853" s="7">
        <v>2331</v>
      </c>
      <c r="D853" s="7" t="s">
        <v>880</v>
      </c>
      <c r="E853" s="7">
        <v>2</v>
      </c>
      <c r="F853" s="7">
        <f t="shared" si="18"/>
        <v>3972</v>
      </c>
      <c r="G853" s="7">
        <v>1</v>
      </c>
      <c r="H853" s="7">
        <v>34</v>
      </c>
      <c r="I853" s="7">
        <v>9</v>
      </c>
      <c r="J853" s="7" t="s">
        <v>540</v>
      </c>
      <c r="K853" s="7" t="s">
        <v>238</v>
      </c>
    </row>
    <row r="854" customHeight="1" spans="3:11">
      <c r="C854" s="7">
        <v>2332</v>
      </c>
      <c r="D854" s="7" t="s">
        <v>881</v>
      </c>
      <c r="E854" s="7">
        <v>2</v>
      </c>
      <c r="F854" s="7">
        <f t="shared" si="18"/>
        <v>3984</v>
      </c>
      <c r="G854" s="7">
        <v>1</v>
      </c>
      <c r="H854" s="7">
        <v>35</v>
      </c>
      <c r="I854" s="7">
        <v>9</v>
      </c>
      <c r="J854" s="7" t="s">
        <v>540</v>
      </c>
      <c r="K854" s="7" t="s">
        <v>240</v>
      </c>
    </row>
    <row r="855" customHeight="1" spans="3:11">
      <c r="C855" s="7">
        <v>2333</v>
      </c>
      <c r="D855" s="7" t="s">
        <v>882</v>
      </c>
      <c r="E855" s="7">
        <v>2</v>
      </c>
      <c r="F855" s="7">
        <f t="shared" si="18"/>
        <v>3996</v>
      </c>
      <c r="G855" s="7">
        <v>1</v>
      </c>
      <c r="H855" s="7">
        <v>12</v>
      </c>
      <c r="I855" s="7">
        <v>3</v>
      </c>
      <c r="J855" s="7" t="s">
        <v>540</v>
      </c>
      <c r="K855" s="7" t="s">
        <v>760</v>
      </c>
    </row>
    <row r="856" customHeight="1" spans="3:11">
      <c r="C856" s="7">
        <v>2334</v>
      </c>
      <c r="D856" s="7" t="s">
        <v>883</v>
      </c>
      <c r="E856" s="7">
        <v>2</v>
      </c>
      <c r="F856" s="7">
        <f t="shared" si="18"/>
        <v>4008</v>
      </c>
      <c r="G856" s="7">
        <v>1</v>
      </c>
      <c r="H856" s="7">
        <v>12</v>
      </c>
      <c r="I856" s="7">
        <v>3</v>
      </c>
      <c r="J856" s="7" t="s">
        <v>540</v>
      </c>
      <c r="K856" s="7" t="s">
        <v>762</v>
      </c>
    </row>
    <row r="857" customHeight="1" spans="3:11">
      <c r="C857" s="7">
        <v>2335</v>
      </c>
      <c r="D857" s="7" t="s">
        <v>884</v>
      </c>
      <c r="E857" s="4">
        <v>2</v>
      </c>
      <c r="F857" s="4">
        <f t="shared" si="18"/>
        <v>4020</v>
      </c>
      <c r="G857" s="4">
        <v>1</v>
      </c>
      <c r="H857" s="4">
        <v>9</v>
      </c>
      <c r="I857" s="4">
        <v>3</v>
      </c>
      <c r="J857" s="4" t="s">
        <v>540</v>
      </c>
      <c r="K857" s="4" t="s">
        <v>764</v>
      </c>
    </row>
    <row r="858" customHeight="1" spans="3:11">
      <c r="C858" s="7">
        <v>2336</v>
      </c>
      <c r="D858" s="7" t="s">
        <v>885</v>
      </c>
      <c r="E858" s="7">
        <v>2</v>
      </c>
      <c r="F858" s="7">
        <f t="shared" si="18"/>
        <v>4032</v>
      </c>
      <c r="G858" s="7">
        <v>1</v>
      </c>
      <c r="H858" s="7">
        <v>14</v>
      </c>
      <c r="I858" s="7">
        <v>30</v>
      </c>
      <c r="J858" s="7" t="s">
        <v>540</v>
      </c>
      <c r="K858" s="7" t="s">
        <v>15</v>
      </c>
    </row>
    <row r="859" customHeight="1" spans="3:11">
      <c r="C859" s="7">
        <v>2337</v>
      </c>
      <c r="D859" s="7" t="s">
        <v>886</v>
      </c>
      <c r="E859" s="7">
        <v>2</v>
      </c>
      <c r="F859" s="7">
        <f t="shared" si="18"/>
        <v>4044</v>
      </c>
      <c r="G859" s="7">
        <v>1</v>
      </c>
      <c r="H859" s="7">
        <v>15</v>
      </c>
      <c r="I859" s="7">
        <v>30</v>
      </c>
      <c r="J859" s="7" t="s">
        <v>540</v>
      </c>
      <c r="K859" s="7" t="s">
        <v>19</v>
      </c>
    </row>
    <row r="860" customHeight="1" spans="3:11">
      <c r="C860" s="7">
        <v>2338</v>
      </c>
      <c r="D860" s="7" t="s">
        <v>887</v>
      </c>
      <c r="E860" s="7">
        <v>2</v>
      </c>
      <c r="F860" s="7">
        <f t="shared" si="18"/>
        <v>4056</v>
      </c>
      <c r="G860" s="7">
        <v>1</v>
      </c>
      <c r="H860" s="7">
        <v>16</v>
      </c>
      <c r="I860" s="7">
        <v>30</v>
      </c>
      <c r="J860" s="7" t="s">
        <v>540</v>
      </c>
      <c r="K860" s="7" t="s">
        <v>21</v>
      </c>
    </row>
    <row r="861" customHeight="1" spans="3:11">
      <c r="C861" s="7">
        <v>2339</v>
      </c>
      <c r="D861" s="7" t="s">
        <v>888</v>
      </c>
      <c r="E861" s="7">
        <v>2</v>
      </c>
      <c r="F861" s="7">
        <f t="shared" si="18"/>
        <v>4068</v>
      </c>
      <c r="G861" s="7">
        <v>1</v>
      </c>
      <c r="H861" s="7">
        <v>18</v>
      </c>
      <c r="I861" s="7">
        <v>12</v>
      </c>
      <c r="J861" s="7" t="s">
        <v>540</v>
      </c>
      <c r="K861" s="7" t="s">
        <v>544</v>
      </c>
    </row>
    <row r="862" customHeight="1" spans="3:11">
      <c r="C862" s="7">
        <v>2340</v>
      </c>
      <c r="D862" s="7" t="s">
        <v>889</v>
      </c>
      <c r="E862" s="7">
        <v>2</v>
      </c>
      <c r="F862" s="7">
        <f t="shared" si="18"/>
        <v>4080</v>
      </c>
      <c r="G862" s="7">
        <v>1</v>
      </c>
      <c r="H862" s="7">
        <v>20</v>
      </c>
      <c r="I862" s="7">
        <v>12</v>
      </c>
      <c r="J862" s="7" t="s">
        <v>540</v>
      </c>
      <c r="K862" s="7" t="s">
        <v>548</v>
      </c>
    </row>
    <row r="863" customHeight="1" spans="3:11">
      <c r="C863" s="7">
        <v>2341</v>
      </c>
      <c r="D863" s="7" t="s">
        <v>890</v>
      </c>
      <c r="E863" s="7">
        <v>2</v>
      </c>
      <c r="F863" s="7">
        <f t="shared" si="18"/>
        <v>4092</v>
      </c>
      <c r="G863" s="7">
        <v>1</v>
      </c>
      <c r="H863" s="7">
        <v>24</v>
      </c>
      <c r="I863" s="7">
        <v>12</v>
      </c>
      <c r="J863" s="7" t="s">
        <v>540</v>
      </c>
      <c r="K863" s="7" t="s">
        <v>550</v>
      </c>
    </row>
    <row r="864" customHeight="1" spans="3:11">
      <c r="C864" s="7">
        <v>2342</v>
      </c>
      <c r="D864" s="7" t="s">
        <v>891</v>
      </c>
      <c r="E864" s="7">
        <v>2</v>
      </c>
      <c r="F864" s="7">
        <f t="shared" si="18"/>
        <v>4104</v>
      </c>
      <c r="G864" s="7">
        <v>1</v>
      </c>
      <c r="H864" s="7">
        <v>26</v>
      </c>
      <c r="I864" s="7">
        <v>30</v>
      </c>
      <c r="J864" s="7" t="s">
        <v>540</v>
      </c>
      <c r="K864" s="7" t="s">
        <v>552</v>
      </c>
    </row>
    <row r="865" customHeight="1" spans="3:11">
      <c r="C865" s="7">
        <v>2343</v>
      </c>
      <c r="D865" s="7" t="s">
        <v>892</v>
      </c>
      <c r="E865" s="7">
        <v>2</v>
      </c>
      <c r="F865" s="7">
        <f t="shared" si="18"/>
        <v>4116</v>
      </c>
      <c r="G865" s="7">
        <v>1</v>
      </c>
      <c r="H865" s="7">
        <v>27</v>
      </c>
      <c r="I865" s="7">
        <v>30</v>
      </c>
      <c r="J865" s="7" t="s">
        <v>540</v>
      </c>
      <c r="K865" s="7" t="s">
        <v>554</v>
      </c>
    </row>
    <row r="866" customHeight="1" spans="3:11">
      <c r="C866" s="7">
        <v>2344</v>
      </c>
      <c r="D866" s="7" t="s">
        <v>893</v>
      </c>
      <c r="E866" s="7">
        <v>2</v>
      </c>
      <c r="F866" s="7">
        <f t="shared" si="18"/>
        <v>4128</v>
      </c>
      <c r="G866" s="7">
        <v>1</v>
      </c>
      <c r="H866" s="7">
        <v>28</v>
      </c>
      <c r="I866" s="7">
        <v>30</v>
      </c>
      <c r="J866" s="7" t="s">
        <v>540</v>
      </c>
      <c r="K866" s="7" t="s">
        <v>556</v>
      </c>
    </row>
    <row r="867" customHeight="1" spans="3:11">
      <c r="C867" s="7">
        <v>2345</v>
      </c>
      <c r="D867" s="7" t="s">
        <v>894</v>
      </c>
      <c r="E867" s="7">
        <v>2</v>
      </c>
      <c r="F867" s="7">
        <f t="shared" si="18"/>
        <v>4140</v>
      </c>
      <c r="G867" s="7">
        <v>1</v>
      </c>
      <c r="H867" s="7">
        <v>33</v>
      </c>
      <c r="I867" s="7">
        <v>9</v>
      </c>
      <c r="J867" s="7" t="s">
        <v>540</v>
      </c>
      <c r="K867" s="7" t="s">
        <v>236</v>
      </c>
    </row>
    <row r="868" customHeight="1" spans="3:11">
      <c r="C868" s="7">
        <v>2346</v>
      </c>
      <c r="D868" s="7" t="s">
        <v>895</v>
      </c>
      <c r="E868" s="7">
        <v>2</v>
      </c>
      <c r="F868" s="7">
        <f t="shared" si="18"/>
        <v>4152</v>
      </c>
      <c r="G868" s="7">
        <v>1</v>
      </c>
      <c r="H868" s="7">
        <v>34</v>
      </c>
      <c r="I868" s="7">
        <v>9</v>
      </c>
      <c r="J868" s="7" t="s">
        <v>540</v>
      </c>
      <c r="K868" s="7" t="s">
        <v>238</v>
      </c>
    </row>
    <row r="869" customHeight="1" spans="3:11">
      <c r="C869" s="7">
        <v>2347</v>
      </c>
      <c r="D869" s="7" t="s">
        <v>896</v>
      </c>
      <c r="E869" s="7">
        <v>2</v>
      </c>
      <c r="F869" s="7">
        <f t="shared" si="18"/>
        <v>4164</v>
      </c>
      <c r="G869" s="7">
        <v>1</v>
      </c>
      <c r="H869" s="7">
        <v>35</v>
      </c>
      <c r="I869" s="7">
        <v>9</v>
      </c>
      <c r="J869" s="7" t="s">
        <v>540</v>
      </c>
      <c r="K869" s="7" t="s">
        <v>240</v>
      </c>
    </row>
    <row r="870" customHeight="1" spans="3:11">
      <c r="C870" s="7">
        <v>2348</v>
      </c>
      <c r="D870" s="7" t="s">
        <v>897</v>
      </c>
      <c r="E870" s="7">
        <v>2</v>
      </c>
      <c r="F870" s="7">
        <f t="shared" ref="F870:F933" si="19">(C870-2000)*12</f>
        <v>4176</v>
      </c>
      <c r="G870" s="7">
        <v>1</v>
      </c>
      <c r="H870" s="7">
        <v>12</v>
      </c>
      <c r="I870" s="7">
        <v>3</v>
      </c>
      <c r="J870" s="7" t="s">
        <v>540</v>
      </c>
      <c r="K870" s="7" t="s">
        <v>760</v>
      </c>
    </row>
    <row r="871" customHeight="1" spans="3:11">
      <c r="C871" s="7">
        <v>2349</v>
      </c>
      <c r="D871" s="7" t="s">
        <v>898</v>
      </c>
      <c r="E871" s="7">
        <v>2</v>
      </c>
      <c r="F871" s="7">
        <f t="shared" si="19"/>
        <v>4188</v>
      </c>
      <c r="G871" s="7">
        <v>1</v>
      </c>
      <c r="H871" s="7">
        <v>12</v>
      </c>
      <c r="I871" s="7">
        <v>3</v>
      </c>
      <c r="J871" s="7" t="s">
        <v>540</v>
      </c>
      <c r="K871" s="7" t="s">
        <v>762</v>
      </c>
    </row>
    <row r="872" customHeight="1" spans="3:11">
      <c r="C872" s="7">
        <v>2350</v>
      </c>
      <c r="D872" s="7" t="s">
        <v>899</v>
      </c>
      <c r="E872" s="4">
        <v>2</v>
      </c>
      <c r="F872" s="4">
        <f t="shared" si="19"/>
        <v>4200</v>
      </c>
      <c r="G872" s="4">
        <v>1</v>
      </c>
      <c r="H872" s="4">
        <v>9</v>
      </c>
      <c r="I872" s="4">
        <v>3</v>
      </c>
      <c r="J872" s="4" t="s">
        <v>540</v>
      </c>
      <c r="K872" s="4" t="s">
        <v>764</v>
      </c>
    </row>
    <row r="873" customHeight="1" spans="3:11">
      <c r="C873" s="7">
        <v>2351</v>
      </c>
      <c r="D873" s="7" t="s">
        <v>900</v>
      </c>
      <c r="E873" s="7">
        <v>2</v>
      </c>
      <c r="F873" s="7">
        <f t="shared" si="19"/>
        <v>4212</v>
      </c>
      <c r="G873" s="7">
        <v>1</v>
      </c>
      <c r="H873" s="7">
        <v>14</v>
      </c>
      <c r="I873" s="7">
        <v>30</v>
      </c>
      <c r="J873" s="7" t="s">
        <v>540</v>
      </c>
      <c r="K873" s="7" t="s">
        <v>15</v>
      </c>
    </row>
    <row r="874" customHeight="1" spans="3:11">
      <c r="C874" s="7">
        <v>2352</v>
      </c>
      <c r="D874" s="7" t="s">
        <v>901</v>
      </c>
      <c r="E874" s="7">
        <v>2</v>
      </c>
      <c r="F874" s="7">
        <f t="shared" si="19"/>
        <v>4224</v>
      </c>
      <c r="G874" s="7">
        <v>1</v>
      </c>
      <c r="H874" s="7">
        <v>15</v>
      </c>
      <c r="I874" s="7">
        <v>30</v>
      </c>
      <c r="J874" s="7" t="s">
        <v>540</v>
      </c>
      <c r="K874" s="7" t="s">
        <v>19</v>
      </c>
    </row>
    <row r="875" customHeight="1" spans="3:11">
      <c r="C875" s="7">
        <v>2353</v>
      </c>
      <c r="D875" s="7" t="s">
        <v>902</v>
      </c>
      <c r="E875" s="7">
        <v>2</v>
      </c>
      <c r="F875" s="7">
        <f t="shared" si="19"/>
        <v>4236</v>
      </c>
      <c r="G875" s="7">
        <v>1</v>
      </c>
      <c r="H875" s="7">
        <v>16</v>
      </c>
      <c r="I875" s="7">
        <v>30</v>
      </c>
      <c r="J875" s="7" t="s">
        <v>540</v>
      </c>
      <c r="K875" s="7" t="s">
        <v>21</v>
      </c>
    </row>
    <row r="876" customHeight="1" spans="3:11">
      <c r="C876" s="7">
        <v>2354</v>
      </c>
      <c r="D876" s="7" t="s">
        <v>903</v>
      </c>
      <c r="E876" s="7">
        <v>2</v>
      </c>
      <c r="F876" s="7">
        <f t="shared" si="19"/>
        <v>4248</v>
      </c>
      <c r="G876" s="7">
        <v>1</v>
      </c>
      <c r="H876" s="7">
        <v>18</v>
      </c>
      <c r="I876" s="7">
        <v>12</v>
      </c>
      <c r="J876" s="7" t="s">
        <v>540</v>
      </c>
      <c r="K876" s="7" t="s">
        <v>544</v>
      </c>
    </row>
    <row r="877" customHeight="1" spans="3:11">
      <c r="C877" s="7">
        <v>2355</v>
      </c>
      <c r="D877" s="7" t="s">
        <v>904</v>
      </c>
      <c r="E877" s="7">
        <v>2</v>
      </c>
      <c r="F877" s="7">
        <f t="shared" si="19"/>
        <v>4260</v>
      </c>
      <c r="G877" s="7">
        <v>1</v>
      </c>
      <c r="H877" s="7">
        <v>20</v>
      </c>
      <c r="I877" s="7">
        <v>12</v>
      </c>
      <c r="J877" s="7" t="s">
        <v>540</v>
      </c>
      <c r="K877" s="7" t="s">
        <v>548</v>
      </c>
    </row>
    <row r="878" customHeight="1" spans="3:11">
      <c r="C878" s="7">
        <v>2356</v>
      </c>
      <c r="D878" s="7" t="s">
        <v>905</v>
      </c>
      <c r="E878" s="7">
        <v>2</v>
      </c>
      <c r="F878" s="7">
        <f t="shared" si="19"/>
        <v>4272</v>
      </c>
      <c r="G878" s="7">
        <v>1</v>
      </c>
      <c r="H878" s="7">
        <v>24</v>
      </c>
      <c r="I878" s="7">
        <v>12</v>
      </c>
      <c r="J878" s="7" t="s">
        <v>540</v>
      </c>
      <c r="K878" s="7" t="s">
        <v>550</v>
      </c>
    </row>
    <row r="879" customHeight="1" spans="3:11">
      <c r="C879" s="7">
        <v>2357</v>
      </c>
      <c r="D879" s="7" t="s">
        <v>906</v>
      </c>
      <c r="E879" s="7">
        <v>2</v>
      </c>
      <c r="F879" s="7">
        <f t="shared" si="19"/>
        <v>4284</v>
      </c>
      <c r="G879" s="7">
        <v>1</v>
      </c>
      <c r="H879" s="7">
        <v>26</v>
      </c>
      <c r="I879" s="7">
        <v>30</v>
      </c>
      <c r="J879" s="7" t="s">
        <v>540</v>
      </c>
      <c r="K879" s="7" t="s">
        <v>552</v>
      </c>
    </row>
    <row r="880" customHeight="1" spans="3:11">
      <c r="C880" s="7">
        <v>2358</v>
      </c>
      <c r="D880" s="7" t="s">
        <v>907</v>
      </c>
      <c r="E880" s="7">
        <v>2</v>
      </c>
      <c r="F880" s="7">
        <f t="shared" si="19"/>
        <v>4296</v>
      </c>
      <c r="G880" s="7">
        <v>1</v>
      </c>
      <c r="H880" s="7">
        <v>27</v>
      </c>
      <c r="I880" s="7">
        <v>30</v>
      </c>
      <c r="J880" s="7" t="s">
        <v>540</v>
      </c>
      <c r="K880" s="7" t="s">
        <v>554</v>
      </c>
    </row>
    <row r="881" customHeight="1" spans="3:11">
      <c r="C881" s="7">
        <v>2359</v>
      </c>
      <c r="D881" s="7" t="s">
        <v>908</v>
      </c>
      <c r="E881" s="7">
        <v>2</v>
      </c>
      <c r="F881" s="7">
        <f t="shared" si="19"/>
        <v>4308</v>
      </c>
      <c r="G881" s="7">
        <v>1</v>
      </c>
      <c r="H881" s="7">
        <v>28</v>
      </c>
      <c r="I881" s="7">
        <v>30</v>
      </c>
      <c r="J881" s="7" t="s">
        <v>540</v>
      </c>
      <c r="K881" s="7" t="s">
        <v>556</v>
      </c>
    </row>
    <row r="882" customHeight="1" spans="3:11">
      <c r="C882" s="7">
        <v>2360</v>
      </c>
      <c r="D882" s="7" t="s">
        <v>909</v>
      </c>
      <c r="E882" s="7">
        <v>2</v>
      </c>
      <c r="F882" s="7">
        <f t="shared" si="19"/>
        <v>4320</v>
      </c>
      <c r="G882" s="7">
        <v>1</v>
      </c>
      <c r="H882" s="7">
        <v>33</v>
      </c>
      <c r="I882" s="7">
        <v>9</v>
      </c>
      <c r="J882" s="7" t="s">
        <v>540</v>
      </c>
      <c r="K882" s="7" t="s">
        <v>236</v>
      </c>
    </row>
    <row r="883" customHeight="1" spans="3:11">
      <c r="C883" s="7">
        <v>2361</v>
      </c>
      <c r="D883" s="7" t="s">
        <v>910</v>
      </c>
      <c r="E883" s="7">
        <v>2</v>
      </c>
      <c r="F883" s="7">
        <f t="shared" si="19"/>
        <v>4332</v>
      </c>
      <c r="G883" s="7">
        <v>1</v>
      </c>
      <c r="H883" s="7">
        <v>34</v>
      </c>
      <c r="I883" s="7">
        <v>9</v>
      </c>
      <c r="J883" s="7" t="s">
        <v>540</v>
      </c>
      <c r="K883" s="7" t="s">
        <v>238</v>
      </c>
    </row>
    <row r="884" customHeight="1" spans="3:11">
      <c r="C884" s="7">
        <v>2362</v>
      </c>
      <c r="D884" s="7" t="s">
        <v>911</v>
      </c>
      <c r="E884" s="7">
        <v>2</v>
      </c>
      <c r="F884" s="7">
        <f t="shared" si="19"/>
        <v>4344</v>
      </c>
      <c r="G884" s="7">
        <v>1</v>
      </c>
      <c r="H884" s="7">
        <v>35</v>
      </c>
      <c r="I884" s="7">
        <v>9</v>
      </c>
      <c r="J884" s="7" t="s">
        <v>540</v>
      </c>
      <c r="K884" s="7" t="s">
        <v>240</v>
      </c>
    </row>
    <row r="885" customHeight="1" spans="3:11">
      <c r="C885" s="7">
        <v>2363</v>
      </c>
      <c r="D885" s="7" t="s">
        <v>912</v>
      </c>
      <c r="E885" s="7">
        <v>2</v>
      </c>
      <c r="F885" s="7">
        <f t="shared" si="19"/>
        <v>4356</v>
      </c>
      <c r="G885" s="7">
        <v>1</v>
      </c>
      <c r="H885" s="7">
        <v>12</v>
      </c>
      <c r="I885" s="7">
        <v>3</v>
      </c>
      <c r="J885" s="7" t="s">
        <v>540</v>
      </c>
      <c r="K885" s="7" t="s">
        <v>760</v>
      </c>
    </row>
    <row r="886" customHeight="1" spans="3:11">
      <c r="C886" s="7">
        <v>2364</v>
      </c>
      <c r="D886" s="7" t="s">
        <v>913</v>
      </c>
      <c r="E886" s="7">
        <v>2</v>
      </c>
      <c r="F886" s="7">
        <f t="shared" si="19"/>
        <v>4368</v>
      </c>
      <c r="G886" s="7">
        <v>1</v>
      </c>
      <c r="H886" s="7">
        <v>12</v>
      </c>
      <c r="I886" s="7">
        <v>3</v>
      </c>
      <c r="J886" s="7" t="s">
        <v>540</v>
      </c>
      <c r="K886" s="7" t="s">
        <v>762</v>
      </c>
    </row>
    <row r="887" customHeight="1" spans="3:11">
      <c r="C887" s="7">
        <v>2365</v>
      </c>
      <c r="D887" s="7" t="s">
        <v>914</v>
      </c>
      <c r="E887" s="4">
        <v>2</v>
      </c>
      <c r="F887" s="4">
        <f t="shared" si="19"/>
        <v>4380</v>
      </c>
      <c r="G887" s="4">
        <v>1</v>
      </c>
      <c r="H887" s="4">
        <v>9</v>
      </c>
      <c r="I887" s="4">
        <v>3</v>
      </c>
      <c r="J887" s="4" t="s">
        <v>540</v>
      </c>
      <c r="K887" s="4" t="s">
        <v>764</v>
      </c>
    </row>
    <row r="888" customHeight="1" spans="3:11">
      <c r="C888" s="7">
        <v>2366</v>
      </c>
      <c r="D888" s="7" t="s">
        <v>915</v>
      </c>
      <c r="E888" s="7">
        <v>2</v>
      </c>
      <c r="F888" s="7">
        <f t="shared" si="19"/>
        <v>4392</v>
      </c>
      <c r="G888" s="7">
        <v>1</v>
      </c>
      <c r="H888" s="7">
        <v>14</v>
      </c>
      <c r="I888" s="7">
        <v>30</v>
      </c>
      <c r="J888" s="7" t="s">
        <v>540</v>
      </c>
      <c r="K888" s="7" t="s">
        <v>15</v>
      </c>
    </row>
    <row r="889" customHeight="1" spans="3:11">
      <c r="C889" s="7">
        <v>2367</v>
      </c>
      <c r="D889" s="7" t="s">
        <v>916</v>
      </c>
      <c r="E889" s="7">
        <v>2</v>
      </c>
      <c r="F889" s="7">
        <f t="shared" si="19"/>
        <v>4404</v>
      </c>
      <c r="G889" s="7">
        <v>1</v>
      </c>
      <c r="H889" s="7">
        <v>15</v>
      </c>
      <c r="I889" s="7">
        <v>30</v>
      </c>
      <c r="J889" s="7" t="s">
        <v>540</v>
      </c>
      <c r="K889" s="7" t="s">
        <v>19</v>
      </c>
    </row>
    <row r="890" customHeight="1" spans="3:11">
      <c r="C890" s="7">
        <v>2368</v>
      </c>
      <c r="D890" s="7" t="s">
        <v>917</v>
      </c>
      <c r="E890" s="7">
        <v>2</v>
      </c>
      <c r="F890" s="7">
        <f t="shared" si="19"/>
        <v>4416</v>
      </c>
      <c r="G890" s="7">
        <v>1</v>
      </c>
      <c r="H890" s="7">
        <v>16</v>
      </c>
      <c r="I890" s="7">
        <v>30</v>
      </c>
      <c r="J890" s="7" t="s">
        <v>540</v>
      </c>
      <c r="K890" s="7" t="s">
        <v>21</v>
      </c>
    </row>
    <row r="891" customHeight="1" spans="3:11">
      <c r="C891" s="7">
        <v>2369</v>
      </c>
      <c r="D891" s="7" t="s">
        <v>918</v>
      </c>
      <c r="E891" s="7">
        <v>2</v>
      </c>
      <c r="F891" s="7">
        <f t="shared" si="19"/>
        <v>4428</v>
      </c>
      <c r="G891" s="7">
        <v>1</v>
      </c>
      <c r="H891" s="7">
        <v>18</v>
      </c>
      <c r="I891" s="7">
        <v>12</v>
      </c>
      <c r="J891" s="7" t="s">
        <v>540</v>
      </c>
      <c r="K891" s="7" t="s">
        <v>544</v>
      </c>
    </row>
    <row r="892" customHeight="1" spans="3:11">
      <c r="C892" s="7">
        <v>2370</v>
      </c>
      <c r="D892" s="7" t="s">
        <v>919</v>
      </c>
      <c r="E892" s="7">
        <v>2</v>
      </c>
      <c r="F892" s="7">
        <f t="shared" si="19"/>
        <v>4440</v>
      </c>
      <c r="G892" s="7">
        <v>1</v>
      </c>
      <c r="H892" s="7">
        <v>20</v>
      </c>
      <c r="I892" s="7">
        <v>12</v>
      </c>
      <c r="J892" s="7" t="s">
        <v>540</v>
      </c>
      <c r="K892" s="7" t="s">
        <v>548</v>
      </c>
    </row>
    <row r="893" customHeight="1" spans="3:11">
      <c r="C893" s="7">
        <v>2371</v>
      </c>
      <c r="D893" s="7" t="s">
        <v>920</v>
      </c>
      <c r="E893" s="7">
        <v>2</v>
      </c>
      <c r="F893" s="7">
        <f t="shared" si="19"/>
        <v>4452</v>
      </c>
      <c r="G893" s="7">
        <v>1</v>
      </c>
      <c r="H893" s="7">
        <v>24</v>
      </c>
      <c r="I893" s="7">
        <v>12</v>
      </c>
      <c r="J893" s="7" t="s">
        <v>540</v>
      </c>
      <c r="K893" s="7" t="s">
        <v>550</v>
      </c>
    </row>
    <row r="894" customHeight="1" spans="3:11">
      <c r="C894" s="7">
        <v>2372</v>
      </c>
      <c r="D894" s="7" t="s">
        <v>921</v>
      </c>
      <c r="E894" s="7">
        <v>2</v>
      </c>
      <c r="F894" s="7">
        <f t="shared" si="19"/>
        <v>4464</v>
      </c>
      <c r="G894" s="7">
        <v>1</v>
      </c>
      <c r="H894" s="7">
        <v>26</v>
      </c>
      <c r="I894" s="7">
        <v>30</v>
      </c>
      <c r="J894" s="7" t="s">
        <v>540</v>
      </c>
      <c r="K894" s="7" t="s">
        <v>552</v>
      </c>
    </row>
    <row r="895" customHeight="1" spans="3:11">
      <c r="C895" s="7">
        <v>2373</v>
      </c>
      <c r="D895" s="7" t="s">
        <v>922</v>
      </c>
      <c r="E895" s="7">
        <v>2</v>
      </c>
      <c r="F895" s="7">
        <f t="shared" si="19"/>
        <v>4476</v>
      </c>
      <c r="G895" s="7">
        <v>1</v>
      </c>
      <c r="H895" s="7">
        <v>27</v>
      </c>
      <c r="I895" s="7">
        <v>30</v>
      </c>
      <c r="J895" s="7" t="s">
        <v>540</v>
      </c>
      <c r="K895" s="7" t="s">
        <v>554</v>
      </c>
    </row>
    <row r="896" customHeight="1" spans="3:11">
      <c r="C896" s="7">
        <v>2374</v>
      </c>
      <c r="D896" s="7" t="s">
        <v>923</v>
      </c>
      <c r="E896" s="7">
        <v>2</v>
      </c>
      <c r="F896" s="7">
        <f t="shared" si="19"/>
        <v>4488</v>
      </c>
      <c r="G896" s="7">
        <v>1</v>
      </c>
      <c r="H896" s="7">
        <v>28</v>
      </c>
      <c r="I896" s="7">
        <v>30</v>
      </c>
      <c r="J896" s="7" t="s">
        <v>540</v>
      </c>
      <c r="K896" s="7" t="s">
        <v>556</v>
      </c>
    </row>
    <row r="897" customHeight="1" spans="3:11">
      <c r="C897" s="7">
        <v>2375</v>
      </c>
      <c r="D897" s="7" t="s">
        <v>924</v>
      </c>
      <c r="E897" s="7">
        <v>2</v>
      </c>
      <c r="F897" s="7">
        <f t="shared" si="19"/>
        <v>4500</v>
      </c>
      <c r="G897" s="7">
        <v>1</v>
      </c>
      <c r="H897" s="7">
        <v>33</v>
      </c>
      <c r="I897" s="7">
        <v>9</v>
      </c>
      <c r="J897" s="7" t="s">
        <v>540</v>
      </c>
      <c r="K897" s="7" t="s">
        <v>236</v>
      </c>
    </row>
    <row r="898" customHeight="1" spans="3:11">
      <c r="C898" s="7">
        <v>2376</v>
      </c>
      <c r="D898" s="7" t="s">
        <v>925</v>
      </c>
      <c r="E898" s="7">
        <v>2</v>
      </c>
      <c r="F898" s="7">
        <f t="shared" si="19"/>
        <v>4512</v>
      </c>
      <c r="G898" s="7">
        <v>1</v>
      </c>
      <c r="H898" s="7">
        <v>34</v>
      </c>
      <c r="I898" s="7">
        <v>9</v>
      </c>
      <c r="J898" s="7" t="s">
        <v>540</v>
      </c>
      <c r="K898" s="7" t="s">
        <v>238</v>
      </c>
    </row>
    <row r="899" customHeight="1" spans="3:11">
      <c r="C899" s="7">
        <v>2377</v>
      </c>
      <c r="D899" s="7" t="s">
        <v>926</v>
      </c>
      <c r="E899" s="7">
        <v>2</v>
      </c>
      <c r="F899" s="7">
        <f t="shared" si="19"/>
        <v>4524</v>
      </c>
      <c r="G899" s="7">
        <v>1</v>
      </c>
      <c r="H899" s="7">
        <v>35</v>
      </c>
      <c r="I899" s="7">
        <v>9</v>
      </c>
      <c r="J899" s="7" t="s">
        <v>540</v>
      </c>
      <c r="K899" s="7" t="s">
        <v>240</v>
      </c>
    </row>
    <row r="900" customHeight="1" spans="3:11">
      <c r="C900" s="7">
        <v>2378</v>
      </c>
      <c r="D900" s="7" t="s">
        <v>927</v>
      </c>
      <c r="E900" s="7">
        <v>2</v>
      </c>
      <c r="F900" s="7">
        <f t="shared" si="19"/>
        <v>4536</v>
      </c>
      <c r="G900" s="7">
        <v>1</v>
      </c>
      <c r="H900" s="7">
        <v>12</v>
      </c>
      <c r="I900" s="7">
        <v>3</v>
      </c>
      <c r="J900" s="7" t="s">
        <v>540</v>
      </c>
      <c r="K900" s="7" t="s">
        <v>760</v>
      </c>
    </row>
    <row r="901" customHeight="1" spans="3:11">
      <c r="C901" s="7">
        <v>2379</v>
      </c>
      <c r="D901" s="7" t="s">
        <v>928</v>
      </c>
      <c r="E901" s="7">
        <v>2</v>
      </c>
      <c r="F901" s="7">
        <f t="shared" si="19"/>
        <v>4548</v>
      </c>
      <c r="G901" s="7">
        <v>1</v>
      </c>
      <c r="H901" s="7">
        <v>12</v>
      </c>
      <c r="I901" s="7">
        <v>3</v>
      </c>
      <c r="J901" s="7" t="s">
        <v>540</v>
      </c>
      <c r="K901" s="7" t="s">
        <v>762</v>
      </c>
    </row>
    <row r="902" customHeight="1" spans="3:11">
      <c r="C902" s="7">
        <v>2380</v>
      </c>
      <c r="D902" s="7" t="s">
        <v>929</v>
      </c>
      <c r="E902" s="4">
        <v>2</v>
      </c>
      <c r="F902" s="4">
        <f t="shared" si="19"/>
        <v>4560</v>
      </c>
      <c r="G902" s="4">
        <v>1</v>
      </c>
      <c r="H902" s="4">
        <v>9</v>
      </c>
      <c r="I902" s="4">
        <v>3</v>
      </c>
      <c r="J902" s="4" t="s">
        <v>540</v>
      </c>
      <c r="K902" s="4" t="s">
        <v>764</v>
      </c>
    </row>
    <row r="903" customHeight="1" spans="3:11">
      <c r="C903" s="7">
        <v>2381</v>
      </c>
      <c r="D903" s="7" t="s">
        <v>930</v>
      </c>
      <c r="E903" s="7">
        <v>2</v>
      </c>
      <c r="F903" s="7">
        <f t="shared" si="19"/>
        <v>4572</v>
      </c>
      <c r="G903" s="7">
        <v>1</v>
      </c>
      <c r="H903" s="7">
        <v>14</v>
      </c>
      <c r="I903" s="7">
        <v>30</v>
      </c>
      <c r="J903" s="7" t="s">
        <v>540</v>
      </c>
      <c r="K903" s="7" t="s">
        <v>15</v>
      </c>
    </row>
    <row r="904" customHeight="1" spans="3:11">
      <c r="C904" s="7">
        <v>2382</v>
      </c>
      <c r="D904" s="7" t="s">
        <v>931</v>
      </c>
      <c r="E904" s="7">
        <v>2</v>
      </c>
      <c r="F904" s="7">
        <f t="shared" si="19"/>
        <v>4584</v>
      </c>
      <c r="G904" s="7">
        <v>1</v>
      </c>
      <c r="H904" s="7">
        <v>15</v>
      </c>
      <c r="I904" s="7">
        <v>30</v>
      </c>
      <c r="J904" s="7" t="s">
        <v>540</v>
      </c>
      <c r="K904" s="7" t="s">
        <v>19</v>
      </c>
    </row>
    <row r="905" customHeight="1" spans="3:11">
      <c r="C905" s="7">
        <v>2383</v>
      </c>
      <c r="D905" s="7" t="s">
        <v>932</v>
      </c>
      <c r="E905" s="7">
        <v>2</v>
      </c>
      <c r="F905" s="7">
        <f t="shared" si="19"/>
        <v>4596</v>
      </c>
      <c r="G905" s="7">
        <v>1</v>
      </c>
      <c r="H905" s="7">
        <v>16</v>
      </c>
      <c r="I905" s="7">
        <v>30</v>
      </c>
      <c r="J905" s="7" t="s">
        <v>540</v>
      </c>
      <c r="K905" s="7" t="s">
        <v>21</v>
      </c>
    </row>
    <row r="906" customHeight="1" spans="3:11">
      <c r="C906" s="7">
        <v>2384</v>
      </c>
      <c r="D906" s="7" t="s">
        <v>933</v>
      </c>
      <c r="E906" s="7">
        <v>2</v>
      </c>
      <c r="F906" s="7">
        <f t="shared" si="19"/>
        <v>4608</v>
      </c>
      <c r="G906" s="7">
        <v>1</v>
      </c>
      <c r="H906" s="7">
        <v>18</v>
      </c>
      <c r="I906" s="7">
        <v>12</v>
      </c>
      <c r="J906" s="7" t="s">
        <v>540</v>
      </c>
      <c r="K906" s="7" t="s">
        <v>544</v>
      </c>
    </row>
    <row r="907" customHeight="1" spans="3:11">
      <c r="C907" s="7">
        <v>2385</v>
      </c>
      <c r="D907" s="7" t="s">
        <v>934</v>
      </c>
      <c r="E907" s="7">
        <v>2</v>
      </c>
      <c r="F907" s="7">
        <f t="shared" si="19"/>
        <v>4620</v>
      </c>
      <c r="G907" s="7">
        <v>1</v>
      </c>
      <c r="H907" s="7">
        <v>20</v>
      </c>
      <c r="I907" s="7">
        <v>12</v>
      </c>
      <c r="J907" s="7" t="s">
        <v>540</v>
      </c>
      <c r="K907" s="7" t="s">
        <v>548</v>
      </c>
    </row>
    <row r="908" customHeight="1" spans="3:11">
      <c r="C908" s="7">
        <v>2386</v>
      </c>
      <c r="D908" s="7" t="s">
        <v>935</v>
      </c>
      <c r="E908" s="7">
        <v>2</v>
      </c>
      <c r="F908" s="7">
        <f t="shared" si="19"/>
        <v>4632</v>
      </c>
      <c r="G908" s="7">
        <v>1</v>
      </c>
      <c r="H908" s="7">
        <v>24</v>
      </c>
      <c r="I908" s="7">
        <v>12</v>
      </c>
      <c r="J908" s="7" t="s">
        <v>540</v>
      </c>
      <c r="K908" s="7" t="s">
        <v>550</v>
      </c>
    </row>
    <row r="909" customHeight="1" spans="3:11">
      <c r="C909" s="7">
        <v>2387</v>
      </c>
      <c r="D909" s="7" t="s">
        <v>936</v>
      </c>
      <c r="E909" s="7">
        <v>2</v>
      </c>
      <c r="F909" s="7">
        <f t="shared" si="19"/>
        <v>4644</v>
      </c>
      <c r="G909" s="7">
        <v>1</v>
      </c>
      <c r="H909" s="7">
        <v>26</v>
      </c>
      <c r="I909" s="7">
        <v>30</v>
      </c>
      <c r="J909" s="7" t="s">
        <v>540</v>
      </c>
      <c r="K909" s="7" t="s">
        <v>552</v>
      </c>
    </row>
    <row r="910" customHeight="1" spans="3:11">
      <c r="C910" s="7">
        <v>2388</v>
      </c>
      <c r="D910" s="7" t="s">
        <v>937</v>
      </c>
      <c r="E910" s="7">
        <v>2</v>
      </c>
      <c r="F910" s="7">
        <f t="shared" si="19"/>
        <v>4656</v>
      </c>
      <c r="G910" s="7">
        <v>1</v>
      </c>
      <c r="H910" s="7">
        <v>27</v>
      </c>
      <c r="I910" s="7">
        <v>30</v>
      </c>
      <c r="J910" s="7" t="s">
        <v>540</v>
      </c>
      <c r="K910" s="7" t="s">
        <v>554</v>
      </c>
    </row>
    <row r="911" customHeight="1" spans="3:11">
      <c r="C911" s="7">
        <v>2389</v>
      </c>
      <c r="D911" s="7" t="s">
        <v>938</v>
      </c>
      <c r="E911" s="7">
        <v>2</v>
      </c>
      <c r="F911" s="7">
        <f t="shared" si="19"/>
        <v>4668</v>
      </c>
      <c r="G911" s="7">
        <v>1</v>
      </c>
      <c r="H911" s="7">
        <v>28</v>
      </c>
      <c r="I911" s="7">
        <v>30</v>
      </c>
      <c r="J911" s="7" t="s">
        <v>540</v>
      </c>
      <c r="K911" s="7" t="s">
        <v>556</v>
      </c>
    </row>
    <row r="912" customHeight="1" spans="3:11">
      <c r="C912" s="7">
        <v>2390</v>
      </c>
      <c r="D912" s="7" t="s">
        <v>939</v>
      </c>
      <c r="E912" s="7">
        <v>2</v>
      </c>
      <c r="F912" s="7">
        <f t="shared" si="19"/>
        <v>4680</v>
      </c>
      <c r="G912" s="7">
        <v>1</v>
      </c>
      <c r="H912" s="7">
        <v>33</v>
      </c>
      <c r="I912" s="7">
        <v>9</v>
      </c>
      <c r="J912" s="7" t="s">
        <v>540</v>
      </c>
      <c r="K912" s="7" t="s">
        <v>236</v>
      </c>
    </row>
    <row r="913" customHeight="1" spans="3:11">
      <c r="C913" s="7">
        <v>2391</v>
      </c>
      <c r="D913" s="7" t="s">
        <v>940</v>
      </c>
      <c r="E913" s="7">
        <v>2</v>
      </c>
      <c r="F913" s="7">
        <f t="shared" si="19"/>
        <v>4692</v>
      </c>
      <c r="G913" s="7">
        <v>1</v>
      </c>
      <c r="H913" s="7">
        <v>34</v>
      </c>
      <c r="I913" s="7">
        <v>9</v>
      </c>
      <c r="J913" s="7" t="s">
        <v>540</v>
      </c>
      <c r="K913" s="7" t="s">
        <v>238</v>
      </c>
    </row>
    <row r="914" customHeight="1" spans="3:11">
      <c r="C914" s="7">
        <v>2392</v>
      </c>
      <c r="D914" s="7" t="s">
        <v>941</v>
      </c>
      <c r="E914" s="7">
        <v>2</v>
      </c>
      <c r="F914" s="7">
        <f t="shared" si="19"/>
        <v>4704</v>
      </c>
      <c r="G914" s="7">
        <v>1</v>
      </c>
      <c r="H914" s="7">
        <v>35</v>
      </c>
      <c r="I914" s="7">
        <v>9</v>
      </c>
      <c r="J914" s="7" t="s">
        <v>540</v>
      </c>
      <c r="K914" s="7" t="s">
        <v>240</v>
      </c>
    </row>
    <row r="915" customHeight="1" spans="3:11">
      <c r="C915" s="7">
        <v>2393</v>
      </c>
      <c r="D915" s="7" t="s">
        <v>942</v>
      </c>
      <c r="E915" s="7">
        <v>2</v>
      </c>
      <c r="F915" s="7">
        <f t="shared" si="19"/>
        <v>4716</v>
      </c>
      <c r="G915" s="7">
        <v>1</v>
      </c>
      <c r="H915" s="7">
        <v>12</v>
      </c>
      <c r="I915" s="7">
        <v>3</v>
      </c>
      <c r="J915" s="7" t="s">
        <v>540</v>
      </c>
      <c r="K915" s="7" t="s">
        <v>760</v>
      </c>
    </row>
    <row r="916" customHeight="1" spans="3:11">
      <c r="C916" s="7">
        <v>2394</v>
      </c>
      <c r="D916" s="7" t="s">
        <v>943</v>
      </c>
      <c r="E916" s="7">
        <v>2</v>
      </c>
      <c r="F916" s="7">
        <f t="shared" si="19"/>
        <v>4728</v>
      </c>
      <c r="G916" s="7">
        <v>1</v>
      </c>
      <c r="H916" s="7">
        <v>12</v>
      </c>
      <c r="I916" s="7">
        <v>3</v>
      </c>
      <c r="J916" s="7" t="s">
        <v>540</v>
      </c>
      <c r="K916" s="7" t="s">
        <v>762</v>
      </c>
    </row>
    <row r="917" customHeight="1" spans="3:11">
      <c r="C917" s="7">
        <v>2395</v>
      </c>
      <c r="D917" s="7" t="s">
        <v>944</v>
      </c>
      <c r="E917" s="4">
        <v>2</v>
      </c>
      <c r="F917" s="4">
        <f t="shared" si="19"/>
        <v>4740</v>
      </c>
      <c r="G917" s="4">
        <v>1</v>
      </c>
      <c r="H917" s="4">
        <v>9</v>
      </c>
      <c r="I917" s="4">
        <v>3</v>
      </c>
      <c r="J917" s="4" t="s">
        <v>540</v>
      </c>
      <c r="K917" s="4" t="s">
        <v>764</v>
      </c>
    </row>
    <row r="918" customHeight="1" spans="3:11">
      <c r="C918" s="7">
        <v>2396</v>
      </c>
      <c r="D918" s="7" t="s">
        <v>945</v>
      </c>
      <c r="E918" s="7">
        <v>2</v>
      </c>
      <c r="F918" s="7">
        <f t="shared" si="19"/>
        <v>4752</v>
      </c>
      <c r="G918" s="7">
        <v>1</v>
      </c>
      <c r="H918" s="7">
        <v>14</v>
      </c>
      <c r="I918" s="7">
        <v>30</v>
      </c>
      <c r="J918" s="7" t="s">
        <v>540</v>
      </c>
      <c r="K918" s="7" t="s">
        <v>15</v>
      </c>
    </row>
    <row r="919" customHeight="1" spans="3:11">
      <c r="C919" s="7">
        <v>2397</v>
      </c>
      <c r="D919" s="7" t="s">
        <v>946</v>
      </c>
      <c r="E919" s="7">
        <v>2</v>
      </c>
      <c r="F919" s="7">
        <f t="shared" si="19"/>
        <v>4764</v>
      </c>
      <c r="G919" s="7">
        <v>1</v>
      </c>
      <c r="H919" s="7">
        <v>15</v>
      </c>
      <c r="I919" s="7">
        <v>30</v>
      </c>
      <c r="J919" s="7" t="s">
        <v>540</v>
      </c>
      <c r="K919" s="7" t="s">
        <v>19</v>
      </c>
    </row>
    <row r="920" customHeight="1" spans="3:11">
      <c r="C920" s="7">
        <v>2398</v>
      </c>
      <c r="D920" s="7" t="s">
        <v>947</v>
      </c>
      <c r="E920" s="7">
        <v>2</v>
      </c>
      <c r="F920" s="7">
        <f t="shared" si="19"/>
        <v>4776</v>
      </c>
      <c r="G920" s="7">
        <v>1</v>
      </c>
      <c r="H920" s="7">
        <v>16</v>
      </c>
      <c r="I920" s="7">
        <v>30</v>
      </c>
      <c r="J920" s="7" t="s">
        <v>540</v>
      </c>
      <c r="K920" s="7" t="s">
        <v>21</v>
      </c>
    </row>
    <row r="921" customHeight="1" spans="3:11">
      <c r="C921" s="7">
        <v>2399</v>
      </c>
      <c r="D921" s="7" t="s">
        <v>948</v>
      </c>
      <c r="E921" s="7">
        <v>2</v>
      </c>
      <c r="F921" s="7">
        <f t="shared" si="19"/>
        <v>4788</v>
      </c>
      <c r="G921" s="7">
        <v>1</v>
      </c>
      <c r="H921" s="7">
        <v>18</v>
      </c>
      <c r="I921" s="7">
        <v>12</v>
      </c>
      <c r="J921" s="7" t="s">
        <v>540</v>
      </c>
      <c r="K921" s="7" t="s">
        <v>544</v>
      </c>
    </row>
    <row r="922" customHeight="1" spans="3:11">
      <c r="C922" s="7">
        <v>2400</v>
      </c>
      <c r="D922" s="7" t="s">
        <v>949</v>
      </c>
      <c r="E922" s="7">
        <v>2</v>
      </c>
      <c r="F922" s="7">
        <f t="shared" si="19"/>
        <v>4800</v>
      </c>
      <c r="G922" s="7">
        <v>1</v>
      </c>
      <c r="H922" s="7">
        <v>20</v>
      </c>
      <c r="I922" s="7">
        <v>12</v>
      </c>
      <c r="J922" s="7" t="s">
        <v>540</v>
      </c>
      <c r="K922" s="7" t="s">
        <v>548</v>
      </c>
    </row>
    <row r="923" customHeight="1" spans="3:11">
      <c r="C923" s="7">
        <v>2401</v>
      </c>
      <c r="D923" s="7" t="s">
        <v>950</v>
      </c>
      <c r="E923" s="7">
        <v>2</v>
      </c>
      <c r="F923" s="7">
        <f t="shared" si="19"/>
        <v>4812</v>
      </c>
      <c r="G923" s="7">
        <v>1</v>
      </c>
      <c r="H923" s="7">
        <v>24</v>
      </c>
      <c r="I923" s="7">
        <v>12</v>
      </c>
      <c r="J923" s="7" t="s">
        <v>540</v>
      </c>
      <c r="K923" s="7" t="s">
        <v>550</v>
      </c>
    </row>
    <row r="924" customHeight="1" spans="3:11">
      <c r="C924" s="7">
        <v>2402</v>
      </c>
      <c r="D924" s="7" t="s">
        <v>951</v>
      </c>
      <c r="E924" s="7">
        <v>2</v>
      </c>
      <c r="F924" s="7">
        <f t="shared" si="19"/>
        <v>4824</v>
      </c>
      <c r="G924" s="7">
        <v>1</v>
      </c>
      <c r="H924" s="7">
        <v>26</v>
      </c>
      <c r="I924" s="7">
        <v>30</v>
      </c>
      <c r="J924" s="7" t="s">
        <v>540</v>
      </c>
      <c r="K924" s="7" t="s">
        <v>552</v>
      </c>
    </row>
    <row r="925" customHeight="1" spans="3:11">
      <c r="C925" s="7">
        <v>2403</v>
      </c>
      <c r="D925" s="7" t="s">
        <v>952</v>
      </c>
      <c r="E925" s="7">
        <v>2</v>
      </c>
      <c r="F925" s="7">
        <f t="shared" si="19"/>
        <v>4836</v>
      </c>
      <c r="G925" s="7">
        <v>1</v>
      </c>
      <c r="H925" s="7">
        <v>27</v>
      </c>
      <c r="I925" s="7">
        <v>30</v>
      </c>
      <c r="J925" s="7" t="s">
        <v>540</v>
      </c>
      <c r="K925" s="7" t="s">
        <v>554</v>
      </c>
    </row>
    <row r="926" customHeight="1" spans="3:11">
      <c r="C926" s="7">
        <v>2404</v>
      </c>
      <c r="D926" s="7" t="s">
        <v>953</v>
      </c>
      <c r="E926" s="7">
        <v>2</v>
      </c>
      <c r="F926" s="7">
        <f t="shared" si="19"/>
        <v>4848</v>
      </c>
      <c r="G926" s="7">
        <v>1</v>
      </c>
      <c r="H926" s="7">
        <v>28</v>
      </c>
      <c r="I926" s="7">
        <v>30</v>
      </c>
      <c r="J926" s="7" t="s">
        <v>540</v>
      </c>
      <c r="K926" s="7" t="s">
        <v>556</v>
      </c>
    </row>
    <row r="927" customHeight="1" spans="3:11">
      <c r="C927" s="7">
        <v>2405</v>
      </c>
      <c r="D927" s="7" t="s">
        <v>954</v>
      </c>
      <c r="E927" s="7">
        <v>2</v>
      </c>
      <c r="F927" s="7">
        <f t="shared" si="19"/>
        <v>4860</v>
      </c>
      <c r="G927" s="7">
        <v>1</v>
      </c>
      <c r="H927" s="7">
        <v>33</v>
      </c>
      <c r="I927" s="7">
        <v>9</v>
      </c>
      <c r="J927" s="7" t="s">
        <v>540</v>
      </c>
      <c r="K927" s="7" t="s">
        <v>236</v>
      </c>
    </row>
    <row r="928" customHeight="1" spans="3:11">
      <c r="C928" s="7">
        <v>2406</v>
      </c>
      <c r="D928" s="7" t="s">
        <v>955</v>
      </c>
      <c r="E928" s="7">
        <v>2</v>
      </c>
      <c r="F928" s="7">
        <f t="shared" si="19"/>
        <v>4872</v>
      </c>
      <c r="G928" s="7">
        <v>1</v>
      </c>
      <c r="H928" s="7">
        <v>34</v>
      </c>
      <c r="I928" s="7">
        <v>9</v>
      </c>
      <c r="J928" s="7" t="s">
        <v>540</v>
      </c>
      <c r="K928" s="7" t="s">
        <v>238</v>
      </c>
    </row>
    <row r="929" customHeight="1" spans="3:11">
      <c r="C929" s="7">
        <v>2407</v>
      </c>
      <c r="D929" s="7" t="s">
        <v>956</v>
      </c>
      <c r="E929" s="7">
        <v>2</v>
      </c>
      <c r="F929" s="7">
        <f t="shared" si="19"/>
        <v>4884</v>
      </c>
      <c r="G929" s="7">
        <v>1</v>
      </c>
      <c r="H929" s="7">
        <v>35</v>
      </c>
      <c r="I929" s="7">
        <v>9</v>
      </c>
      <c r="J929" s="7" t="s">
        <v>540</v>
      </c>
      <c r="K929" s="7" t="s">
        <v>240</v>
      </c>
    </row>
    <row r="930" customHeight="1" spans="3:11">
      <c r="C930" s="7">
        <v>2408</v>
      </c>
      <c r="D930" s="7" t="s">
        <v>957</v>
      </c>
      <c r="E930" s="7">
        <v>2</v>
      </c>
      <c r="F930" s="7">
        <f t="shared" si="19"/>
        <v>4896</v>
      </c>
      <c r="G930" s="7">
        <v>1</v>
      </c>
      <c r="H930" s="7">
        <v>12</v>
      </c>
      <c r="I930" s="7">
        <v>3</v>
      </c>
      <c r="J930" s="7" t="s">
        <v>540</v>
      </c>
      <c r="K930" s="7" t="s">
        <v>760</v>
      </c>
    </row>
    <row r="931" customHeight="1" spans="3:11">
      <c r="C931" s="7">
        <v>2409</v>
      </c>
      <c r="D931" s="7" t="s">
        <v>958</v>
      </c>
      <c r="E931" s="7">
        <v>2</v>
      </c>
      <c r="F931" s="7">
        <f t="shared" si="19"/>
        <v>4908</v>
      </c>
      <c r="G931" s="7">
        <v>1</v>
      </c>
      <c r="H931" s="7">
        <v>12</v>
      </c>
      <c r="I931" s="7">
        <v>3</v>
      </c>
      <c r="J931" s="7" t="s">
        <v>540</v>
      </c>
      <c r="K931" s="7" t="s">
        <v>762</v>
      </c>
    </row>
    <row r="932" customHeight="1" spans="3:11">
      <c r="C932" s="7">
        <v>2410</v>
      </c>
      <c r="D932" s="7" t="s">
        <v>959</v>
      </c>
      <c r="E932" s="4">
        <v>2</v>
      </c>
      <c r="F932" s="4">
        <f t="shared" si="19"/>
        <v>4920</v>
      </c>
      <c r="G932" s="4">
        <v>1</v>
      </c>
      <c r="H932" s="4">
        <v>9</v>
      </c>
      <c r="I932" s="4">
        <v>3</v>
      </c>
      <c r="J932" s="4" t="s">
        <v>540</v>
      </c>
      <c r="K932" s="4" t="s">
        <v>764</v>
      </c>
    </row>
    <row r="933" customHeight="1" spans="3:11">
      <c r="C933" s="7">
        <v>2411</v>
      </c>
      <c r="D933" s="7" t="s">
        <v>960</v>
      </c>
      <c r="E933" s="7">
        <v>2</v>
      </c>
      <c r="F933" s="7">
        <f t="shared" si="19"/>
        <v>4932</v>
      </c>
      <c r="G933" s="7">
        <v>1</v>
      </c>
      <c r="H933" s="7">
        <v>14</v>
      </c>
      <c r="I933" s="7">
        <v>30</v>
      </c>
      <c r="J933" s="7" t="s">
        <v>540</v>
      </c>
      <c r="K933" s="7" t="s">
        <v>15</v>
      </c>
    </row>
    <row r="934" customHeight="1" spans="3:11">
      <c r="C934" s="7">
        <v>2412</v>
      </c>
      <c r="D934" s="7" t="s">
        <v>961</v>
      </c>
      <c r="E934" s="7">
        <v>2</v>
      </c>
      <c r="F934" s="7">
        <f t="shared" ref="F934:F997" si="20">(C934-2000)*12</f>
        <v>4944</v>
      </c>
      <c r="G934" s="7">
        <v>1</v>
      </c>
      <c r="H934" s="7">
        <v>15</v>
      </c>
      <c r="I934" s="7">
        <v>30</v>
      </c>
      <c r="J934" s="7" t="s">
        <v>540</v>
      </c>
      <c r="K934" s="7" t="s">
        <v>19</v>
      </c>
    </row>
    <row r="935" customHeight="1" spans="3:11">
      <c r="C935" s="7">
        <v>2413</v>
      </c>
      <c r="D935" s="7" t="s">
        <v>962</v>
      </c>
      <c r="E935" s="7">
        <v>2</v>
      </c>
      <c r="F935" s="7">
        <f t="shared" si="20"/>
        <v>4956</v>
      </c>
      <c r="G935" s="7">
        <v>1</v>
      </c>
      <c r="H935" s="7">
        <v>16</v>
      </c>
      <c r="I935" s="7">
        <v>30</v>
      </c>
      <c r="J935" s="7" t="s">
        <v>540</v>
      </c>
      <c r="K935" s="7" t="s">
        <v>21</v>
      </c>
    </row>
    <row r="936" customHeight="1" spans="3:11">
      <c r="C936" s="7">
        <v>2414</v>
      </c>
      <c r="D936" s="7" t="s">
        <v>963</v>
      </c>
      <c r="E936" s="7">
        <v>2</v>
      </c>
      <c r="F936" s="7">
        <f t="shared" si="20"/>
        <v>4968</v>
      </c>
      <c r="G936" s="7">
        <v>1</v>
      </c>
      <c r="H936" s="7">
        <v>18</v>
      </c>
      <c r="I936" s="7">
        <v>12</v>
      </c>
      <c r="J936" s="7" t="s">
        <v>540</v>
      </c>
      <c r="K936" s="7" t="s">
        <v>544</v>
      </c>
    </row>
    <row r="937" customHeight="1" spans="3:11">
      <c r="C937" s="7">
        <v>2415</v>
      </c>
      <c r="D937" s="7" t="s">
        <v>964</v>
      </c>
      <c r="E937" s="7">
        <v>2</v>
      </c>
      <c r="F937" s="7">
        <f t="shared" si="20"/>
        <v>4980</v>
      </c>
      <c r="G937" s="7">
        <v>1</v>
      </c>
      <c r="H937" s="7">
        <v>20</v>
      </c>
      <c r="I937" s="7">
        <v>12</v>
      </c>
      <c r="J937" s="7" t="s">
        <v>540</v>
      </c>
      <c r="K937" s="7" t="s">
        <v>548</v>
      </c>
    </row>
    <row r="938" customHeight="1" spans="3:11">
      <c r="C938" s="7">
        <v>2416</v>
      </c>
      <c r="D938" s="7" t="s">
        <v>965</v>
      </c>
      <c r="E938" s="7">
        <v>2</v>
      </c>
      <c r="F938" s="7">
        <f t="shared" si="20"/>
        <v>4992</v>
      </c>
      <c r="G938" s="7">
        <v>1</v>
      </c>
      <c r="H938" s="7">
        <v>24</v>
      </c>
      <c r="I938" s="7">
        <v>12</v>
      </c>
      <c r="J938" s="7" t="s">
        <v>540</v>
      </c>
      <c r="K938" s="7" t="s">
        <v>550</v>
      </c>
    </row>
    <row r="939" customHeight="1" spans="3:11">
      <c r="C939" s="7">
        <v>2417</v>
      </c>
      <c r="D939" s="7" t="s">
        <v>966</v>
      </c>
      <c r="E939" s="7">
        <v>2</v>
      </c>
      <c r="F939" s="7">
        <f t="shared" si="20"/>
        <v>5004</v>
      </c>
      <c r="G939" s="7">
        <v>1</v>
      </c>
      <c r="H939" s="7">
        <v>26</v>
      </c>
      <c r="I939" s="7">
        <v>30</v>
      </c>
      <c r="J939" s="7" t="s">
        <v>540</v>
      </c>
      <c r="K939" s="7" t="s">
        <v>552</v>
      </c>
    </row>
    <row r="940" customHeight="1" spans="3:11">
      <c r="C940" s="7">
        <v>2418</v>
      </c>
      <c r="D940" s="7" t="s">
        <v>967</v>
      </c>
      <c r="E940" s="7">
        <v>2</v>
      </c>
      <c r="F940" s="7">
        <f t="shared" si="20"/>
        <v>5016</v>
      </c>
      <c r="G940" s="7">
        <v>1</v>
      </c>
      <c r="H940" s="7">
        <v>27</v>
      </c>
      <c r="I940" s="7">
        <v>30</v>
      </c>
      <c r="J940" s="7" t="s">
        <v>540</v>
      </c>
      <c r="K940" s="7" t="s">
        <v>554</v>
      </c>
    </row>
    <row r="941" customHeight="1" spans="3:11">
      <c r="C941" s="7">
        <v>2419</v>
      </c>
      <c r="D941" s="7" t="s">
        <v>968</v>
      </c>
      <c r="E941" s="7">
        <v>2</v>
      </c>
      <c r="F941" s="7">
        <f t="shared" si="20"/>
        <v>5028</v>
      </c>
      <c r="G941" s="7">
        <v>1</v>
      </c>
      <c r="H941" s="7">
        <v>28</v>
      </c>
      <c r="I941" s="7">
        <v>30</v>
      </c>
      <c r="J941" s="7" t="s">
        <v>540</v>
      </c>
      <c r="K941" s="7" t="s">
        <v>556</v>
      </c>
    </row>
    <row r="942" customHeight="1" spans="3:11">
      <c r="C942" s="7">
        <v>2420</v>
      </c>
      <c r="D942" s="7" t="s">
        <v>969</v>
      </c>
      <c r="E942" s="7">
        <v>2</v>
      </c>
      <c r="F942" s="7">
        <f t="shared" si="20"/>
        <v>5040</v>
      </c>
      <c r="G942" s="7">
        <v>1</v>
      </c>
      <c r="H942" s="7">
        <v>33</v>
      </c>
      <c r="I942" s="7">
        <v>9</v>
      </c>
      <c r="J942" s="7" t="s">
        <v>540</v>
      </c>
      <c r="K942" s="7" t="s">
        <v>236</v>
      </c>
    </row>
    <row r="943" customHeight="1" spans="3:11">
      <c r="C943" s="7">
        <v>2421</v>
      </c>
      <c r="D943" s="7" t="s">
        <v>970</v>
      </c>
      <c r="E943" s="7">
        <v>2</v>
      </c>
      <c r="F943" s="7">
        <f t="shared" si="20"/>
        <v>5052</v>
      </c>
      <c r="G943" s="7">
        <v>1</v>
      </c>
      <c r="H943" s="7">
        <v>34</v>
      </c>
      <c r="I943" s="7">
        <v>9</v>
      </c>
      <c r="J943" s="7" t="s">
        <v>540</v>
      </c>
      <c r="K943" s="7" t="s">
        <v>238</v>
      </c>
    </row>
    <row r="944" customHeight="1" spans="3:11">
      <c r="C944" s="7">
        <v>2422</v>
      </c>
      <c r="D944" s="7" t="s">
        <v>971</v>
      </c>
      <c r="E944" s="7">
        <v>2</v>
      </c>
      <c r="F944" s="7">
        <f t="shared" si="20"/>
        <v>5064</v>
      </c>
      <c r="G944" s="7">
        <v>1</v>
      </c>
      <c r="H944" s="7">
        <v>35</v>
      </c>
      <c r="I944" s="7">
        <v>9</v>
      </c>
      <c r="J944" s="7" t="s">
        <v>540</v>
      </c>
      <c r="K944" s="7" t="s">
        <v>240</v>
      </c>
    </row>
    <row r="945" customHeight="1" spans="3:11">
      <c r="C945" s="7">
        <v>2423</v>
      </c>
      <c r="D945" s="7" t="s">
        <v>972</v>
      </c>
      <c r="E945" s="7">
        <v>2</v>
      </c>
      <c r="F945" s="7">
        <f t="shared" si="20"/>
        <v>5076</v>
      </c>
      <c r="G945" s="7">
        <v>1</v>
      </c>
      <c r="H945" s="7">
        <v>12</v>
      </c>
      <c r="I945" s="7">
        <v>3</v>
      </c>
      <c r="J945" s="7" t="s">
        <v>540</v>
      </c>
      <c r="K945" s="7" t="s">
        <v>760</v>
      </c>
    </row>
    <row r="946" customHeight="1" spans="3:11">
      <c r="C946" s="7">
        <v>2424</v>
      </c>
      <c r="D946" s="7" t="s">
        <v>973</v>
      </c>
      <c r="E946" s="7">
        <v>2</v>
      </c>
      <c r="F946" s="7">
        <f t="shared" si="20"/>
        <v>5088</v>
      </c>
      <c r="G946" s="7">
        <v>1</v>
      </c>
      <c r="H946" s="7">
        <v>12</v>
      </c>
      <c r="I946" s="7">
        <v>3</v>
      </c>
      <c r="J946" s="7" t="s">
        <v>540</v>
      </c>
      <c r="K946" s="7" t="s">
        <v>762</v>
      </c>
    </row>
    <row r="947" customHeight="1" spans="3:11">
      <c r="C947" s="7">
        <v>2425</v>
      </c>
      <c r="D947" s="7" t="s">
        <v>974</v>
      </c>
      <c r="E947" s="4">
        <v>2</v>
      </c>
      <c r="F947" s="4">
        <f t="shared" si="20"/>
        <v>5100</v>
      </c>
      <c r="G947" s="4">
        <v>1</v>
      </c>
      <c r="H947" s="4">
        <v>9</v>
      </c>
      <c r="I947" s="4">
        <v>3</v>
      </c>
      <c r="J947" s="4" t="s">
        <v>540</v>
      </c>
      <c r="K947" s="4" t="s">
        <v>764</v>
      </c>
    </row>
    <row r="948" s="6" customFormat="1" customHeight="1" spans="3:11">
      <c r="C948" s="6">
        <v>2426</v>
      </c>
      <c r="D948" s="6" t="s">
        <v>975</v>
      </c>
      <c r="E948" s="6">
        <v>2</v>
      </c>
      <c r="F948" s="6">
        <f t="shared" si="20"/>
        <v>5112</v>
      </c>
      <c r="G948" s="6">
        <v>1</v>
      </c>
      <c r="H948" s="6">
        <v>14</v>
      </c>
      <c r="I948" s="6">
        <v>50</v>
      </c>
      <c r="J948" s="6" t="s">
        <v>540</v>
      </c>
      <c r="K948" s="6" t="s">
        <v>15</v>
      </c>
    </row>
    <row r="949" s="6" customFormat="1" customHeight="1" spans="3:11">
      <c r="C949" s="6">
        <v>2427</v>
      </c>
      <c r="D949" s="6" t="s">
        <v>976</v>
      </c>
      <c r="E949" s="6">
        <v>2</v>
      </c>
      <c r="F949" s="6">
        <f t="shared" si="20"/>
        <v>5124</v>
      </c>
      <c r="G949" s="6">
        <v>1</v>
      </c>
      <c r="H949" s="6">
        <v>15</v>
      </c>
      <c r="I949" s="6">
        <v>50</v>
      </c>
      <c r="J949" s="6" t="s">
        <v>540</v>
      </c>
      <c r="K949" s="6" t="s">
        <v>19</v>
      </c>
    </row>
    <row r="950" s="6" customFormat="1" customHeight="1" spans="3:11">
      <c r="C950" s="6">
        <v>2428</v>
      </c>
      <c r="D950" s="6" t="s">
        <v>977</v>
      </c>
      <c r="E950" s="6">
        <v>2</v>
      </c>
      <c r="F950" s="6">
        <f t="shared" si="20"/>
        <v>5136</v>
      </c>
      <c r="G950" s="6">
        <v>1</v>
      </c>
      <c r="H950" s="6">
        <v>16</v>
      </c>
      <c r="I950" s="6">
        <v>50</v>
      </c>
      <c r="J950" s="6" t="s">
        <v>540</v>
      </c>
      <c r="K950" s="6" t="s">
        <v>21</v>
      </c>
    </row>
    <row r="951" s="6" customFormat="1" customHeight="1" spans="3:11">
      <c r="C951" s="6">
        <v>2429</v>
      </c>
      <c r="D951" s="6" t="s">
        <v>978</v>
      </c>
      <c r="E951" s="6">
        <v>2</v>
      </c>
      <c r="F951" s="6">
        <f t="shared" si="20"/>
        <v>5148</v>
      </c>
      <c r="G951" s="6">
        <v>1</v>
      </c>
      <c r="H951" s="6">
        <v>18</v>
      </c>
      <c r="I951" s="6">
        <v>16</v>
      </c>
      <c r="J951" s="6" t="s">
        <v>540</v>
      </c>
      <c r="K951" s="6" t="s">
        <v>544</v>
      </c>
    </row>
    <row r="952" s="6" customFormat="1" customHeight="1" spans="3:11">
      <c r="C952" s="6">
        <v>2430</v>
      </c>
      <c r="D952" s="6" t="s">
        <v>979</v>
      </c>
      <c r="E952" s="6">
        <v>2</v>
      </c>
      <c r="F952" s="6">
        <f t="shared" si="20"/>
        <v>5160</v>
      </c>
      <c r="G952" s="6">
        <v>1</v>
      </c>
      <c r="H952" s="6">
        <v>20</v>
      </c>
      <c r="I952" s="6">
        <v>16</v>
      </c>
      <c r="J952" s="6" t="s">
        <v>540</v>
      </c>
      <c r="K952" s="6" t="s">
        <v>548</v>
      </c>
    </row>
    <row r="953" s="6" customFormat="1" customHeight="1" spans="3:11">
      <c r="C953" s="6">
        <v>2431</v>
      </c>
      <c r="D953" s="6" t="s">
        <v>980</v>
      </c>
      <c r="E953" s="6">
        <v>2</v>
      </c>
      <c r="F953" s="6">
        <f t="shared" si="20"/>
        <v>5172</v>
      </c>
      <c r="G953" s="6">
        <v>1</v>
      </c>
      <c r="H953" s="6">
        <v>24</v>
      </c>
      <c r="I953" s="6">
        <v>16</v>
      </c>
      <c r="J953" s="6" t="s">
        <v>540</v>
      </c>
      <c r="K953" s="6" t="s">
        <v>550</v>
      </c>
    </row>
    <row r="954" s="6" customFormat="1" customHeight="1" spans="3:11">
      <c r="C954" s="6">
        <v>2432</v>
      </c>
      <c r="D954" s="6" t="s">
        <v>981</v>
      </c>
      <c r="E954" s="6">
        <v>2</v>
      </c>
      <c r="F954" s="6">
        <f t="shared" si="20"/>
        <v>5184</v>
      </c>
      <c r="G954" s="6">
        <v>1</v>
      </c>
      <c r="H954" s="6">
        <v>26</v>
      </c>
      <c r="I954" s="6">
        <v>50</v>
      </c>
      <c r="J954" s="6" t="s">
        <v>540</v>
      </c>
      <c r="K954" s="6" t="s">
        <v>552</v>
      </c>
    </row>
    <row r="955" s="6" customFormat="1" customHeight="1" spans="3:11">
      <c r="C955" s="6">
        <v>2433</v>
      </c>
      <c r="D955" s="6" t="s">
        <v>982</v>
      </c>
      <c r="E955" s="6">
        <v>2</v>
      </c>
      <c r="F955" s="6">
        <f t="shared" si="20"/>
        <v>5196</v>
      </c>
      <c r="G955" s="6">
        <v>1</v>
      </c>
      <c r="H955" s="6">
        <v>27</v>
      </c>
      <c r="I955" s="6">
        <v>50</v>
      </c>
      <c r="J955" s="6" t="s">
        <v>540</v>
      </c>
      <c r="K955" s="6" t="s">
        <v>554</v>
      </c>
    </row>
    <row r="956" s="6" customFormat="1" customHeight="1" spans="3:11">
      <c r="C956" s="6">
        <v>2434</v>
      </c>
      <c r="D956" s="6" t="s">
        <v>983</v>
      </c>
      <c r="E956" s="6">
        <v>2</v>
      </c>
      <c r="F956" s="6">
        <f t="shared" si="20"/>
        <v>5208</v>
      </c>
      <c r="G956" s="6">
        <v>1</v>
      </c>
      <c r="H956" s="6">
        <v>28</v>
      </c>
      <c r="I956" s="6">
        <v>50</v>
      </c>
      <c r="J956" s="6" t="s">
        <v>540</v>
      </c>
      <c r="K956" s="6" t="s">
        <v>556</v>
      </c>
    </row>
    <row r="957" s="6" customFormat="1" customHeight="1" spans="3:11">
      <c r="C957" s="6">
        <v>2435</v>
      </c>
      <c r="D957" s="6" t="s">
        <v>984</v>
      </c>
      <c r="E957" s="6">
        <v>2</v>
      </c>
      <c r="F957" s="6">
        <f t="shared" si="20"/>
        <v>5220</v>
      </c>
      <c r="G957" s="6">
        <v>1</v>
      </c>
      <c r="H957" s="6">
        <v>33</v>
      </c>
      <c r="I957" s="6">
        <v>12</v>
      </c>
      <c r="J957" s="6" t="s">
        <v>540</v>
      </c>
      <c r="K957" s="6" t="s">
        <v>236</v>
      </c>
    </row>
    <row r="958" s="6" customFormat="1" customHeight="1" spans="3:11">
      <c r="C958" s="6">
        <v>2436</v>
      </c>
      <c r="D958" s="6" t="s">
        <v>985</v>
      </c>
      <c r="E958" s="6">
        <v>2</v>
      </c>
      <c r="F958" s="6">
        <f t="shared" si="20"/>
        <v>5232</v>
      </c>
      <c r="G958" s="6">
        <v>1</v>
      </c>
      <c r="H958" s="6">
        <v>34</v>
      </c>
      <c r="I958" s="6">
        <v>12</v>
      </c>
      <c r="J958" s="6" t="s">
        <v>540</v>
      </c>
      <c r="K958" s="6" t="s">
        <v>238</v>
      </c>
    </row>
    <row r="959" s="6" customFormat="1" customHeight="1" spans="3:11">
      <c r="C959" s="6">
        <v>2437</v>
      </c>
      <c r="D959" s="6" t="s">
        <v>986</v>
      </c>
      <c r="E959" s="6">
        <v>2</v>
      </c>
      <c r="F959" s="6">
        <f t="shared" si="20"/>
        <v>5244</v>
      </c>
      <c r="G959" s="6">
        <v>1</v>
      </c>
      <c r="H959" s="6">
        <v>35</v>
      </c>
      <c r="I959" s="6">
        <v>12</v>
      </c>
      <c r="J959" s="6" t="s">
        <v>540</v>
      </c>
      <c r="K959" s="6" t="s">
        <v>240</v>
      </c>
    </row>
    <row r="960" s="6" customFormat="1" customHeight="1" spans="3:11">
      <c r="C960" s="6">
        <v>2438</v>
      </c>
      <c r="D960" s="6" t="s">
        <v>987</v>
      </c>
      <c r="E960" s="6">
        <v>2</v>
      </c>
      <c r="F960" s="6">
        <f t="shared" si="20"/>
        <v>5256</v>
      </c>
      <c r="G960" s="6">
        <v>1</v>
      </c>
      <c r="H960" s="6">
        <v>12</v>
      </c>
      <c r="I960" s="6">
        <v>3</v>
      </c>
      <c r="J960" s="6" t="s">
        <v>540</v>
      </c>
      <c r="K960" s="6" t="s">
        <v>760</v>
      </c>
    </row>
    <row r="961" s="6" customFormat="1" customHeight="1" spans="3:11">
      <c r="C961" s="6">
        <v>2439</v>
      </c>
      <c r="D961" s="6" t="s">
        <v>988</v>
      </c>
      <c r="E961" s="6">
        <v>2</v>
      </c>
      <c r="F961" s="6">
        <f t="shared" si="20"/>
        <v>5268</v>
      </c>
      <c r="G961" s="6">
        <v>1</v>
      </c>
      <c r="H961" s="6">
        <v>12</v>
      </c>
      <c r="I961" s="6">
        <v>3</v>
      </c>
      <c r="J961" s="6" t="s">
        <v>540</v>
      </c>
      <c r="K961" s="6" t="s">
        <v>762</v>
      </c>
    </row>
    <row r="962" s="6" customFormat="1" customHeight="1" spans="3:11">
      <c r="C962" s="6">
        <v>2440</v>
      </c>
      <c r="D962" s="6" t="s">
        <v>989</v>
      </c>
      <c r="E962" s="9">
        <v>2</v>
      </c>
      <c r="F962" s="9">
        <f t="shared" si="20"/>
        <v>5280</v>
      </c>
      <c r="G962" s="9">
        <v>1</v>
      </c>
      <c r="H962" s="9">
        <v>9</v>
      </c>
      <c r="I962" s="9">
        <v>3</v>
      </c>
      <c r="J962" s="9" t="s">
        <v>540</v>
      </c>
      <c r="K962" s="9" t="s">
        <v>764</v>
      </c>
    </row>
    <row r="963" s="6" customFormat="1" customHeight="1" spans="3:11">
      <c r="C963" s="6">
        <v>2441</v>
      </c>
      <c r="D963" s="6" t="s">
        <v>990</v>
      </c>
      <c r="E963" s="6">
        <v>2</v>
      </c>
      <c r="F963" s="6">
        <f t="shared" si="20"/>
        <v>5292</v>
      </c>
      <c r="G963" s="6">
        <v>1</v>
      </c>
      <c r="H963" s="6">
        <v>14</v>
      </c>
      <c r="I963" s="6">
        <v>50</v>
      </c>
      <c r="J963" s="6" t="s">
        <v>540</v>
      </c>
      <c r="K963" s="6" t="s">
        <v>15</v>
      </c>
    </row>
    <row r="964" s="6" customFormat="1" customHeight="1" spans="3:11">
      <c r="C964" s="6">
        <v>2442</v>
      </c>
      <c r="D964" s="6" t="s">
        <v>991</v>
      </c>
      <c r="E964" s="6">
        <v>2</v>
      </c>
      <c r="F964" s="6">
        <f t="shared" si="20"/>
        <v>5304</v>
      </c>
      <c r="G964" s="6">
        <v>1</v>
      </c>
      <c r="H964" s="6">
        <v>15</v>
      </c>
      <c r="I964" s="6">
        <v>50</v>
      </c>
      <c r="J964" s="6" t="s">
        <v>540</v>
      </c>
      <c r="K964" s="6" t="s">
        <v>19</v>
      </c>
    </row>
    <row r="965" s="6" customFormat="1" customHeight="1" spans="3:11">
      <c r="C965" s="6">
        <v>2443</v>
      </c>
      <c r="D965" s="6" t="s">
        <v>992</v>
      </c>
      <c r="E965" s="6">
        <v>2</v>
      </c>
      <c r="F965" s="6">
        <f t="shared" si="20"/>
        <v>5316</v>
      </c>
      <c r="G965" s="6">
        <v>1</v>
      </c>
      <c r="H965" s="6">
        <v>16</v>
      </c>
      <c r="I965" s="6">
        <v>50</v>
      </c>
      <c r="J965" s="6" t="s">
        <v>540</v>
      </c>
      <c r="K965" s="6" t="s">
        <v>21</v>
      </c>
    </row>
    <row r="966" s="6" customFormat="1" customHeight="1" spans="3:11">
      <c r="C966" s="6">
        <v>2444</v>
      </c>
      <c r="D966" s="6" t="s">
        <v>993</v>
      </c>
      <c r="E966" s="6">
        <v>2</v>
      </c>
      <c r="F966" s="6">
        <f t="shared" si="20"/>
        <v>5328</v>
      </c>
      <c r="G966" s="6">
        <v>1</v>
      </c>
      <c r="H966" s="6">
        <v>18</v>
      </c>
      <c r="I966" s="6">
        <v>16</v>
      </c>
      <c r="J966" s="6" t="s">
        <v>540</v>
      </c>
      <c r="K966" s="6" t="s">
        <v>544</v>
      </c>
    </row>
    <row r="967" s="6" customFormat="1" customHeight="1" spans="3:11">
      <c r="C967" s="6">
        <v>2445</v>
      </c>
      <c r="D967" s="6" t="s">
        <v>994</v>
      </c>
      <c r="E967" s="6">
        <v>2</v>
      </c>
      <c r="F967" s="6">
        <f t="shared" si="20"/>
        <v>5340</v>
      </c>
      <c r="G967" s="6">
        <v>1</v>
      </c>
      <c r="H967" s="6">
        <v>20</v>
      </c>
      <c r="I967" s="6">
        <v>16</v>
      </c>
      <c r="J967" s="6" t="s">
        <v>540</v>
      </c>
      <c r="K967" s="6" t="s">
        <v>548</v>
      </c>
    </row>
    <row r="968" s="6" customFormat="1" customHeight="1" spans="3:11">
      <c r="C968" s="6">
        <v>2446</v>
      </c>
      <c r="D968" s="6" t="s">
        <v>995</v>
      </c>
      <c r="E968" s="6">
        <v>2</v>
      </c>
      <c r="F968" s="6">
        <f t="shared" si="20"/>
        <v>5352</v>
      </c>
      <c r="G968" s="6">
        <v>1</v>
      </c>
      <c r="H968" s="6">
        <v>24</v>
      </c>
      <c r="I968" s="6">
        <v>16</v>
      </c>
      <c r="J968" s="6" t="s">
        <v>540</v>
      </c>
      <c r="K968" s="6" t="s">
        <v>550</v>
      </c>
    </row>
    <row r="969" s="6" customFormat="1" customHeight="1" spans="3:11">
      <c r="C969" s="6">
        <v>2447</v>
      </c>
      <c r="D969" s="6" t="s">
        <v>996</v>
      </c>
      <c r="E969" s="6">
        <v>2</v>
      </c>
      <c r="F969" s="6">
        <f t="shared" si="20"/>
        <v>5364</v>
      </c>
      <c r="G969" s="6">
        <v>1</v>
      </c>
      <c r="H969" s="6">
        <v>26</v>
      </c>
      <c r="I969" s="6">
        <v>50</v>
      </c>
      <c r="J969" s="6" t="s">
        <v>540</v>
      </c>
      <c r="K969" s="6" t="s">
        <v>552</v>
      </c>
    </row>
    <row r="970" s="6" customFormat="1" customHeight="1" spans="3:11">
      <c r="C970" s="6">
        <v>2448</v>
      </c>
      <c r="D970" s="6" t="s">
        <v>997</v>
      </c>
      <c r="E970" s="6">
        <v>2</v>
      </c>
      <c r="F970" s="6">
        <f t="shared" si="20"/>
        <v>5376</v>
      </c>
      <c r="G970" s="6">
        <v>1</v>
      </c>
      <c r="H970" s="6">
        <v>27</v>
      </c>
      <c r="I970" s="6">
        <v>50</v>
      </c>
      <c r="J970" s="6" t="s">
        <v>540</v>
      </c>
      <c r="K970" s="6" t="s">
        <v>554</v>
      </c>
    </row>
    <row r="971" s="6" customFormat="1" customHeight="1" spans="3:11">
      <c r="C971" s="6">
        <v>2449</v>
      </c>
      <c r="D971" s="6" t="s">
        <v>998</v>
      </c>
      <c r="E971" s="6">
        <v>2</v>
      </c>
      <c r="F971" s="6">
        <f t="shared" si="20"/>
        <v>5388</v>
      </c>
      <c r="G971" s="6">
        <v>1</v>
      </c>
      <c r="H971" s="6">
        <v>28</v>
      </c>
      <c r="I971" s="6">
        <v>50</v>
      </c>
      <c r="J971" s="6" t="s">
        <v>540</v>
      </c>
      <c r="K971" s="6" t="s">
        <v>556</v>
      </c>
    </row>
    <row r="972" s="6" customFormat="1" customHeight="1" spans="3:11">
      <c r="C972" s="6">
        <v>2450</v>
      </c>
      <c r="D972" s="6" t="s">
        <v>999</v>
      </c>
      <c r="E972" s="6">
        <v>2</v>
      </c>
      <c r="F972" s="6">
        <f t="shared" si="20"/>
        <v>5400</v>
      </c>
      <c r="G972" s="6">
        <v>1</v>
      </c>
      <c r="H972" s="6">
        <v>33</v>
      </c>
      <c r="I972" s="6">
        <v>12</v>
      </c>
      <c r="J972" s="6" t="s">
        <v>540</v>
      </c>
      <c r="K972" s="6" t="s">
        <v>236</v>
      </c>
    </row>
    <row r="973" s="6" customFormat="1" customHeight="1" spans="3:11">
      <c r="C973" s="6">
        <v>2451</v>
      </c>
      <c r="D973" s="6" t="s">
        <v>1000</v>
      </c>
      <c r="E973" s="6">
        <v>2</v>
      </c>
      <c r="F973" s="6">
        <f t="shared" si="20"/>
        <v>5412</v>
      </c>
      <c r="G973" s="6">
        <v>1</v>
      </c>
      <c r="H973" s="6">
        <v>34</v>
      </c>
      <c r="I973" s="6">
        <v>12</v>
      </c>
      <c r="J973" s="6" t="s">
        <v>540</v>
      </c>
      <c r="K973" s="6" t="s">
        <v>238</v>
      </c>
    </row>
    <row r="974" s="6" customFormat="1" customHeight="1" spans="3:11">
      <c r="C974" s="6">
        <v>2452</v>
      </c>
      <c r="D974" s="6" t="s">
        <v>1001</v>
      </c>
      <c r="E974" s="6">
        <v>2</v>
      </c>
      <c r="F974" s="6">
        <f t="shared" si="20"/>
        <v>5424</v>
      </c>
      <c r="G974" s="6">
        <v>1</v>
      </c>
      <c r="H974" s="6">
        <v>35</v>
      </c>
      <c r="I974" s="6">
        <v>12</v>
      </c>
      <c r="J974" s="6" t="s">
        <v>540</v>
      </c>
      <c r="K974" s="6" t="s">
        <v>240</v>
      </c>
    </row>
    <row r="975" s="6" customFormat="1" customHeight="1" spans="3:11">
      <c r="C975" s="6">
        <v>2453</v>
      </c>
      <c r="D975" s="6" t="s">
        <v>1002</v>
      </c>
      <c r="E975" s="6">
        <v>2</v>
      </c>
      <c r="F975" s="6">
        <f t="shared" si="20"/>
        <v>5436</v>
      </c>
      <c r="G975" s="6">
        <v>1</v>
      </c>
      <c r="H975" s="6">
        <v>12</v>
      </c>
      <c r="I975" s="6">
        <v>3</v>
      </c>
      <c r="J975" s="6" t="s">
        <v>540</v>
      </c>
      <c r="K975" s="6" t="s">
        <v>760</v>
      </c>
    </row>
    <row r="976" s="6" customFormat="1" customHeight="1" spans="3:11">
      <c r="C976" s="6">
        <v>2454</v>
      </c>
      <c r="D976" s="6" t="s">
        <v>1003</v>
      </c>
      <c r="E976" s="6">
        <v>2</v>
      </c>
      <c r="F976" s="6">
        <f t="shared" si="20"/>
        <v>5448</v>
      </c>
      <c r="G976" s="6">
        <v>1</v>
      </c>
      <c r="H976" s="6">
        <v>12</v>
      </c>
      <c r="I976" s="6">
        <v>3</v>
      </c>
      <c r="J976" s="6" t="s">
        <v>540</v>
      </c>
      <c r="K976" s="6" t="s">
        <v>762</v>
      </c>
    </row>
    <row r="977" s="6" customFormat="1" customHeight="1" spans="3:11">
      <c r="C977" s="6">
        <v>2455</v>
      </c>
      <c r="D977" s="6" t="s">
        <v>1004</v>
      </c>
      <c r="E977" s="9">
        <v>2</v>
      </c>
      <c r="F977" s="9">
        <f t="shared" si="20"/>
        <v>5460</v>
      </c>
      <c r="G977" s="9">
        <v>1</v>
      </c>
      <c r="H977" s="9">
        <v>9</v>
      </c>
      <c r="I977" s="9">
        <v>3</v>
      </c>
      <c r="J977" s="9" t="s">
        <v>540</v>
      </c>
      <c r="K977" s="9" t="s">
        <v>764</v>
      </c>
    </row>
    <row r="978" s="6" customFormat="1" customHeight="1" spans="3:11">
      <c r="C978" s="6">
        <v>2456</v>
      </c>
      <c r="D978" s="6" t="s">
        <v>1005</v>
      </c>
      <c r="E978" s="6">
        <v>2</v>
      </c>
      <c r="F978" s="6">
        <f t="shared" si="20"/>
        <v>5472</v>
      </c>
      <c r="G978" s="6">
        <v>1</v>
      </c>
      <c r="H978" s="6">
        <v>14</v>
      </c>
      <c r="I978" s="6">
        <v>50</v>
      </c>
      <c r="J978" s="6" t="s">
        <v>540</v>
      </c>
      <c r="K978" s="6" t="s">
        <v>15</v>
      </c>
    </row>
    <row r="979" s="6" customFormat="1" customHeight="1" spans="3:11">
      <c r="C979" s="6">
        <v>2457</v>
      </c>
      <c r="D979" s="6" t="s">
        <v>1006</v>
      </c>
      <c r="E979" s="6">
        <v>2</v>
      </c>
      <c r="F979" s="6">
        <f t="shared" si="20"/>
        <v>5484</v>
      </c>
      <c r="G979" s="6">
        <v>1</v>
      </c>
      <c r="H979" s="6">
        <v>15</v>
      </c>
      <c r="I979" s="6">
        <v>50</v>
      </c>
      <c r="J979" s="6" t="s">
        <v>540</v>
      </c>
      <c r="K979" s="6" t="s">
        <v>19</v>
      </c>
    </row>
    <row r="980" s="6" customFormat="1" customHeight="1" spans="3:11">
      <c r="C980" s="6">
        <v>2458</v>
      </c>
      <c r="D980" s="6" t="s">
        <v>1007</v>
      </c>
      <c r="E980" s="6">
        <v>2</v>
      </c>
      <c r="F980" s="6">
        <f t="shared" si="20"/>
        <v>5496</v>
      </c>
      <c r="G980" s="6">
        <v>1</v>
      </c>
      <c r="H980" s="6">
        <v>16</v>
      </c>
      <c r="I980" s="6">
        <v>50</v>
      </c>
      <c r="J980" s="6" t="s">
        <v>540</v>
      </c>
      <c r="K980" s="6" t="s">
        <v>21</v>
      </c>
    </row>
    <row r="981" s="6" customFormat="1" customHeight="1" spans="3:11">
      <c r="C981" s="6">
        <v>2459</v>
      </c>
      <c r="D981" s="6" t="s">
        <v>1008</v>
      </c>
      <c r="E981" s="6">
        <v>2</v>
      </c>
      <c r="F981" s="6">
        <f t="shared" si="20"/>
        <v>5508</v>
      </c>
      <c r="G981" s="6">
        <v>1</v>
      </c>
      <c r="H981" s="6">
        <v>18</v>
      </c>
      <c r="I981" s="6">
        <v>16</v>
      </c>
      <c r="J981" s="6" t="s">
        <v>540</v>
      </c>
      <c r="K981" s="6" t="s">
        <v>544</v>
      </c>
    </row>
    <row r="982" s="6" customFormat="1" customHeight="1" spans="3:11">
      <c r="C982" s="6">
        <v>2460</v>
      </c>
      <c r="D982" s="6" t="s">
        <v>1009</v>
      </c>
      <c r="E982" s="6">
        <v>2</v>
      </c>
      <c r="F982" s="6">
        <f t="shared" si="20"/>
        <v>5520</v>
      </c>
      <c r="G982" s="6">
        <v>1</v>
      </c>
      <c r="H982" s="6">
        <v>20</v>
      </c>
      <c r="I982" s="6">
        <v>16</v>
      </c>
      <c r="J982" s="6" t="s">
        <v>540</v>
      </c>
      <c r="K982" s="6" t="s">
        <v>548</v>
      </c>
    </row>
    <row r="983" s="6" customFormat="1" customHeight="1" spans="3:11">
      <c r="C983" s="6">
        <v>2461</v>
      </c>
      <c r="D983" s="6" t="s">
        <v>1010</v>
      </c>
      <c r="E983" s="6">
        <v>2</v>
      </c>
      <c r="F983" s="6">
        <f t="shared" si="20"/>
        <v>5532</v>
      </c>
      <c r="G983" s="6">
        <v>1</v>
      </c>
      <c r="H983" s="6">
        <v>24</v>
      </c>
      <c r="I983" s="6">
        <v>16</v>
      </c>
      <c r="J983" s="6" t="s">
        <v>540</v>
      </c>
      <c r="K983" s="6" t="s">
        <v>550</v>
      </c>
    </row>
    <row r="984" s="6" customFormat="1" customHeight="1" spans="3:11">
      <c r="C984" s="6">
        <v>2462</v>
      </c>
      <c r="D984" s="6" t="s">
        <v>1011</v>
      </c>
      <c r="E984" s="6">
        <v>2</v>
      </c>
      <c r="F984" s="6">
        <f t="shared" si="20"/>
        <v>5544</v>
      </c>
      <c r="G984" s="6">
        <v>1</v>
      </c>
      <c r="H984" s="6">
        <v>26</v>
      </c>
      <c r="I984" s="6">
        <v>50</v>
      </c>
      <c r="J984" s="6" t="s">
        <v>540</v>
      </c>
      <c r="K984" s="6" t="s">
        <v>552</v>
      </c>
    </row>
    <row r="985" s="6" customFormat="1" customHeight="1" spans="3:11">
      <c r="C985" s="6">
        <v>2463</v>
      </c>
      <c r="D985" s="6" t="s">
        <v>1012</v>
      </c>
      <c r="E985" s="6">
        <v>2</v>
      </c>
      <c r="F985" s="6">
        <f t="shared" si="20"/>
        <v>5556</v>
      </c>
      <c r="G985" s="6">
        <v>1</v>
      </c>
      <c r="H985" s="6">
        <v>27</v>
      </c>
      <c r="I985" s="6">
        <v>50</v>
      </c>
      <c r="J985" s="6" t="s">
        <v>540</v>
      </c>
      <c r="K985" s="6" t="s">
        <v>554</v>
      </c>
    </row>
    <row r="986" s="6" customFormat="1" customHeight="1" spans="3:11">
      <c r="C986" s="6">
        <v>2464</v>
      </c>
      <c r="D986" s="6" t="s">
        <v>1013</v>
      </c>
      <c r="E986" s="6">
        <v>2</v>
      </c>
      <c r="F986" s="6">
        <f t="shared" si="20"/>
        <v>5568</v>
      </c>
      <c r="G986" s="6">
        <v>1</v>
      </c>
      <c r="H986" s="6">
        <v>28</v>
      </c>
      <c r="I986" s="6">
        <v>50</v>
      </c>
      <c r="J986" s="6" t="s">
        <v>540</v>
      </c>
      <c r="K986" s="6" t="s">
        <v>556</v>
      </c>
    </row>
    <row r="987" s="6" customFormat="1" customHeight="1" spans="3:11">
      <c r="C987" s="6">
        <v>2465</v>
      </c>
      <c r="D987" s="6" t="s">
        <v>1014</v>
      </c>
      <c r="E987" s="6">
        <v>2</v>
      </c>
      <c r="F987" s="6">
        <f t="shared" si="20"/>
        <v>5580</v>
      </c>
      <c r="G987" s="6">
        <v>1</v>
      </c>
      <c r="H987" s="6">
        <v>33</v>
      </c>
      <c r="I987" s="6">
        <v>12</v>
      </c>
      <c r="J987" s="6" t="s">
        <v>540</v>
      </c>
      <c r="K987" s="6" t="s">
        <v>236</v>
      </c>
    </row>
    <row r="988" s="6" customFormat="1" customHeight="1" spans="3:11">
      <c r="C988" s="6">
        <v>2466</v>
      </c>
      <c r="D988" s="6" t="s">
        <v>1015</v>
      </c>
      <c r="E988" s="6">
        <v>2</v>
      </c>
      <c r="F988" s="6">
        <f t="shared" si="20"/>
        <v>5592</v>
      </c>
      <c r="G988" s="6">
        <v>1</v>
      </c>
      <c r="H988" s="6">
        <v>34</v>
      </c>
      <c r="I988" s="6">
        <v>12</v>
      </c>
      <c r="J988" s="6" t="s">
        <v>540</v>
      </c>
      <c r="K988" s="6" t="s">
        <v>238</v>
      </c>
    </row>
    <row r="989" s="6" customFormat="1" customHeight="1" spans="3:11">
      <c r="C989" s="6">
        <v>2467</v>
      </c>
      <c r="D989" s="6" t="s">
        <v>1016</v>
      </c>
      <c r="E989" s="6">
        <v>2</v>
      </c>
      <c r="F989" s="6">
        <f t="shared" si="20"/>
        <v>5604</v>
      </c>
      <c r="G989" s="6">
        <v>1</v>
      </c>
      <c r="H989" s="6">
        <v>35</v>
      </c>
      <c r="I989" s="6">
        <v>12</v>
      </c>
      <c r="J989" s="6" t="s">
        <v>540</v>
      </c>
      <c r="K989" s="6" t="s">
        <v>240</v>
      </c>
    </row>
    <row r="990" s="6" customFormat="1" customHeight="1" spans="3:11">
      <c r="C990" s="6">
        <v>2468</v>
      </c>
      <c r="D990" s="6" t="s">
        <v>1017</v>
      </c>
      <c r="E990" s="6">
        <v>2</v>
      </c>
      <c r="F990" s="6">
        <f t="shared" si="20"/>
        <v>5616</v>
      </c>
      <c r="G990" s="6">
        <v>1</v>
      </c>
      <c r="H990" s="6">
        <v>12</v>
      </c>
      <c r="I990" s="6">
        <v>3</v>
      </c>
      <c r="J990" s="6" t="s">
        <v>540</v>
      </c>
      <c r="K990" s="6" t="s">
        <v>760</v>
      </c>
    </row>
    <row r="991" s="6" customFormat="1" customHeight="1" spans="3:11">
      <c r="C991" s="6">
        <v>2469</v>
      </c>
      <c r="D991" s="6" t="s">
        <v>1018</v>
      </c>
      <c r="E991" s="6">
        <v>2</v>
      </c>
      <c r="F991" s="6">
        <f t="shared" si="20"/>
        <v>5628</v>
      </c>
      <c r="G991" s="6">
        <v>1</v>
      </c>
      <c r="H991" s="6">
        <v>12</v>
      </c>
      <c r="I991" s="6">
        <v>3</v>
      </c>
      <c r="J991" s="6" t="s">
        <v>540</v>
      </c>
      <c r="K991" s="6" t="s">
        <v>762</v>
      </c>
    </row>
    <row r="992" s="6" customFormat="1" customHeight="1" spans="3:11">
      <c r="C992" s="6">
        <v>2470</v>
      </c>
      <c r="D992" s="6" t="s">
        <v>1019</v>
      </c>
      <c r="E992" s="9">
        <v>2</v>
      </c>
      <c r="F992" s="9">
        <f t="shared" si="20"/>
        <v>5640</v>
      </c>
      <c r="G992" s="9">
        <v>1</v>
      </c>
      <c r="H992" s="9">
        <v>9</v>
      </c>
      <c r="I992" s="9">
        <v>3</v>
      </c>
      <c r="J992" s="9" t="s">
        <v>540</v>
      </c>
      <c r="K992" s="9" t="s">
        <v>764</v>
      </c>
    </row>
    <row r="993" s="6" customFormat="1" customHeight="1" spans="3:11">
      <c r="C993" s="6">
        <v>2471</v>
      </c>
      <c r="D993" s="6" t="s">
        <v>1020</v>
      </c>
      <c r="E993" s="6">
        <v>2</v>
      </c>
      <c r="F993" s="6">
        <f t="shared" si="20"/>
        <v>5652</v>
      </c>
      <c r="G993" s="6">
        <v>1</v>
      </c>
      <c r="H993" s="6">
        <v>14</v>
      </c>
      <c r="I993" s="6">
        <v>50</v>
      </c>
      <c r="J993" s="6" t="s">
        <v>540</v>
      </c>
      <c r="K993" s="6" t="s">
        <v>15</v>
      </c>
    </row>
    <row r="994" s="6" customFormat="1" customHeight="1" spans="3:11">
      <c r="C994" s="6">
        <v>2472</v>
      </c>
      <c r="D994" s="6" t="s">
        <v>1021</v>
      </c>
      <c r="E994" s="6">
        <v>2</v>
      </c>
      <c r="F994" s="6">
        <f t="shared" si="20"/>
        <v>5664</v>
      </c>
      <c r="G994" s="6">
        <v>1</v>
      </c>
      <c r="H994" s="6">
        <v>15</v>
      </c>
      <c r="I994" s="6">
        <v>50</v>
      </c>
      <c r="J994" s="6" t="s">
        <v>540</v>
      </c>
      <c r="K994" s="6" t="s">
        <v>19</v>
      </c>
    </row>
    <row r="995" s="6" customFormat="1" customHeight="1" spans="3:11">
      <c r="C995" s="6">
        <v>2473</v>
      </c>
      <c r="D995" s="6" t="s">
        <v>1022</v>
      </c>
      <c r="E995" s="6">
        <v>2</v>
      </c>
      <c r="F995" s="6">
        <f t="shared" si="20"/>
        <v>5676</v>
      </c>
      <c r="G995" s="6">
        <v>1</v>
      </c>
      <c r="H995" s="6">
        <v>16</v>
      </c>
      <c r="I995" s="6">
        <v>50</v>
      </c>
      <c r="J995" s="6" t="s">
        <v>540</v>
      </c>
      <c r="K995" s="6" t="s">
        <v>21</v>
      </c>
    </row>
    <row r="996" s="6" customFormat="1" customHeight="1" spans="3:11">
      <c r="C996" s="6">
        <v>2474</v>
      </c>
      <c r="D996" s="6" t="s">
        <v>1023</v>
      </c>
      <c r="E996" s="6">
        <v>2</v>
      </c>
      <c r="F996" s="6">
        <f t="shared" si="20"/>
        <v>5688</v>
      </c>
      <c r="G996" s="6">
        <v>1</v>
      </c>
      <c r="H996" s="6">
        <v>18</v>
      </c>
      <c r="I996" s="6">
        <v>16</v>
      </c>
      <c r="J996" s="6" t="s">
        <v>540</v>
      </c>
      <c r="K996" s="6" t="s">
        <v>544</v>
      </c>
    </row>
    <row r="997" s="6" customFormat="1" customHeight="1" spans="3:11">
      <c r="C997" s="6">
        <v>2475</v>
      </c>
      <c r="D997" s="6" t="s">
        <v>1024</v>
      </c>
      <c r="E997" s="6">
        <v>2</v>
      </c>
      <c r="F997" s="6">
        <f t="shared" si="20"/>
        <v>5700</v>
      </c>
      <c r="G997" s="6">
        <v>1</v>
      </c>
      <c r="H997" s="6">
        <v>20</v>
      </c>
      <c r="I997" s="6">
        <v>16</v>
      </c>
      <c r="J997" s="6" t="s">
        <v>540</v>
      </c>
      <c r="K997" s="6" t="s">
        <v>548</v>
      </c>
    </row>
    <row r="998" s="6" customFormat="1" customHeight="1" spans="3:11">
      <c r="C998" s="6">
        <v>2476</v>
      </c>
      <c r="D998" s="6" t="s">
        <v>1025</v>
      </c>
      <c r="E998" s="6">
        <v>2</v>
      </c>
      <c r="F998" s="6">
        <f t="shared" ref="F998:F1007" si="21">(C998-2000)*12</f>
        <v>5712</v>
      </c>
      <c r="G998" s="6">
        <v>1</v>
      </c>
      <c r="H998" s="6">
        <v>24</v>
      </c>
      <c r="I998" s="6">
        <v>16</v>
      </c>
      <c r="J998" s="6" t="s">
        <v>540</v>
      </c>
      <c r="K998" s="6" t="s">
        <v>550</v>
      </c>
    </row>
    <row r="999" s="6" customFormat="1" customHeight="1" spans="3:11">
      <c r="C999" s="6">
        <v>2477</v>
      </c>
      <c r="D999" s="6" t="s">
        <v>1026</v>
      </c>
      <c r="E999" s="6">
        <v>2</v>
      </c>
      <c r="F999" s="6">
        <f t="shared" si="21"/>
        <v>5724</v>
      </c>
      <c r="G999" s="6">
        <v>1</v>
      </c>
      <c r="H999" s="6">
        <v>26</v>
      </c>
      <c r="I999" s="6">
        <v>50</v>
      </c>
      <c r="J999" s="6" t="s">
        <v>540</v>
      </c>
      <c r="K999" s="6" t="s">
        <v>552</v>
      </c>
    </row>
    <row r="1000" s="6" customFormat="1" customHeight="1" spans="3:11">
      <c r="C1000" s="6">
        <v>2478</v>
      </c>
      <c r="D1000" s="6" t="s">
        <v>1027</v>
      </c>
      <c r="E1000" s="6">
        <v>2</v>
      </c>
      <c r="F1000" s="6">
        <f t="shared" si="21"/>
        <v>5736</v>
      </c>
      <c r="G1000" s="6">
        <v>1</v>
      </c>
      <c r="H1000" s="6">
        <v>27</v>
      </c>
      <c r="I1000" s="6">
        <v>50</v>
      </c>
      <c r="J1000" s="6" t="s">
        <v>540</v>
      </c>
      <c r="K1000" s="6" t="s">
        <v>554</v>
      </c>
    </row>
    <row r="1001" s="6" customFormat="1" customHeight="1" spans="3:11">
      <c r="C1001" s="6">
        <v>2479</v>
      </c>
      <c r="D1001" s="6" t="s">
        <v>1028</v>
      </c>
      <c r="E1001" s="6">
        <v>2</v>
      </c>
      <c r="F1001" s="6">
        <f t="shared" si="21"/>
        <v>5748</v>
      </c>
      <c r="G1001" s="6">
        <v>1</v>
      </c>
      <c r="H1001" s="6">
        <v>28</v>
      </c>
      <c r="I1001" s="6">
        <v>50</v>
      </c>
      <c r="J1001" s="6" t="s">
        <v>540</v>
      </c>
      <c r="K1001" s="6" t="s">
        <v>556</v>
      </c>
    </row>
    <row r="1002" s="6" customFormat="1" customHeight="1" spans="3:11">
      <c r="C1002" s="6">
        <v>2480</v>
      </c>
      <c r="D1002" s="6" t="s">
        <v>1029</v>
      </c>
      <c r="E1002" s="6">
        <v>2</v>
      </c>
      <c r="F1002" s="6">
        <f t="shared" si="21"/>
        <v>5760</v>
      </c>
      <c r="G1002" s="6">
        <v>1</v>
      </c>
      <c r="H1002" s="6">
        <v>33</v>
      </c>
      <c r="I1002" s="6">
        <v>12</v>
      </c>
      <c r="J1002" s="6" t="s">
        <v>540</v>
      </c>
      <c r="K1002" s="6" t="s">
        <v>236</v>
      </c>
    </row>
    <row r="1003" s="6" customFormat="1" customHeight="1" spans="3:11">
      <c r="C1003" s="6">
        <v>2481</v>
      </c>
      <c r="D1003" s="6" t="s">
        <v>1030</v>
      </c>
      <c r="E1003" s="6">
        <v>2</v>
      </c>
      <c r="F1003" s="6">
        <f t="shared" si="21"/>
        <v>5772</v>
      </c>
      <c r="G1003" s="6">
        <v>1</v>
      </c>
      <c r="H1003" s="6">
        <v>34</v>
      </c>
      <c r="I1003" s="6">
        <v>12</v>
      </c>
      <c r="J1003" s="6" t="s">
        <v>540</v>
      </c>
      <c r="K1003" s="6" t="s">
        <v>238</v>
      </c>
    </row>
    <row r="1004" s="6" customFormat="1" customHeight="1" spans="3:11">
      <c r="C1004" s="6">
        <v>2482</v>
      </c>
      <c r="D1004" s="6" t="s">
        <v>1031</v>
      </c>
      <c r="E1004" s="6">
        <v>2</v>
      </c>
      <c r="F1004" s="6">
        <f t="shared" si="21"/>
        <v>5784</v>
      </c>
      <c r="G1004" s="6">
        <v>1</v>
      </c>
      <c r="H1004" s="6">
        <v>35</v>
      </c>
      <c r="I1004" s="6">
        <v>12</v>
      </c>
      <c r="J1004" s="6" t="s">
        <v>540</v>
      </c>
      <c r="K1004" s="6" t="s">
        <v>240</v>
      </c>
    </row>
    <row r="1005" s="6" customFormat="1" customHeight="1" spans="3:11">
      <c r="C1005" s="6">
        <v>2483</v>
      </c>
      <c r="D1005" s="6" t="s">
        <v>1032</v>
      </c>
      <c r="E1005" s="6">
        <v>2</v>
      </c>
      <c r="F1005" s="6">
        <f t="shared" si="21"/>
        <v>5796</v>
      </c>
      <c r="G1005" s="6">
        <v>1</v>
      </c>
      <c r="H1005" s="6">
        <v>12</v>
      </c>
      <c r="I1005" s="6">
        <v>3</v>
      </c>
      <c r="J1005" s="6" t="s">
        <v>540</v>
      </c>
      <c r="K1005" s="6" t="s">
        <v>760</v>
      </c>
    </row>
    <row r="1006" s="6" customFormat="1" customHeight="1" spans="3:11">
      <c r="C1006" s="6">
        <v>2484</v>
      </c>
      <c r="D1006" s="6" t="s">
        <v>1033</v>
      </c>
      <c r="E1006" s="6">
        <v>2</v>
      </c>
      <c r="F1006" s="6">
        <f t="shared" si="21"/>
        <v>5808</v>
      </c>
      <c r="G1006" s="6">
        <v>1</v>
      </c>
      <c r="H1006" s="6">
        <v>12</v>
      </c>
      <c r="I1006" s="6">
        <v>3</v>
      </c>
      <c r="J1006" s="6" t="s">
        <v>540</v>
      </c>
      <c r="K1006" s="6" t="s">
        <v>762</v>
      </c>
    </row>
    <row r="1007" s="6" customFormat="1" customHeight="1" spans="3:11">
      <c r="C1007" s="6">
        <v>2485</v>
      </c>
      <c r="D1007" s="6" t="s">
        <v>1034</v>
      </c>
      <c r="E1007" s="9">
        <v>2</v>
      </c>
      <c r="F1007" s="9">
        <f t="shared" si="21"/>
        <v>5820</v>
      </c>
      <c r="G1007" s="9">
        <v>1</v>
      </c>
      <c r="H1007" s="9">
        <v>9</v>
      </c>
      <c r="I1007" s="9">
        <v>3</v>
      </c>
      <c r="J1007" s="9" t="s">
        <v>540</v>
      </c>
      <c r="K1007" s="9" t="s">
        <v>764</v>
      </c>
    </row>
    <row r="1008" s="6" customFormat="1" customHeight="1" spans="3:11">
      <c r="C1008" s="6">
        <v>2486</v>
      </c>
      <c r="D1008" s="6" t="s">
        <v>1035</v>
      </c>
      <c r="E1008" s="6">
        <v>2</v>
      </c>
      <c r="F1008" s="6">
        <f t="shared" ref="F1008:F1037" si="22">(F1007)+36</f>
        <v>5856</v>
      </c>
      <c r="G1008" s="6">
        <v>1</v>
      </c>
      <c r="H1008" s="6">
        <v>14</v>
      </c>
      <c r="I1008" s="6">
        <v>150</v>
      </c>
      <c r="J1008" s="6" t="s">
        <v>540</v>
      </c>
      <c r="K1008" s="6" t="s">
        <v>15</v>
      </c>
    </row>
    <row r="1009" s="6" customFormat="1" customHeight="1" spans="3:11">
      <c r="C1009" s="6">
        <v>2487</v>
      </c>
      <c r="D1009" s="6" t="s">
        <v>1036</v>
      </c>
      <c r="E1009" s="6">
        <v>2</v>
      </c>
      <c r="F1009" s="6">
        <f t="shared" si="22"/>
        <v>5892</v>
      </c>
      <c r="G1009" s="6">
        <v>1</v>
      </c>
      <c r="H1009" s="6">
        <v>15</v>
      </c>
      <c r="I1009" s="6">
        <v>150</v>
      </c>
      <c r="J1009" s="6" t="s">
        <v>540</v>
      </c>
      <c r="K1009" s="6" t="s">
        <v>19</v>
      </c>
    </row>
    <row r="1010" s="6" customFormat="1" customHeight="1" spans="3:11">
      <c r="C1010" s="6">
        <v>2488</v>
      </c>
      <c r="D1010" s="6" t="s">
        <v>1037</v>
      </c>
      <c r="E1010" s="6">
        <v>2</v>
      </c>
      <c r="F1010" s="6">
        <f t="shared" si="22"/>
        <v>5928</v>
      </c>
      <c r="G1010" s="6">
        <v>1</v>
      </c>
      <c r="H1010" s="6">
        <v>16</v>
      </c>
      <c r="I1010" s="6">
        <v>150</v>
      </c>
      <c r="J1010" s="6" t="s">
        <v>540</v>
      </c>
      <c r="K1010" s="6" t="s">
        <v>21</v>
      </c>
    </row>
    <row r="1011" s="6" customFormat="1" customHeight="1" spans="3:11">
      <c r="C1011" s="6">
        <v>2489</v>
      </c>
      <c r="D1011" s="6" t="s">
        <v>1038</v>
      </c>
      <c r="E1011" s="6">
        <v>2</v>
      </c>
      <c r="F1011" s="6">
        <f t="shared" si="22"/>
        <v>5964</v>
      </c>
      <c r="G1011" s="6">
        <v>1</v>
      </c>
      <c r="H1011" s="6">
        <v>18</v>
      </c>
      <c r="I1011" s="6">
        <v>48</v>
      </c>
      <c r="J1011" s="6" t="s">
        <v>540</v>
      </c>
      <c r="K1011" s="6" t="s">
        <v>544</v>
      </c>
    </row>
    <row r="1012" s="6" customFormat="1" customHeight="1" spans="3:11">
      <c r="C1012" s="6">
        <v>2490</v>
      </c>
      <c r="D1012" s="6" t="s">
        <v>1039</v>
      </c>
      <c r="E1012" s="6">
        <v>2</v>
      </c>
      <c r="F1012" s="6">
        <f t="shared" si="22"/>
        <v>6000</v>
      </c>
      <c r="G1012" s="6">
        <v>1</v>
      </c>
      <c r="H1012" s="6">
        <v>20</v>
      </c>
      <c r="I1012" s="6">
        <v>48</v>
      </c>
      <c r="J1012" s="6" t="s">
        <v>540</v>
      </c>
      <c r="K1012" s="6" t="s">
        <v>548</v>
      </c>
    </row>
    <row r="1013" s="6" customFormat="1" customHeight="1" spans="3:11">
      <c r="C1013" s="6">
        <v>2491</v>
      </c>
      <c r="D1013" s="6" t="s">
        <v>1040</v>
      </c>
      <c r="E1013" s="6">
        <v>2</v>
      </c>
      <c r="F1013" s="6">
        <f t="shared" si="22"/>
        <v>6036</v>
      </c>
      <c r="G1013" s="6">
        <v>1</v>
      </c>
      <c r="H1013" s="6">
        <v>24</v>
      </c>
      <c r="I1013" s="6">
        <v>24</v>
      </c>
      <c r="J1013" s="6" t="s">
        <v>540</v>
      </c>
      <c r="K1013" s="6" t="s">
        <v>550</v>
      </c>
    </row>
    <row r="1014" s="6" customFormat="1" customHeight="1" spans="3:11">
      <c r="C1014" s="6">
        <v>2492</v>
      </c>
      <c r="D1014" s="6" t="s">
        <v>1041</v>
      </c>
      <c r="E1014" s="6">
        <v>2</v>
      </c>
      <c r="F1014" s="6">
        <f t="shared" si="22"/>
        <v>6072</v>
      </c>
      <c r="G1014" s="6">
        <v>1</v>
      </c>
      <c r="H1014" s="6">
        <v>26</v>
      </c>
      <c r="I1014" s="6">
        <v>150</v>
      </c>
      <c r="J1014" s="6" t="s">
        <v>540</v>
      </c>
      <c r="K1014" s="6" t="s">
        <v>552</v>
      </c>
    </row>
    <row r="1015" s="6" customFormat="1" customHeight="1" spans="3:11">
      <c r="C1015" s="6">
        <v>2493</v>
      </c>
      <c r="D1015" s="6" t="s">
        <v>1042</v>
      </c>
      <c r="E1015" s="6">
        <v>2</v>
      </c>
      <c r="F1015" s="6">
        <f t="shared" si="22"/>
        <v>6108</v>
      </c>
      <c r="G1015" s="6">
        <v>1</v>
      </c>
      <c r="H1015" s="6">
        <v>27</v>
      </c>
      <c r="I1015" s="6">
        <v>150</v>
      </c>
      <c r="J1015" s="6" t="s">
        <v>540</v>
      </c>
      <c r="K1015" s="6" t="s">
        <v>554</v>
      </c>
    </row>
    <row r="1016" s="6" customFormat="1" customHeight="1" spans="3:11">
      <c r="C1016" s="6">
        <v>2494</v>
      </c>
      <c r="D1016" s="6" t="s">
        <v>1043</v>
      </c>
      <c r="E1016" s="6">
        <v>2</v>
      </c>
      <c r="F1016" s="6">
        <f t="shared" si="22"/>
        <v>6144</v>
      </c>
      <c r="G1016" s="6">
        <v>1</v>
      </c>
      <c r="H1016" s="6">
        <v>28</v>
      </c>
      <c r="I1016" s="6">
        <v>150</v>
      </c>
      <c r="J1016" s="6" t="s">
        <v>540</v>
      </c>
      <c r="K1016" s="6" t="s">
        <v>556</v>
      </c>
    </row>
    <row r="1017" s="6" customFormat="1" customHeight="1" spans="3:11">
      <c r="C1017" s="6">
        <v>2495</v>
      </c>
      <c r="D1017" s="6" t="s">
        <v>1044</v>
      </c>
      <c r="E1017" s="6">
        <v>2</v>
      </c>
      <c r="F1017" s="6">
        <f t="shared" si="22"/>
        <v>6180</v>
      </c>
      <c r="G1017" s="6">
        <v>1</v>
      </c>
      <c r="H1017" s="6">
        <v>33</v>
      </c>
      <c r="I1017" s="6">
        <v>36</v>
      </c>
      <c r="J1017" s="6" t="s">
        <v>540</v>
      </c>
      <c r="K1017" s="6" t="s">
        <v>236</v>
      </c>
    </row>
    <row r="1018" s="6" customFormat="1" customHeight="1" spans="3:11">
      <c r="C1018" s="6">
        <v>2496</v>
      </c>
      <c r="D1018" s="6" t="s">
        <v>1045</v>
      </c>
      <c r="E1018" s="6">
        <v>2</v>
      </c>
      <c r="F1018" s="6">
        <f t="shared" si="22"/>
        <v>6216</v>
      </c>
      <c r="G1018" s="6">
        <v>1</v>
      </c>
      <c r="H1018" s="6">
        <v>34</v>
      </c>
      <c r="I1018" s="6">
        <v>36</v>
      </c>
      <c r="J1018" s="6" t="s">
        <v>540</v>
      </c>
      <c r="K1018" s="6" t="s">
        <v>238</v>
      </c>
    </row>
    <row r="1019" s="6" customFormat="1" customHeight="1" spans="3:11">
      <c r="C1019" s="6">
        <v>2497</v>
      </c>
      <c r="D1019" s="6" t="s">
        <v>1046</v>
      </c>
      <c r="E1019" s="6">
        <v>2</v>
      </c>
      <c r="F1019" s="6">
        <f t="shared" si="22"/>
        <v>6252</v>
      </c>
      <c r="G1019" s="6">
        <v>1</v>
      </c>
      <c r="H1019" s="6">
        <v>35</v>
      </c>
      <c r="I1019" s="6">
        <v>36</v>
      </c>
      <c r="J1019" s="6" t="s">
        <v>540</v>
      </c>
      <c r="K1019" s="6" t="s">
        <v>240</v>
      </c>
    </row>
    <row r="1020" s="6" customFormat="1" customHeight="1" spans="3:11">
      <c r="C1020" s="6">
        <v>2498</v>
      </c>
      <c r="D1020" s="6" t="s">
        <v>1047</v>
      </c>
      <c r="E1020" s="6">
        <v>2</v>
      </c>
      <c r="F1020" s="6">
        <f t="shared" si="22"/>
        <v>6288</v>
      </c>
      <c r="G1020" s="6">
        <v>1</v>
      </c>
      <c r="H1020" s="6">
        <v>12</v>
      </c>
      <c r="I1020" s="6">
        <v>9</v>
      </c>
      <c r="J1020" s="6" t="s">
        <v>540</v>
      </c>
      <c r="K1020" s="6" t="s">
        <v>760</v>
      </c>
    </row>
    <row r="1021" s="6" customFormat="1" customHeight="1" spans="3:11">
      <c r="C1021" s="6">
        <v>2499</v>
      </c>
      <c r="D1021" s="6" t="s">
        <v>1048</v>
      </c>
      <c r="E1021" s="6">
        <v>2</v>
      </c>
      <c r="F1021" s="6">
        <f t="shared" si="22"/>
        <v>6324</v>
      </c>
      <c r="G1021" s="6">
        <v>1</v>
      </c>
      <c r="H1021" s="6">
        <v>12</v>
      </c>
      <c r="I1021" s="6">
        <v>9</v>
      </c>
      <c r="J1021" s="6" t="s">
        <v>540</v>
      </c>
      <c r="K1021" s="6" t="s">
        <v>762</v>
      </c>
    </row>
    <row r="1022" s="6" customFormat="1" customHeight="1" spans="3:11">
      <c r="C1022" s="6">
        <v>2500</v>
      </c>
      <c r="D1022" s="6" t="s">
        <v>1049</v>
      </c>
      <c r="E1022" s="9">
        <v>2</v>
      </c>
      <c r="F1022" s="9">
        <f t="shared" si="22"/>
        <v>6360</v>
      </c>
      <c r="G1022" s="9">
        <v>1</v>
      </c>
      <c r="H1022" s="9">
        <v>9</v>
      </c>
      <c r="I1022" s="9">
        <v>9</v>
      </c>
      <c r="J1022" s="9" t="s">
        <v>540</v>
      </c>
      <c r="K1022" s="9" t="s">
        <v>764</v>
      </c>
    </row>
    <row r="1023" customHeight="1" spans="3:11">
      <c r="C1023" s="6">
        <v>2501</v>
      </c>
      <c r="D1023" s="6" t="s">
        <v>1050</v>
      </c>
      <c r="E1023" s="6">
        <v>2</v>
      </c>
      <c r="F1023" s="6">
        <f t="shared" ref="F1023:F1036" si="23">(F1022)+40</f>
        <v>6400</v>
      </c>
      <c r="G1023" s="6">
        <v>1</v>
      </c>
      <c r="H1023" s="6">
        <v>14</v>
      </c>
      <c r="I1023" s="6">
        <v>200</v>
      </c>
      <c r="J1023" s="6" t="s">
        <v>540</v>
      </c>
      <c r="K1023" s="6" t="s">
        <v>15</v>
      </c>
    </row>
    <row r="1024" customHeight="1" spans="3:11">
      <c r="C1024" s="6">
        <v>2502</v>
      </c>
      <c r="D1024" s="6" t="s">
        <v>1051</v>
      </c>
      <c r="E1024" s="6">
        <v>2</v>
      </c>
      <c r="F1024" s="6">
        <f t="shared" si="23"/>
        <v>6440</v>
      </c>
      <c r="G1024" s="6">
        <v>1</v>
      </c>
      <c r="H1024" s="6">
        <v>15</v>
      </c>
      <c r="I1024" s="6">
        <v>200</v>
      </c>
      <c r="J1024" s="6" t="s">
        <v>540</v>
      </c>
      <c r="K1024" s="6" t="s">
        <v>19</v>
      </c>
    </row>
    <row r="1025" customHeight="1" spans="3:11">
      <c r="C1025" s="6">
        <v>2503</v>
      </c>
      <c r="D1025" s="6" t="s">
        <v>1052</v>
      </c>
      <c r="E1025" s="6">
        <v>2</v>
      </c>
      <c r="F1025" s="6">
        <f t="shared" si="23"/>
        <v>6480</v>
      </c>
      <c r="G1025" s="6">
        <v>1</v>
      </c>
      <c r="H1025" s="6">
        <v>16</v>
      </c>
      <c r="I1025" s="6">
        <v>200</v>
      </c>
      <c r="J1025" s="6" t="s">
        <v>540</v>
      </c>
      <c r="K1025" s="6" t="s">
        <v>21</v>
      </c>
    </row>
    <row r="1026" customHeight="1" spans="3:11">
      <c r="C1026" s="6">
        <v>2504</v>
      </c>
      <c r="D1026" s="6" t="s">
        <v>1053</v>
      </c>
      <c r="E1026" s="6">
        <v>2</v>
      </c>
      <c r="F1026" s="6">
        <f t="shared" si="23"/>
        <v>6520</v>
      </c>
      <c r="G1026" s="6">
        <v>1</v>
      </c>
      <c r="H1026" s="6">
        <v>18</v>
      </c>
      <c r="I1026" s="6">
        <v>60</v>
      </c>
      <c r="J1026" s="6" t="s">
        <v>540</v>
      </c>
      <c r="K1026" s="6" t="s">
        <v>544</v>
      </c>
    </row>
    <row r="1027" customHeight="1" spans="3:11">
      <c r="C1027" s="6">
        <v>2505</v>
      </c>
      <c r="D1027" s="6" t="s">
        <v>1054</v>
      </c>
      <c r="E1027" s="6">
        <v>2</v>
      </c>
      <c r="F1027" s="6">
        <f t="shared" si="23"/>
        <v>6560</v>
      </c>
      <c r="G1027" s="6">
        <v>1</v>
      </c>
      <c r="H1027" s="6">
        <v>20</v>
      </c>
      <c r="I1027" s="6">
        <v>60</v>
      </c>
      <c r="J1027" s="6" t="s">
        <v>540</v>
      </c>
      <c r="K1027" s="6" t="s">
        <v>548</v>
      </c>
    </row>
    <row r="1028" customHeight="1" spans="3:11">
      <c r="C1028" s="6">
        <v>2506</v>
      </c>
      <c r="D1028" s="6" t="s">
        <v>1055</v>
      </c>
      <c r="E1028" s="6">
        <v>2</v>
      </c>
      <c r="F1028" s="6">
        <f t="shared" si="23"/>
        <v>6600</v>
      </c>
      <c r="G1028" s="6">
        <v>1</v>
      </c>
      <c r="H1028" s="6">
        <v>24</v>
      </c>
      <c r="I1028" s="6">
        <v>30</v>
      </c>
      <c r="J1028" s="6" t="s">
        <v>540</v>
      </c>
      <c r="K1028" s="6" t="s">
        <v>550</v>
      </c>
    </row>
    <row r="1029" customHeight="1" spans="3:11">
      <c r="C1029" s="6">
        <v>2507</v>
      </c>
      <c r="D1029" s="6" t="s">
        <v>1056</v>
      </c>
      <c r="E1029" s="6">
        <v>2</v>
      </c>
      <c r="F1029" s="6">
        <f t="shared" si="23"/>
        <v>6640</v>
      </c>
      <c r="G1029" s="6">
        <v>1</v>
      </c>
      <c r="H1029" s="6">
        <v>26</v>
      </c>
      <c r="I1029" s="6">
        <v>200</v>
      </c>
      <c r="J1029" s="6" t="s">
        <v>540</v>
      </c>
      <c r="K1029" s="6" t="s">
        <v>552</v>
      </c>
    </row>
    <row r="1030" customHeight="1" spans="3:11">
      <c r="C1030" s="6">
        <v>2508</v>
      </c>
      <c r="D1030" s="6" t="s">
        <v>1057</v>
      </c>
      <c r="E1030" s="6">
        <v>2</v>
      </c>
      <c r="F1030" s="6">
        <f t="shared" si="23"/>
        <v>6680</v>
      </c>
      <c r="G1030" s="6">
        <v>1</v>
      </c>
      <c r="H1030" s="6">
        <v>27</v>
      </c>
      <c r="I1030" s="6">
        <v>200</v>
      </c>
      <c r="J1030" s="6" t="s">
        <v>540</v>
      </c>
      <c r="K1030" s="6" t="s">
        <v>554</v>
      </c>
    </row>
    <row r="1031" customHeight="1" spans="3:11">
      <c r="C1031" s="6">
        <v>2509</v>
      </c>
      <c r="D1031" s="6" t="s">
        <v>1058</v>
      </c>
      <c r="E1031" s="6">
        <v>2</v>
      </c>
      <c r="F1031" s="6">
        <f t="shared" si="23"/>
        <v>6720</v>
      </c>
      <c r="G1031" s="6">
        <v>1</v>
      </c>
      <c r="H1031" s="6">
        <v>28</v>
      </c>
      <c r="I1031" s="6">
        <v>200</v>
      </c>
      <c r="J1031" s="6" t="s">
        <v>540</v>
      </c>
      <c r="K1031" s="6" t="s">
        <v>556</v>
      </c>
    </row>
    <row r="1032" customHeight="1" spans="3:11">
      <c r="C1032" s="6">
        <v>2510</v>
      </c>
      <c r="D1032" s="6" t="s">
        <v>1059</v>
      </c>
      <c r="E1032" s="6">
        <v>2</v>
      </c>
      <c r="F1032" s="6">
        <f t="shared" si="23"/>
        <v>6760</v>
      </c>
      <c r="G1032" s="6">
        <v>1</v>
      </c>
      <c r="H1032" s="6">
        <v>33</v>
      </c>
      <c r="I1032" s="6">
        <v>48</v>
      </c>
      <c r="J1032" s="6" t="s">
        <v>540</v>
      </c>
      <c r="K1032" s="6" t="s">
        <v>236</v>
      </c>
    </row>
    <row r="1033" customHeight="1" spans="3:11">
      <c r="C1033" s="6">
        <v>2511</v>
      </c>
      <c r="D1033" s="6" t="s">
        <v>1060</v>
      </c>
      <c r="E1033" s="6">
        <v>2</v>
      </c>
      <c r="F1033" s="6">
        <f t="shared" si="23"/>
        <v>6800</v>
      </c>
      <c r="G1033" s="6">
        <v>1</v>
      </c>
      <c r="H1033" s="6">
        <v>34</v>
      </c>
      <c r="I1033" s="6">
        <v>48</v>
      </c>
      <c r="J1033" s="6" t="s">
        <v>540</v>
      </c>
      <c r="K1033" s="6" t="s">
        <v>238</v>
      </c>
    </row>
    <row r="1034" customHeight="1" spans="3:11">
      <c r="C1034" s="6">
        <v>2512</v>
      </c>
      <c r="D1034" s="6" t="s">
        <v>1061</v>
      </c>
      <c r="E1034" s="6">
        <v>2</v>
      </c>
      <c r="F1034" s="6">
        <f t="shared" si="23"/>
        <v>6840</v>
      </c>
      <c r="G1034" s="6">
        <v>1</v>
      </c>
      <c r="H1034" s="6">
        <v>35</v>
      </c>
      <c r="I1034" s="6">
        <v>48</v>
      </c>
      <c r="J1034" s="6" t="s">
        <v>540</v>
      </c>
      <c r="K1034" s="6" t="s">
        <v>240</v>
      </c>
    </row>
    <row r="1035" customHeight="1" spans="3:11">
      <c r="C1035" s="6">
        <v>2513</v>
      </c>
      <c r="D1035" s="6" t="s">
        <v>1062</v>
      </c>
      <c r="E1035" s="6">
        <v>2</v>
      </c>
      <c r="F1035" s="6">
        <f t="shared" si="23"/>
        <v>6880</v>
      </c>
      <c r="G1035" s="6">
        <v>1</v>
      </c>
      <c r="H1035" s="6">
        <v>12</v>
      </c>
      <c r="I1035" s="6">
        <v>12</v>
      </c>
      <c r="J1035" s="6" t="s">
        <v>540</v>
      </c>
      <c r="K1035" s="6" t="s">
        <v>760</v>
      </c>
    </row>
    <row r="1036" customHeight="1" spans="3:11">
      <c r="C1036" s="6">
        <v>2514</v>
      </c>
      <c r="D1036" s="6" t="s">
        <v>1063</v>
      </c>
      <c r="E1036" s="6">
        <v>2</v>
      </c>
      <c r="F1036" s="6">
        <f t="shared" si="23"/>
        <v>6920</v>
      </c>
      <c r="G1036" s="6">
        <v>1</v>
      </c>
      <c r="H1036" s="6">
        <v>12</v>
      </c>
      <c r="I1036" s="6">
        <v>12</v>
      </c>
      <c r="J1036" s="6" t="s">
        <v>540</v>
      </c>
      <c r="K1036" s="6" t="s">
        <v>762</v>
      </c>
    </row>
    <row r="1037" customHeight="1" spans="3:11">
      <c r="C1037" s="6">
        <v>2515</v>
      </c>
      <c r="D1037" s="6" t="s">
        <v>1064</v>
      </c>
      <c r="E1037" s="9">
        <v>2</v>
      </c>
      <c r="F1037" s="9">
        <f>(F1036)+40</f>
        <v>6960</v>
      </c>
      <c r="G1037" s="9">
        <v>1</v>
      </c>
      <c r="H1037" s="9">
        <v>9</v>
      </c>
      <c r="I1037" s="9">
        <v>12</v>
      </c>
      <c r="J1037" s="9" t="s">
        <v>540</v>
      </c>
      <c r="K1037" s="9" t="s">
        <v>764</v>
      </c>
    </row>
    <row r="1045" customHeight="1" spans="3:10">
      <c r="C1045" s="7">
        <v>3001</v>
      </c>
      <c r="D1045" s="7" t="s">
        <v>1065</v>
      </c>
      <c r="E1045" s="7">
        <v>3</v>
      </c>
      <c r="F1045" s="7">
        <v>1000</v>
      </c>
      <c r="G1045" s="7">
        <v>1</v>
      </c>
      <c r="H1045" s="7">
        <v>20</v>
      </c>
      <c r="I1045" s="7">
        <v>5</v>
      </c>
      <c r="J1045" s="7" t="s">
        <v>1066</v>
      </c>
    </row>
    <row r="1046" customHeight="1" spans="3:10">
      <c r="C1046" s="7">
        <v>3002</v>
      </c>
      <c r="D1046" s="7" t="s">
        <v>1067</v>
      </c>
      <c r="E1046" s="7">
        <v>3</v>
      </c>
      <c r="F1046" s="7">
        <v>5000</v>
      </c>
      <c r="G1046" s="7">
        <v>1</v>
      </c>
      <c r="H1046" s="7">
        <v>20</v>
      </c>
      <c r="I1046" s="7">
        <v>5</v>
      </c>
      <c r="J1046" s="7" t="s">
        <v>1066</v>
      </c>
    </row>
    <row r="1047" customHeight="1" spans="3:10">
      <c r="C1047" s="7">
        <v>3003</v>
      </c>
      <c r="D1047" s="7" t="s">
        <v>1068</v>
      </c>
      <c r="E1047" s="7">
        <v>3</v>
      </c>
      <c r="F1047" s="7">
        <v>10000</v>
      </c>
      <c r="G1047" s="7">
        <v>1</v>
      </c>
      <c r="H1047" s="7">
        <v>20</v>
      </c>
      <c r="I1047" s="7">
        <v>5</v>
      </c>
      <c r="J1047" s="7" t="s">
        <v>1066</v>
      </c>
    </row>
    <row r="1048" customHeight="1" spans="3:10">
      <c r="C1048" s="7">
        <v>3004</v>
      </c>
      <c r="D1048" s="7" t="s">
        <v>1069</v>
      </c>
      <c r="E1048" s="7">
        <v>3</v>
      </c>
      <c r="F1048" s="7">
        <v>20000</v>
      </c>
      <c r="G1048" s="7">
        <v>1</v>
      </c>
      <c r="H1048" s="7">
        <v>20</v>
      </c>
      <c r="I1048" s="7">
        <v>5</v>
      </c>
      <c r="J1048" s="7" t="s">
        <v>1066</v>
      </c>
    </row>
    <row r="1049" customHeight="1" spans="3:10">
      <c r="C1049" s="7">
        <v>3005</v>
      </c>
      <c r="D1049" s="7" t="s">
        <v>1070</v>
      </c>
      <c r="E1049" s="7">
        <v>3</v>
      </c>
      <c r="F1049" s="7">
        <v>40000</v>
      </c>
      <c r="G1049" s="7">
        <v>1</v>
      </c>
      <c r="H1049" s="7">
        <v>20</v>
      </c>
      <c r="I1049" s="7">
        <v>5</v>
      </c>
      <c r="J1049" s="7" t="s">
        <v>1066</v>
      </c>
    </row>
    <row r="1050" customHeight="1" spans="3:10">
      <c r="C1050" s="7">
        <v>3006</v>
      </c>
      <c r="D1050" s="7" t="s">
        <v>1071</v>
      </c>
      <c r="E1050" s="7">
        <v>3</v>
      </c>
      <c r="F1050" s="7">
        <v>60000</v>
      </c>
      <c r="G1050" s="7">
        <v>1</v>
      </c>
      <c r="H1050" s="7">
        <v>20</v>
      </c>
      <c r="I1050" s="7">
        <v>5</v>
      </c>
      <c r="J1050" s="7" t="s">
        <v>1066</v>
      </c>
    </row>
    <row r="1051" customHeight="1" spans="3:10">
      <c r="C1051" s="7">
        <v>3007</v>
      </c>
      <c r="D1051" s="7" t="s">
        <v>1072</v>
      </c>
      <c r="E1051" s="7">
        <v>3</v>
      </c>
      <c r="F1051" s="7">
        <v>80000</v>
      </c>
      <c r="G1051" s="7">
        <v>1</v>
      </c>
      <c r="H1051" s="7">
        <v>20</v>
      </c>
      <c r="I1051" s="7">
        <v>5</v>
      </c>
      <c r="J1051" s="7" t="s">
        <v>1066</v>
      </c>
    </row>
    <row r="1052" customHeight="1" spans="3:10">
      <c r="C1052" s="7">
        <v>3008</v>
      </c>
      <c r="D1052" s="7" t="s">
        <v>1073</v>
      </c>
      <c r="E1052" s="7">
        <v>3</v>
      </c>
      <c r="F1052" s="7">
        <v>100000</v>
      </c>
      <c r="G1052" s="7">
        <v>1</v>
      </c>
      <c r="H1052" s="7">
        <v>20</v>
      </c>
      <c r="I1052" s="7">
        <v>5</v>
      </c>
      <c r="J1052" s="7" t="s">
        <v>1066</v>
      </c>
    </row>
    <row r="1053" customHeight="1" spans="3:10">
      <c r="C1053" s="7">
        <v>3009</v>
      </c>
      <c r="D1053" s="7" t="s">
        <v>1074</v>
      </c>
      <c r="E1053" s="7">
        <v>3</v>
      </c>
      <c r="F1053" s="7">
        <v>120000</v>
      </c>
      <c r="G1053" s="7">
        <v>1</v>
      </c>
      <c r="H1053" s="7">
        <v>20</v>
      </c>
      <c r="I1053" s="7">
        <v>5</v>
      </c>
      <c r="J1053" s="7" t="s">
        <v>1066</v>
      </c>
    </row>
    <row r="1054" customHeight="1" spans="3:10">
      <c r="C1054" s="7">
        <v>3010</v>
      </c>
      <c r="D1054" s="7" t="s">
        <v>1075</v>
      </c>
      <c r="E1054" s="7">
        <v>3</v>
      </c>
      <c r="F1054" s="7">
        <v>140000</v>
      </c>
      <c r="G1054" s="7">
        <v>1</v>
      </c>
      <c r="H1054" s="7">
        <v>20</v>
      </c>
      <c r="I1054" s="7">
        <v>5</v>
      </c>
      <c r="J1054" s="7" t="s">
        <v>1066</v>
      </c>
    </row>
    <row r="1055" customHeight="1" spans="3:10">
      <c r="C1055" s="7">
        <v>3011</v>
      </c>
      <c r="D1055" s="7" t="s">
        <v>1076</v>
      </c>
      <c r="E1055" s="7">
        <v>3</v>
      </c>
      <c r="F1055" s="7">
        <v>160000</v>
      </c>
      <c r="G1055" s="7">
        <v>1</v>
      </c>
      <c r="H1055" s="7">
        <v>20</v>
      </c>
      <c r="I1055" s="7">
        <v>5</v>
      </c>
      <c r="J1055" s="7" t="s">
        <v>1066</v>
      </c>
    </row>
    <row r="1056" customHeight="1" spans="3:10">
      <c r="C1056" s="7">
        <v>3012</v>
      </c>
      <c r="D1056" s="7" t="s">
        <v>1077</v>
      </c>
      <c r="E1056" s="7">
        <v>3</v>
      </c>
      <c r="F1056" s="7">
        <v>180000</v>
      </c>
      <c r="G1056" s="7">
        <v>1</v>
      </c>
      <c r="H1056" s="7">
        <v>20</v>
      </c>
      <c r="I1056" s="7">
        <v>5</v>
      </c>
      <c r="J1056" s="7" t="s">
        <v>1066</v>
      </c>
    </row>
    <row r="1057" customHeight="1" spans="3:10">
      <c r="C1057" s="7">
        <v>3013</v>
      </c>
      <c r="D1057" s="7" t="s">
        <v>1078</v>
      </c>
      <c r="E1057" s="7">
        <v>3</v>
      </c>
      <c r="F1057" s="7">
        <v>200000</v>
      </c>
      <c r="G1057" s="7">
        <v>1</v>
      </c>
      <c r="H1057" s="7">
        <v>20</v>
      </c>
      <c r="I1057" s="7">
        <v>5</v>
      </c>
      <c r="J1057" s="7" t="s">
        <v>1066</v>
      </c>
    </row>
    <row r="1058" customHeight="1" spans="3:10">
      <c r="C1058" s="7">
        <v>3014</v>
      </c>
      <c r="D1058" s="7" t="s">
        <v>1079</v>
      </c>
      <c r="E1058" s="7">
        <v>3</v>
      </c>
      <c r="F1058" s="7">
        <v>220000</v>
      </c>
      <c r="G1058" s="7">
        <v>1</v>
      </c>
      <c r="H1058" s="7">
        <v>20</v>
      </c>
      <c r="I1058" s="7">
        <v>5</v>
      </c>
      <c r="J1058" s="7" t="s">
        <v>1066</v>
      </c>
    </row>
    <row r="1059" customHeight="1" spans="3:10">
      <c r="C1059" s="7">
        <v>3015</v>
      </c>
      <c r="D1059" s="7" t="s">
        <v>1080</v>
      </c>
      <c r="E1059" s="7">
        <v>3</v>
      </c>
      <c r="F1059" s="7">
        <v>240000</v>
      </c>
      <c r="G1059" s="7">
        <v>1</v>
      </c>
      <c r="H1059" s="7">
        <v>20</v>
      </c>
      <c r="I1059" s="7">
        <v>5</v>
      </c>
      <c r="J1059" s="7" t="s">
        <v>1066</v>
      </c>
    </row>
    <row r="1060" customHeight="1" spans="3:10">
      <c r="C1060" s="7">
        <v>3016</v>
      </c>
      <c r="D1060" s="7" t="s">
        <v>1081</v>
      </c>
      <c r="E1060" s="7">
        <v>3</v>
      </c>
      <c r="F1060" s="7">
        <v>260000</v>
      </c>
      <c r="G1060" s="7">
        <v>1</v>
      </c>
      <c r="H1060" s="7">
        <v>20</v>
      </c>
      <c r="I1060" s="7">
        <v>5</v>
      </c>
      <c r="J1060" s="7" t="s">
        <v>1066</v>
      </c>
    </row>
    <row r="1061" customHeight="1" spans="3:10">
      <c r="C1061" s="7">
        <v>3017</v>
      </c>
      <c r="D1061" s="7" t="s">
        <v>1082</v>
      </c>
      <c r="E1061" s="7">
        <v>3</v>
      </c>
      <c r="F1061" s="7">
        <v>280000</v>
      </c>
      <c r="G1061" s="7">
        <v>1</v>
      </c>
      <c r="H1061" s="7">
        <v>20</v>
      </c>
      <c r="I1061" s="7">
        <v>5</v>
      </c>
      <c r="J1061" s="7" t="s">
        <v>1066</v>
      </c>
    </row>
    <row r="1062" customHeight="1" spans="3:10">
      <c r="C1062" s="7">
        <v>3018</v>
      </c>
      <c r="D1062" s="7" t="s">
        <v>1083</v>
      </c>
      <c r="E1062" s="7">
        <v>3</v>
      </c>
      <c r="F1062" s="7">
        <v>300000</v>
      </c>
      <c r="G1062" s="7">
        <v>1</v>
      </c>
      <c r="H1062" s="7">
        <v>20</v>
      </c>
      <c r="I1062" s="7">
        <v>5</v>
      </c>
      <c r="J1062" s="7" t="s">
        <v>1066</v>
      </c>
    </row>
    <row r="1063" customHeight="1" spans="3:10">
      <c r="C1063" s="7">
        <v>3019</v>
      </c>
      <c r="D1063" s="7" t="s">
        <v>1084</v>
      </c>
      <c r="E1063" s="7">
        <v>3</v>
      </c>
      <c r="F1063" s="7">
        <f t="shared" ref="F1063:F1082" si="24">F1062+30000</f>
        <v>330000</v>
      </c>
      <c r="G1063" s="7">
        <v>1</v>
      </c>
      <c r="H1063" s="7">
        <v>20</v>
      </c>
      <c r="I1063" s="7">
        <v>10</v>
      </c>
      <c r="J1063" s="7" t="s">
        <v>1066</v>
      </c>
    </row>
    <row r="1064" customHeight="1" spans="3:10">
      <c r="C1064" s="7">
        <v>3020</v>
      </c>
      <c r="D1064" s="7" t="s">
        <v>1085</v>
      </c>
      <c r="E1064" s="7">
        <v>3</v>
      </c>
      <c r="F1064" s="7">
        <f t="shared" si="24"/>
        <v>360000</v>
      </c>
      <c r="G1064" s="7">
        <v>1</v>
      </c>
      <c r="H1064" s="7">
        <v>20</v>
      </c>
      <c r="I1064" s="7">
        <v>10</v>
      </c>
      <c r="J1064" s="7" t="s">
        <v>1066</v>
      </c>
    </row>
    <row r="1065" customHeight="1" spans="3:10">
      <c r="C1065" s="7">
        <v>3021</v>
      </c>
      <c r="D1065" s="7" t="s">
        <v>1086</v>
      </c>
      <c r="E1065" s="7">
        <v>3</v>
      </c>
      <c r="F1065" s="7">
        <f t="shared" si="24"/>
        <v>390000</v>
      </c>
      <c r="G1065" s="7">
        <v>1</v>
      </c>
      <c r="H1065" s="7">
        <v>20</v>
      </c>
      <c r="I1065" s="7">
        <v>10</v>
      </c>
      <c r="J1065" s="7" t="s">
        <v>1066</v>
      </c>
    </row>
    <row r="1066" customHeight="1" spans="3:10">
      <c r="C1066" s="7">
        <v>3022</v>
      </c>
      <c r="D1066" s="7" t="s">
        <v>1087</v>
      </c>
      <c r="E1066" s="7">
        <v>3</v>
      </c>
      <c r="F1066" s="7">
        <f t="shared" si="24"/>
        <v>420000</v>
      </c>
      <c r="G1066" s="7">
        <v>1</v>
      </c>
      <c r="H1066" s="7">
        <v>20</v>
      </c>
      <c r="I1066" s="7">
        <v>10</v>
      </c>
      <c r="J1066" s="7" t="s">
        <v>1066</v>
      </c>
    </row>
    <row r="1067" customHeight="1" spans="3:10">
      <c r="C1067" s="7">
        <v>3023</v>
      </c>
      <c r="D1067" s="7" t="s">
        <v>1088</v>
      </c>
      <c r="E1067" s="7">
        <v>3</v>
      </c>
      <c r="F1067" s="7">
        <f t="shared" si="24"/>
        <v>450000</v>
      </c>
      <c r="G1067" s="7">
        <v>1</v>
      </c>
      <c r="H1067" s="7">
        <v>20</v>
      </c>
      <c r="I1067" s="7">
        <v>10</v>
      </c>
      <c r="J1067" s="7" t="s">
        <v>1066</v>
      </c>
    </row>
    <row r="1068" customHeight="1" spans="3:10">
      <c r="C1068" s="7">
        <v>3024</v>
      </c>
      <c r="D1068" s="7" t="s">
        <v>1089</v>
      </c>
      <c r="E1068" s="7">
        <v>3</v>
      </c>
      <c r="F1068" s="7">
        <f t="shared" si="24"/>
        <v>480000</v>
      </c>
      <c r="G1068" s="7">
        <v>1</v>
      </c>
      <c r="H1068" s="7">
        <v>20</v>
      </c>
      <c r="I1068" s="7">
        <v>10</v>
      </c>
      <c r="J1068" s="7" t="s">
        <v>1066</v>
      </c>
    </row>
    <row r="1069" customHeight="1" spans="3:10">
      <c r="C1069" s="7">
        <v>3025</v>
      </c>
      <c r="D1069" s="7" t="s">
        <v>1090</v>
      </c>
      <c r="E1069" s="7">
        <v>3</v>
      </c>
      <c r="F1069" s="7">
        <f t="shared" si="24"/>
        <v>510000</v>
      </c>
      <c r="G1069" s="7">
        <v>1</v>
      </c>
      <c r="H1069" s="7">
        <v>20</v>
      </c>
      <c r="I1069" s="7">
        <v>10</v>
      </c>
      <c r="J1069" s="7" t="s">
        <v>1066</v>
      </c>
    </row>
    <row r="1070" customHeight="1" spans="3:10">
      <c r="C1070" s="7">
        <v>3026</v>
      </c>
      <c r="D1070" s="7" t="s">
        <v>1091</v>
      </c>
      <c r="E1070" s="7">
        <v>3</v>
      </c>
      <c r="F1070" s="7">
        <f t="shared" si="24"/>
        <v>540000</v>
      </c>
      <c r="G1070" s="7">
        <v>1</v>
      </c>
      <c r="H1070" s="7">
        <v>20</v>
      </c>
      <c r="I1070" s="7">
        <v>10</v>
      </c>
      <c r="J1070" s="7" t="s">
        <v>1066</v>
      </c>
    </row>
    <row r="1071" customHeight="1" spans="3:10">
      <c r="C1071" s="7">
        <v>3027</v>
      </c>
      <c r="D1071" s="7" t="s">
        <v>1092</v>
      </c>
      <c r="E1071" s="7">
        <v>3</v>
      </c>
      <c r="F1071" s="7">
        <f t="shared" si="24"/>
        <v>570000</v>
      </c>
      <c r="G1071" s="7">
        <v>1</v>
      </c>
      <c r="H1071" s="7">
        <v>20</v>
      </c>
      <c r="I1071" s="7">
        <v>10</v>
      </c>
      <c r="J1071" s="7" t="s">
        <v>1066</v>
      </c>
    </row>
    <row r="1072" customHeight="1" spans="3:10">
      <c r="C1072" s="7">
        <v>3028</v>
      </c>
      <c r="D1072" s="7" t="s">
        <v>1093</v>
      </c>
      <c r="E1072" s="7">
        <v>3</v>
      </c>
      <c r="F1072" s="7">
        <f t="shared" si="24"/>
        <v>600000</v>
      </c>
      <c r="G1072" s="7">
        <v>1</v>
      </c>
      <c r="H1072" s="7">
        <v>20</v>
      </c>
      <c r="I1072" s="7">
        <v>10</v>
      </c>
      <c r="J1072" s="7" t="s">
        <v>1066</v>
      </c>
    </row>
    <row r="1073" customHeight="1" spans="3:10">
      <c r="C1073" s="7">
        <v>3029</v>
      </c>
      <c r="D1073" s="7" t="s">
        <v>1094</v>
      </c>
      <c r="E1073" s="7">
        <v>3</v>
      </c>
      <c r="F1073" s="7">
        <f t="shared" ref="F1073:F1082" si="25">F1072+40000</f>
        <v>640000</v>
      </c>
      <c r="G1073" s="7">
        <v>1</v>
      </c>
      <c r="H1073" s="7">
        <v>20</v>
      </c>
      <c r="I1073" s="7">
        <v>15</v>
      </c>
      <c r="J1073" s="7" t="s">
        <v>1066</v>
      </c>
    </row>
    <row r="1074" customHeight="1" spans="3:10">
      <c r="C1074" s="7">
        <v>3030</v>
      </c>
      <c r="D1074" s="7" t="s">
        <v>1095</v>
      </c>
      <c r="E1074" s="7">
        <v>3</v>
      </c>
      <c r="F1074" s="7">
        <f t="shared" si="25"/>
        <v>680000</v>
      </c>
      <c r="G1074" s="7">
        <v>1</v>
      </c>
      <c r="H1074" s="7">
        <v>20</v>
      </c>
      <c r="I1074" s="7">
        <v>15</v>
      </c>
      <c r="J1074" s="7" t="s">
        <v>1066</v>
      </c>
    </row>
    <row r="1075" customHeight="1" spans="3:10">
      <c r="C1075" s="7">
        <v>3031</v>
      </c>
      <c r="D1075" s="7" t="s">
        <v>1096</v>
      </c>
      <c r="E1075" s="7">
        <v>3</v>
      </c>
      <c r="F1075" s="7">
        <f t="shared" si="25"/>
        <v>720000</v>
      </c>
      <c r="G1075" s="7">
        <v>1</v>
      </c>
      <c r="H1075" s="7">
        <v>20</v>
      </c>
      <c r="I1075" s="7">
        <v>15</v>
      </c>
      <c r="J1075" s="7" t="s">
        <v>1066</v>
      </c>
    </row>
    <row r="1076" customHeight="1" spans="3:10">
      <c r="C1076" s="7">
        <v>3032</v>
      </c>
      <c r="D1076" s="7" t="s">
        <v>1097</v>
      </c>
      <c r="E1076" s="7">
        <v>3</v>
      </c>
      <c r="F1076" s="7">
        <f t="shared" si="25"/>
        <v>760000</v>
      </c>
      <c r="G1076" s="7">
        <v>1</v>
      </c>
      <c r="H1076" s="7">
        <v>20</v>
      </c>
      <c r="I1076" s="7">
        <v>15</v>
      </c>
      <c r="J1076" s="7" t="s">
        <v>1066</v>
      </c>
    </row>
    <row r="1077" customHeight="1" spans="3:10">
      <c r="C1077" s="7">
        <v>3033</v>
      </c>
      <c r="D1077" s="7" t="s">
        <v>1098</v>
      </c>
      <c r="E1077" s="7">
        <v>3</v>
      </c>
      <c r="F1077" s="7">
        <f t="shared" si="25"/>
        <v>800000</v>
      </c>
      <c r="G1077" s="7">
        <v>1</v>
      </c>
      <c r="H1077" s="7">
        <v>20</v>
      </c>
      <c r="I1077" s="7">
        <v>15</v>
      </c>
      <c r="J1077" s="7" t="s">
        <v>1066</v>
      </c>
    </row>
    <row r="1078" customHeight="1" spans="3:10">
      <c r="C1078" s="7">
        <v>3034</v>
      </c>
      <c r="D1078" s="7" t="s">
        <v>1099</v>
      </c>
      <c r="E1078" s="7">
        <v>3</v>
      </c>
      <c r="F1078" s="7">
        <f t="shared" si="25"/>
        <v>840000</v>
      </c>
      <c r="G1078" s="7">
        <v>1</v>
      </c>
      <c r="H1078" s="7">
        <v>20</v>
      </c>
      <c r="I1078" s="7">
        <v>15</v>
      </c>
      <c r="J1078" s="7" t="s">
        <v>1066</v>
      </c>
    </row>
    <row r="1079" customHeight="1" spans="3:10">
      <c r="C1079" s="7">
        <v>3035</v>
      </c>
      <c r="D1079" s="7" t="s">
        <v>1100</v>
      </c>
      <c r="E1079" s="7">
        <v>3</v>
      </c>
      <c r="F1079" s="7">
        <f t="shared" si="25"/>
        <v>880000</v>
      </c>
      <c r="G1079" s="7">
        <v>1</v>
      </c>
      <c r="H1079" s="7">
        <v>20</v>
      </c>
      <c r="I1079" s="7">
        <v>15</v>
      </c>
      <c r="J1079" s="7" t="s">
        <v>1066</v>
      </c>
    </row>
    <row r="1080" customHeight="1" spans="3:10">
      <c r="C1080" s="7">
        <v>3036</v>
      </c>
      <c r="D1080" s="7" t="s">
        <v>1101</v>
      </c>
      <c r="E1080" s="7">
        <v>3</v>
      </c>
      <c r="F1080" s="7">
        <f t="shared" si="25"/>
        <v>920000</v>
      </c>
      <c r="G1080" s="7">
        <v>1</v>
      </c>
      <c r="H1080" s="7">
        <v>20</v>
      </c>
      <c r="I1080" s="7">
        <v>15</v>
      </c>
      <c r="J1080" s="7" t="s">
        <v>1066</v>
      </c>
    </row>
    <row r="1081" customHeight="1" spans="3:10">
      <c r="C1081" s="7">
        <v>3037</v>
      </c>
      <c r="D1081" s="7" t="s">
        <v>1102</v>
      </c>
      <c r="E1081" s="7">
        <v>3</v>
      </c>
      <c r="F1081" s="7">
        <f t="shared" si="25"/>
        <v>960000</v>
      </c>
      <c r="G1081" s="7">
        <v>1</v>
      </c>
      <c r="H1081" s="7">
        <v>20</v>
      </c>
      <c r="I1081" s="7">
        <v>15</v>
      </c>
      <c r="J1081" s="7" t="s">
        <v>1066</v>
      </c>
    </row>
    <row r="1082" customHeight="1" spans="3:10">
      <c r="C1082" s="7">
        <v>3038</v>
      </c>
      <c r="D1082" s="7" t="s">
        <v>1103</v>
      </c>
      <c r="E1082" s="7">
        <v>3</v>
      </c>
      <c r="F1082" s="7">
        <f t="shared" si="25"/>
        <v>1000000</v>
      </c>
      <c r="G1082" s="7">
        <v>1</v>
      </c>
      <c r="H1082" s="7">
        <v>20</v>
      </c>
      <c r="I1082" s="7">
        <v>15</v>
      </c>
      <c r="J1082" s="7" t="s">
        <v>1066</v>
      </c>
    </row>
    <row r="1085" customHeight="1" spans="3:10">
      <c r="C1085" s="7">
        <v>4001</v>
      </c>
      <c r="D1085" s="7" t="s">
        <v>1104</v>
      </c>
      <c r="E1085" s="7">
        <v>4</v>
      </c>
      <c r="F1085" s="7">
        <v>100</v>
      </c>
      <c r="G1085" s="7">
        <v>3</v>
      </c>
      <c r="H1085" s="7">
        <v>0</v>
      </c>
      <c r="I1085" s="7">
        <v>1</v>
      </c>
      <c r="J1085" s="7" t="s">
        <v>1105</v>
      </c>
    </row>
    <row r="1086" customHeight="1" spans="3:10">
      <c r="C1086" s="7">
        <v>4002</v>
      </c>
      <c r="D1086" s="7" t="s">
        <v>1106</v>
      </c>
      <c r="E1086" s="7">
        <v>4</v>
      </c>
      <c r="F1086" s="7">
        <v>200</v>
      </c>
      <c r="G1086" s="7">
        <v>3</v>
      </c>
      <c r="H1086" s="7">
        <v>0</v>
      </c>
      <c r="I1086" s="7">
        <v>1</v>
      </c>
      <c r="J1086" s="7" t="s">
        <v>1105</v>
      </c>
    </row>
    <row r="1087" customHeight="1" spans="3:10">
      <c r="C1087" s="7">
        <v>4003</v>
      </c>
      <c r="D1087" s="7" t="s">
        <v>1107</v>
      </c>
      <c r="E1087" s="7">
        <v>4</v>
      </c>
      <c r="F1087" s="7">
        <v>300</v>
      </c>
      <c r="G1087" s="7">
        <v>3</v>
      </c>
      <c r="H1087" s="7">
        <v>0</v>
      </c>
      <c r="I1087" s="7">
        <v>1</v>
      </c>
      <c r="J1087" s="7" t="s">
        <v>1105</v>
      </c>
    </row>
    <row r="1088" customHeight="1" spans="3:10">
      <c r="C1088" s="7">
        <v>4004</v>
      </c>
      <c r="D1088" s="7" t="s">
        <v>1108</v>
      </c>
      <c r="E1088" s="7">
        <v>4</v>
      </c>
      <c r="F1088" s="7">
        <v>400</v>
      </c>
      <c r="G1088" s="7">
        <v>3</v>
      </c>
      <c r="H1088" s="7">
        <v>0</v>
      </c>
      <c r="I1088" s="7">
        <v>1</v>
      </c>
      <c r="J1088" s="7" t="s">
        <v>1105</v>
      </c>
    </row>
    <row r="1089" customHeight="1" spans="3:10">
      <c r="C1089" s="7">
        <v>4005</v>
      </c>
      <c r="D1089" s="7" t="s">
        <v>1109</v>
      </c>
      <c r="E1089" s="7">
        <v>4</v>
      </c>
      <c r="F1089" s="7">
        <v>500</v>
      </c>
      <c r="G1089" s="7">
        <v>3</v>
      </c>
      <c r="H1089" s="7">
        <v>0</v>
      </c>
      <c r="I1089" s="7">
        <v>1</v>
      </c>
      <c r="J1089" s="7" t="s">
        <v>1105</v>
      </c>
    </row>
    <row r="1090" customHeight="1" spans="3:10">
      <c r="C1090" s="7">
        <v>4006</v>
      </c>
      <c r="D1090" s="7" t="s">
        <v>1110</v>
      </c>
      <c r="E1090" s="7">
        <v>4</v>
      </c>
      <c r="F1090" s="7">
        <v>700</v>
      </c>
      <c r="G1090" s="7">
        <v>3</v>
      </c>
      <c r="H1090" s="7">
        <v>0</v>
      </c>
      <c r="I1090" s="7">
        <v>1</v>
      </c>
      <c r="J1090" s="7" t="s">
        <v>1105</v>
      </c>
    </row>
    <row r="1091" customHeight="1" spans="3:10">
      <c r="C1091" s="7">
        <v>4007</v>
      </c>
      <c r="D1091" s="7" t="s">
        <v>1111</v>
      </c>
      <c r="E1091" s="7">
        <v>4</v>
      </c>
      <c r="F1091" s="7">
        <v>900</v>
      </c>
      <c r="G1091" s="7">
        <v>3</v>
      </c>
      <c r="H1091" s="7">
        <v>0</v>
      </c>
      <c r="I1091" s="7">
        <v>1</v>
      </c>
      <c r="J1091" s="7" t="s">
        <v>1105</v>
      </c>
    </row>
    <row r="1092" customHeight="1" spans="3:10">
      <c r="C1092" s="7">
        <v>4008</v>
      </c>
      <c r="D1092" s="7" t="s">
        <v>1112</v>
      </c>
      <c r="E1092" s="7">
        <v>4</v>
      </c>
      <c r="F1092" s="7">
        <v>1100</v>
      </c>
      <c r="G1092" s="7">
        <v>3</v>
      </c>
      <c r="H1092" s="7">
        <v>0</v>
      </c>
      <c r="I1092" s="7">
        <v>1</v>
      </c>
      <c r="J1092" s="7" t="s">
        <v>1105</v>
      </c>
    </row>
    <row r="1093" customHeight="1" spans="3:10">
      <c r="C1093" s="7">
        <v>4009</v>
      </c>
      <c r="D1093" s="7" t="s">
        <v>1113</v>
      </c>
      <c r="E1093" s="7">
        <v>4</v>
      </c>
      <c r="F1093" s="7">
        <v>1300</v>
      </c>
      <c r="G1093" s="7">
        <v>3</v>
      </c>
      <c r="H1093" s="7">
        <v>0</v>
      </c>
      <c r="I1093" s="7">
        <v>1</v>
      </c>
      <c r="J1093" s="7" t="s">
        <v>1105</v>
      </c>
    </row>
    <row r="1094" customHeight="1" spans="3:10">
      <c r="C1094" s="7">
        <v>4010</v>
      </c>
      <c r="D1094" s="7" t="s">
        <v>1114</v>
      </c>
      <c r="E1094" s="7">
        <v>4</v>
      </c>
      <c r="F1094" s="7">
        <v>1500</v>
      </c>
      <c r="G1094" s="7">
        <v>3</v>
      </c>
      <c r="H1094" s="7">
        <v>0</v>
      </c>
      <c r="I1094" s="7">
        <v>1</v>
      </c>
      <c r="J1094" s="7" t="s">
        <v>1105</v>
      </c>
    </row>
    <row r="1095" customHeight="1" spans="3:10">
      <c r="C1095" s="7">
        <v>4011</v>
      </c>
      <c r="D1095" s="7" t="s">
        <v>1115</v>
      </c>
      <c r="E1095" s="7">
        <v>4</v>
      </c>
      <c r="F1095" s="7">
        <v>1750</v>
      </c>
      <c r="G1095" s="7">
        <v>3</v>
      </c>
      <c r="H1095" s="7">
        <v>0</v>
      </c>
      <c r="I1095" s="7">
        <v>1</v>
      </c>
      <c r="J1095" s="7" t="s">
        <v>1105</v>
      </c>
    </row>
    <row r="1096" customHeight="1" spans="3:10">
      <c r="C1096" s="7">
        <v>4012</v>
      </c>
      <c r="D1096" s="7" t="s">
        <v>1116</v>
      </c>
      <c r="E1096" s="7">
        <v>4</v>
      </c>
      <c r="F1096" s="7">
        <v>2000</v>
      </c>
      <c r="G1096" s="7">
        <v>3</v>
      </c>
      <c r="H1096" s="7">
        <v>0</v>
      </c>
      <c r="I1096" s="7">
        <v>1</v>
      </c>
      <c r="J1096" s="7" t="s">
        <v>1105</v>
      </c>
    </row>
    <row r="1097" customHeight="1" spans="3:10">
      <c r="C1097" s="7">
        <v>4013</v>
      </c>
      <c r="D1097" s="7" t="s">
        <v>1117</v>
      </c>
      <c r="E1097" s="7">
        <v>4</v>
      </c>
      <c r="F1097" s="7">
        <v>2250</v>
      </c>
      <c r="G1097" s="7">
        <v>3</v>
      </c>
      <c r="H1097" s="7">
        <v>0</v>
      </c>
      <c r="I1097" s="7">
        <v>1</v>
      </c>
      <c r="J1097" s="7" t="s">
        <v>1105</v>
      </c>
    </row>
    <row r="1098" customHeight="1" spans="3:10">
      <c r="C1098" s="7">
        <v>4014</v>
      </c>
      <c r="D1098" s="7" t="s">
        <v>1118</v>
      </c>
      <c r="E1098" s="7">
        <v>4</v>
      </c>
      <c r="F1098" s="7">
        <v>2500</v>
      </c>
      <c r="G1098" s="7">
        <v>3</v>
      </c>
      <c r="H1098" s="7">
        <v>0</v>
      </c>
      <c r="I1098" s="7">
        <v>1</v>
      </c>
      <c r="J1098" s="7" t="s">
        <v>1105</v>
      </c>
    </row>
    <row r="1099" customHeight="1" spans="3:10">
      <c r="C1099" s="7">
        <v>4015</v>
      </c>
      <c r="D1099" s="7" t="s">
        <v>1119</v>
      </c>
      <c r="E1099" s="7">
        <v>4</v>
      </c>
      <c r="F1099" s="7">
        <v>2750</v>
      </c>
      <c r="G1099" s="7">
        <v>3</v>
      </c>
      <c r="H1099" s="7">
        <v>0</v>
      </c>
      <c r="I1099" s="7">
        <v>1</v>
      </c>
      <c r="J1099" s="7" t="s">
        <v>1105</v>
      </c>
    </row>
    <row r="1100" customHeight="1" spans="3:10">
      <c r="C1100" s="7">
        <v>4016</v>
      </c>
      <c r="D1100" s="7" t="s">
        <v>1120</v>
      </c>
      <c r="E1100" s="7">
        <v>4</v>
      </c>
      <c r="F1100" s="7">
        <f t="shared" ref="F1100:F1109" si="26">F1099+250</f>
        <v>3000</v>
      </c>
      <c r="G1100" s="7">
        <v>3</v>
      </c>
      <c r="H1100" s="7">
        <v>0</v>
      </c>
      <c r="I1100" s="7">
        <v>1</v>
      </c>
      <c r="J1100" s="7" t="s">
        <v>1105</v>
      </c>
    </row>
    <row r="1101" customHeight="1" spans="3:10">
      <c r="C1101" s="7">
        <v>4017</v>
      </c>
      <c r="D1101" s="7" t="s">
        <v>1121</v>
      </c>
      <c r="E1101" s="7">
        <v>4</v>
      </c>
      <c r="F1101" s="7">
        <f t="shared" si="26"/>
        <v>3250</v>
      </c>
      <c r="G1101" s="7">
        <v>3</v>
      </c>
      <c r="H1101" s="7">
        <v>0</v>
      </c>
      <c r="I1101" s="7">
        <v>1</v>
      </c>
      <c r="J1101" s="7" t="s">
        <v>1105</v>
      </c>
    </row>
    <row r="1102" customHeight="1" spans="3:10">
      <c r="C1102" s="7">
        <v>4018</v>
      </c>
      <c r="D1102" s="7" t="s">
        <v>1122</v>
      </c>
      <c r="E1102" s="7">
        <v>4</v>
      </c>
      <c r="F1102" s="7">
        <f t="shared" si="26"/>
        <v>3500</v>
      </c>
      <c r="G1102" s="7">
        <v>3</v>
      </c>
      <c r="H1102" s="7">
        <v>0</v>
      </c>
      <c r="I1102" s="7">
        <v>1</v>
      </c>
      <c r="J1102" s="7" t="s">
        <v>1105</v>
      </c>
    </row>
    <row r="1103" customHeight="1" spans="3:10">
      <c r="C1103" s="7">
        <v>4019</v>
      </c>
      <c r="D1103" s="7" t="s">
        <v>1123</v>
      </c>
      <c r="E1103" s="7">
        <v>4</v>
      </c>
      <c r="F1103" s="7">
        <f t="shared" si="26"/>
        <v>3750</v>
      </c>
      <c r="G1103" s="7">
        <v>3</v>
      </c>
      <c r="H1103" s="7">
        <v>0</v>
      </c>
      <c r="I1103" s="7">
        <v>1</v>
      </c>
      <c r="J1103" s="7" t="s">
        <v>1105</v>
      </c>
    </row>
    <row r="1104" customHeight="1" spans="3:10">
      <c r="C1104" s="7">
        <v>4020</v>
      </c>
      <c r="D1104" s="7" t="s">
        <v>1124</v>
      </c>
      <c r="E1104" s="7">
        <v>4</v>
      </c>
      <c r="F1104" s="7">
        <f t="shared" si="26"/>
        <v>4000</v>
      </c>
      <c r="G1104" s="7">
        <v>3</v>
      </c>
      <c r="H1104" s="7">
        <v>0</v>
      </c>
      <c r="I1104" s="7">
        <v>1</v>
      </c>
      <c r="J1104" s="7" t="s">
        <v>1105</v>
      </c>
    </row>
    <row r="1105" customHeight="1" spans="3:10">
      <c r="C1105" s="7">
        <v>4021</v>
      </c>
      <c r="D1105" s="7" t="s">
        <v>1125</v>
      </c>
      <c r="E1105" s="7">
        <v>4</v>
      </c>
      <c r="F1105" s="7">
        <f t="shared" si="26"/>
        <v>4250</v>
      </c>
      <c r="G1105" s="7">
        <v>3</v>
      </c>
      <c r="H1105" s="7">
        <v>0</v>
      </c>
      <c r="I1105" s="7">
        <v>1</v>
      </c>
      <c r="J1105" s="7" t="s">
        <v>1105</v>
      </c>
    </row>
    <row r="1106" customHeight="1" spans="3:10">
      <c r="C1106" s="7">
        <v>4022</v>
      </c>
      <c r="D1106" s="7" t="s">
        <v>1126</v>
      </c>
      <c r="E1106" s="7">
        <v>4</v>
      </c>
      <c r="F1106" s="7">
        <f t="shared" si="26"/>
        <v>4500</v>
      </c>
      <c r="G1106" s="7">
        <v>3</v>
      </c>
      <c r="H1106" s="7">
        <v>0</v>
      </c>
      <c r="I1106" s="7">
        <v>1</v>
      </c>
      <c r="J1106" s="7" t="s">
        <v>1105</v>
      </c>
    </row>
    <row r="1107" customHeight="1" spans="3:10">
      <c r="C1107" s="7">
        <v>4023</v>
      </c>
      <c r="D1107" s="7" t="s">
        <v>1127</v>
      </c>
      <c r="E1107" s="7">
        <v>4</v>
      </c>
      <c r="F1107" s="7">
        <f t="shared" si="26"/>
        <v>4750</v>
      </c>
      <c r="G1107" s="7">
        <v>3</v>
      </c>
      <c r="H1107" s="7">
        <v>0</v>
      </c>
      <c r="I1107" s="7">
        <v>1</v>
      </c>
      <c r="J1107" s="7" t="s">
        <v>1105</v>
      </c>
    </row>
    <row r="1108" customHeight="1" spans="3:10">
      <c r="C1108" s="7">
        <v>4024</v>
      </c>
      <c r="D1108" s="7" t="s">
        <v>1128</v>
      </c>
      <c r="E1108" s="7">
        <v>4</v>
      </c>
      <c r="F1108" s="7">
        <f t="shared" si="26"/>
        <v>5000</v>
      </c>
      <c r="G1108" s="7">
        <v>3</v>
      </c>
      <c r="H1108" s="7">
        <v>0</v>
      </c>
      <c r="I1108" s="7">
        <v>1</v>
      </c>
      <c r="J1108" s="7" t="s">
        <v>1105</v>
      </c>
    </row>
    <row r="1109" customHeight="1" spans="3:10">
      <c r="C1109" s="7">
        <v>4025</v>
      </c>
      <c r="D1109" s="7" t="s">
        <v>1129</v>
      </c>
      <c r="E1109" s="7">
        <v>4</v>
      </c>
      <c r="F1109" s="7">
        <f t="shared" si="26"/>
        <v>5250</v>
      </c>
      <c r="G1109" s="7">
        <v>3</v>
      </c>
      <c r="H1109" s="7">
        <v>0</v>
      </c>
      <c r="I1109" s="7">
        <v>1</v>
      </c>
      <c r="J1109" s="7" t="s">
        <v>1105</v>
      </c>
    </row>
    <row r="1111" customHeight="1" spans="3:10">
      <c r="C1111" s="7">
        <v>5001</v>
      </c>
      <c r="D1111" s="7" t="s">
        <v>1130</v>
      </c>
      <c r="E1111" s="7">
        <v>5</v>
      </c>
      <c r="F1111" s="7">
        <f t="shared" ref="F1111:F1120" si="27">(C1111-5000)*1000</f>
        <v>1000</v>
      </c>
      <c r="G1111" s="7">
        <v>1</v>
      </c>
      <c r="H1111" s="7">
        <v>18</v>
      </c>
      <c r="I1111" s="7">
        <v>5</v>
      </c>
      <c r="J1111" s="7" t="s">
        <v>1131</v>
      </c>
    </row>
    <row r="1112" customHeight="1" spans="3:10">
      <c r="C1112" s="7">
        <v>5002</v>
      </c>
      <c r="D1112" s="7" t="s">
        <v>1132</v>
      </c>
      <c r="E1112" s="7">
        <v>5</v>
      </c>
      <c r="F1112" s="7">
        <f t="shared" si="27"/>
        <v>2000</v>
      </c>
      <c r="G1112" s="7">
        <v>1</v>
      </c>
      <c r="H1112" s="7">
        <v>18</v>
      </c>
      <c r="I1112" s="7">
        <v>5</v>
      </c>
      <c r="J1112" s="7" t="s">
        <v>1131</v>
      </c>
    </row>
    <row r="1113" customHeight="1" spans="3:10">
      <c r="C1113" s="7">
        <v>5003</v>
      </c>
      <c r="D1113" s="7" t="s">
        <v>1133</v>
      </c>
      <c r="E1113" s="7">
        <v>5</v>
      </c>
      <c r="F1113" s="7">
        <f t="shared" si="27"/>
        <v>3000</v>
      </c>
      <c r="G1113" s="7">
        <v>1</v>
      </c>
      <c r="H1113" s="7">
        <v>18</v>
      </c>
      <c r="I1113" s="7">
        <v>5</v>
      </c>
      <c r="J1113" s="7" t="s">
        <v>1131</v>
      </c>
    </row>
    <row r="1114" customHeight="1" spans="3:10">
      <c r="C1114" s="7">
        <v>5004</v>
      </c>
      <c r="D1114" s="7" t="s">
        <v>1134</v>
      </c>
      <c r="E1114" s="7">
        <v>5</v>
      </c>
      <c r="F1114" s="7">
        <f t="shared" si="27"/>
        <v>4000</v>
      </c>
      <c r="G1114" s="7">
        <v>1</v>
      </c>
      <c r="H1114" s="7">
        <v>18</v>
      </c>
      <c r="I1114" s="7">
        <v>5</v>
      </c>
      <c r="J1114" s="7" t="s">
        <v>1131</v>
      </c>
    </row>
    <row r="1115" customHeight="1" spans="3:10">
      <c r="C1115" s="7">
        <v>5005</v>
      </c>
      <c r="D1115" s="7" t="s">
        <v>1135</v>
      </c>
      <c r="E1115" s="7">
        <v>5</v>
      </c>
      <c r="F1115" s="7">
        <f t="shared" si="27"/>
        <v>5000</v>
      </c>
      <c r="G1115" s="7">
        <v>1</v>
      </c>
      <c r="H1115" s="7">
        <v>18</v>
      </c>
      <c r="I1115" s="7">
        <v>5</v>
      </c>
      <c r="J1115" s="7" t="s">
        <v>1131</v>
      </c>
    </row>
    <row r="1116" customHeight="1" spans="3:10">
      <c r="C1116" s="7">
        <v>5006</v>
      </c>
      <c r="D1116" s="7" t="s">
        <v>1136</v>
      </c>
      <c r="E1116" s="7">
        <v>5</v>
      </c>
      <c r="F1116" s="7">
        <f t="shared" si="27"/>
        <v>6000</v>
      </c>
      <c r="G1116" s="7">
        <v>1</v>
      </c>
      <c r="H1116" s="7">
        <v>18</v>
      </c>
      <c r="I1116" s="7">
        <v>5</v>
      </c>
      <c r="J1116" s="7" t="s">
        <v>1131</v>
      </c>
    </row>
    <row r="1117" customHeight="1" spans="3:10">
      <c r="C1117" s="7">
        <v>5007</v>
      </c>
      <c r="D1117" s="7" t="s">
        <v>1137</v>
      </c>
      <c r="E1117" s="7">
        <v>5</v>
      </c>
      <c r="F1117" s="7">
        <f t="shared" si="27"/>
        <v>7000</v>
      </c>
      <c r="G1117" s="7">
        <v>1</v>
      </c>
      <c r="H1117" s="7">
        <v>18</v>
      </c>
      <c r="I1117" s="7">
        <v>5</v>
      </c>
      <c r="J1117" s="7" t="s">
        <v>1131</v>
      </c>
    </row>
    <row r="1118" customHeight="1" spans="3:10">
      <c r="C1118" s="7">
        <v>5008</v>
      </c>
      <c r="D1118" s="7" t="s">
        <v>1138</v>
      </c>
      <c r="E1118" s="7">
        <v>5</v>
      </c>
      <c r="F1118" s="7">
        <f t="shared" si="27"/>
        <v>8000</v>
      </c>
      <c r="G1118" s="7">
        <v>1</v>
      </c>
      <c r="H1118" s="7">
        <v>18</v>
      </c>
      <c r="I1118" s="7">
        <v>5</v>
      </c>
      <c r="J1118" s="7" t="s">
        <v>1131</v>
      </c>
    </row>
    <row r="1119" customHeight="1" spans="3:10">
      <c r="C1119" s="7">
        <v>5009</v>
      </c>
      <c r="D1119" s="7" t="s">
        <v>1139</v>
      </c>
      <c r="E1119" s="7">
        <v>5</v>
      </c>
      <c r="F1119" s="7">
        <f t="shared" si="27"/>
        <v>9000</v>
      </c>
      <c r="G1119" s="7">
        <v>1</v>
      </c>
      <c r="H1119" s="7">
        <v>18</v>
      </c>
      <c r="I1119" s="7">
        <v>5</v>
      </c>
      <c r="J1119" s="7" t="s">
        <v>1131</v>
      </c>
    </row>
    <row r="1120" customHeight="1" spans="3:10">
      <c r="C1120" s="7">
        <v>5010</v>
      </c>
      <c r="D1120" s="7" t="s">
        <v>1140</v>
      </c>
      <c r="E1120" s="7">
        <v>5</v>
      </c>
      <c r="F1120" s="7">
        <f t="shared" si="27"/>
        <v>10000</v>
      </c>
      <c r="G1120" s="7">
        <v>1</v>
      </c>
      <c r="H1120" s="7">
        <v>18</v>
      </c>
      <c r="I1120" s="7">
        <v>5</v>
      </c>
      <c r="J1120" s="7" t="s">
        <v>1131</v>
      </c>
    </row>
    <row r="1121" customHeight="1" spans="3:10">
      <c r="C1121" s="7">
        <v>5011</v>
      </c>
      <c r="D1121" s="7" t="s">
        <v>1141</v>
      </c>
      <c r="E1121" s="7">
        <v>5</v>
      </c>
      <c r="F1121" s="7">
        <f t="shared" ref="F1121:F1136" si="28">F1120+1000</f>
        <v>11000</v>
      </c>
      <c r="G1121" s="7">
        <v>1</v>
      </c>
      <c r="H1121" s="7">
        <v>18</v>
      </c>
      <c r="I1121" s="7">
        <v>5</v>
      </c>
      <c r="J1121" s="7" t="s">
        <v>1131</v>
      </c>
    </row>
    <row r="1122" customHeight="1" spans="3:10">
      <c r="C1122" s="7">
        <v>5012</v>
      </c>
      <c r="D1122" s="7" t="s">
        <v>1142</v>
      </c>
      <c r="E1122" s="7">
        <v>5</v>
      </c>
      <c r="F1122" s="7">
        <f t="shared" si="28"/>
        <v>12000</v>
      </c>
      <c r="G1122" s="7">
        <v>1</v>
      </c>
      <c r="H1122" s="7">
        <v>18</v>
      </c>
      <c r="I1122" s="7">
        <v>5</v>
      </c>
      <c r="J1122" s="7" t="s">
        <v>1131</v>
      </c>
    </row>
    <row r="1123" customHeight="1" spans="3:10">
      <c r="C1123" s="7">
        <v>5013</v>
      </c>
      <c r="D1123" s="7" t="s">
        <v>1143</v>
      </c>
      <c r="E1123" s="7">
        <v>5</v>
      </c>
      <c r="F1123" s="7">
        <f t="shared" si="28"/>
        <v>13000</v>
      </c>
      <c r="G1123" s="7">
        <v>1</v>
      </c>
      <c r="H1123" s="7">
        <v>18</v>
      </c>
      <c r="I1123" s="7">
        <v>5</v>
      </c>
      <c r="J1123" s="7" t="s">
        <v>1131</v>
      </c>
    </row>
    <row r="1124" customHeight="1" spans="3:10">
      <c r="C1124" s="7">
        <v>5014</v>
      </c>
      <c r="D1124" s="7" t="s">
        <v>1144</v>
      </c>
      <c r="E1124" s="7">
        <v>5</v>
      </c>
      <c r="F1124" s="7">
        <f t="shared" si="28"/>
        <v>14000</v>
      </c>
      <c r="G1124" s="7">
        <v>1</v>
      </c>
      <c r="H1124" s="7">
        <v>18</v>
      </c>
      <c r="I1124" s="7">
        <v>5</v>
      </c>
      <c r="J1124" s="7" t="s">
        <v>1131</v>
      </c>
    </row>
    <row r="1125" customHeight="1" spans="3:10">
      <c r="C1125" s="7">
        <v>5015</v>
      </c>
      <c r="D1125" s="7" t="s">
        <v>1145</v>
      </c>
      <c r="E1125" s="7">
        <v>5</v>
      </c>
      <c r="F1125" s="7">
        <f t="shared" si="28"/>
        <v>15000</v>
      </c>
      <c r="G1125" s="7">
        <v>1</v>
      </c>
      <c r="H1125" s="7">
        <v>18</v>
      </c>
      <c r="I1125" s="7">
        <v>5</v>
      </c>
      <c r="J1125" s="7" t="s">
        <v>1131</v>
      </c>
    </row>
    <row r="1126" customHeight="1" spans="3:10">
      <c r="C1126" s="7">
        <v>5016</v>
      </c>
      <c r="D1126" s="7" t="s">
        <v>1146</v>
      </c>
      <c r="E1126" s="7">
        <v>5</v>
      </c>
      <c r="F1126" s="7">
        <f t="shared" si="28"/>
        <v>16000</v>
      </c>
      <c r="G1126" s="7">
        <v>1</v>
      </c>
      <c r="H1126" s="7">
        <v>18</v>
      </c>
      <c r="I1126" s="7">
        <v>5</v>
      </c>
      <c r="J1126" s="7" t="s">
        <v>1131</v>
      </c>
    </row>
    <row r="1127" customHeight="1" spans="3:10">
      <c r="C1127" s="7">
        <v>5017</v>
      </c>
      <c r="D1127" s="7" t="s">
        <v>1147</v>
      </c>
      <c r="E1127" s="7">
        <v>5</v>
      </c>
      <c r="F1127" s="7">
        <f t="shared" si="28"/>
        <v>17000</v>
      </c>
      <c r="G1127" s="7">
        <v>1</v>
      </c>
      <c r="H1127" s="7">
        <v>18</v>
      </c>
      <c r="I1127" s="7">
        <v>5</v>
      </c>
      <c r="J1127" s="7" t="s">
        <v>1131</v>
      </c>
    </row>
    <row r="1128" customHeight="1" spans="3:10">
      <c r="C1128" s="7">
        <v>5018</v>
      </c>
      <c r="D1128" s="7" t="s">
        <v>1148</v>
      </c>
      <c r="E1128" s="7">
        <v>5</v>
      </c>
      <c r="F1128" s="7">
        <f t="shared" si="28"/>
        <v>18000</v>
      </c>
      <c r="G1128" s="7">
        <v>1</v>
      </c>
      <c r="H1128" s="7">
        <v>18</v>
      </c>
      <c r="I1128" s="7">
        <v>5</v>
      </c>
      <c r="J1128" s="7" t="s">
        <v>1131</v>
      </c>
    </row>
    <row r="1129" customHeight="1" spans="3:10">
      <c r="C1129" s="7">
        <v>5019</v>
      </c>
      <c r="D1129" s="7" t="s">
        <v>1149</v>
      </c>
      <c r="E1129" s="7">
        <v>5</v>
      </c>
      <c r="F1129" s="7">
        <f t="shared" si="28"/>
        <v>19000</v>
      </c>
      <c r="G1129" s="7">
        <v>1</v>
      </c>
      <c r="H1129" s="7">
        <v>18</v>
      </c>
      <c r="I1129" s="7">
        <v>5</v>
      </c>
      <c r="J1129" s="7" t="s">
        <v>1131</v>
      </c>
    </row>
    <row r="1130" customHeight="1" spans="3:10">
      <c r="C1130" s="7">
        <v>5020</v>
      </c>
      <c r="D1130" s="7" t="s">
        <v>1150</v>
      </c>
      <c r="E1130" s="7">
        <v>5</v>
      </c>
      <c r="F1130" s="7">
        <f t="shared" si="28"/>
        <v>20000</v>
      </c>
      <c r="G1130" s="7">
        <v>1</v>
      </c>
      <c r="H1130" s="7">
        <v>18</v>
      </c>
      <c r="I1130" s="7">
        <v>5</v>
      </c>
      <c r="J1130" s="7" t="s">
        <v>1131</v>
      </c>
    </row>
    <row r="1131" customHeight="1" spans="3:10">
      <c r="C1131" s="7">
        <v>5021</v>
      </c>
      <c r="D1131" s="7" t="s">
        <v>1151</v>
      </c>
      <c r="E1131" s="7">
        <v>5</v>
      </c>
      <c r="F1131" s="7">
        <f t="shared" si="28"/>
        <v>21000</v>
      </c>
      <c r="G1131" s="7">
        <v>1</v>
      </c>
      <c r="H1131" s="7">
        <v>18</v>
      </c>
      <c r="I1131" s="7">
        <v>5</v>
      </c>
      <c r="J1131" s="7" t="s">
        <v>1131</v>
      </c>
    </row>
    <row r="1132" customHeight="1" spans="3:10">
      <c r="C1132" s="7">
        <v>5022</v>
      </c>
      <c r="D1132" s="7" t="s">
        <v>1152</v>
      </c>
      <c r="E1132" s="7">
        <v>5</v>
      </c>
      <c r="F1132" s="7">
        <f t="shared" si="28"/>
        <v>22000</v>
      </c>
      <c r="G1132" s="7">
        <v>1</v>
      </c>
      <c r="H1132" s="7">
        <v>18</v>
      </c>
      <c r="I1132" s="7">
        <v>5</v>
      </c>
      <c r="J1132" s="7" t="s">
        <v>1131</v>
      </c>
    </row>
    <row r="1133" customHeight="1" spans="3:10">
      <c r="C1133" s="7">
        <v>5023</v>
      </c>
      <c r="D1133" s="7" t="s">
        <v>1153</v>
      </c>
      <c r="E1133" s="7">
        <v>5</v>
      </c>
      <c r="F1133" s="7">
        <f t="shared" si="28"/>
        <v>23000</v>
      </c>
      <c r="G1133" s="7">
        <v>1</v>
      </c>
      <c r="H1133" s="7">
        <v>18</v>
      </c>
      <c r="I1133" s="7">
        <v>5</v>
      </c>
      <c r="J1133" s="7" t="s">
        <v>1131</v>
      </c>
    </row>
    <row r="1134" customHeight="1" spans="3:10">
      <c r="C1134" s="7">
        <v>5024</v>
      </c>
      <c r="D1134" s="7" t="s">
        <v>1154</v>
      </c>
      <c r="E1134" s="7">
        <v>5</v>
      </c>
      <c r="F1134" s="7">
        <f t="shared" si="28"/>
        <v>24000</v>
      </c>
      <c r="G1134" s="7">
        <v>1</v>
      </c>
      <c r="H1134" s="7">
        <v>18</v>
      </c>
      <c r="I1134" s="7">
        <v>5</v>
      </c>
      <c r="J1134" s="7" t="s">
        <v>1131</v>
      </c>
    </row>
    <row r="1135" customHeight="1" spans="3:10">
      <c r="C1135" s="7">
        <v>5025</v>
      </c>
      <c r="D1135" s="7" t="s">
        <v>1155</v>
      </c>
      <c r="E1135" s="7">
        <v>5</v>
      </c>
      <c r="F1135" s="7">
        <f t="shared" si="28"/>
        <v>25000</v>
      </c>
      <c r="G1135" s="7">
        <v>1</v>
      </c>
      <c r="H1135" s="7">
        <v>18</v>
      </c>
      <c r="I1135" s="7">
        <v>5</v>
      </c>
      <c r="J1135" s="7" t="s">
        <v>1131</v>
      </c>
    </row>
    <row r="1136" customHeight="1" spans="3:10">
      <c r="C1136" s="7">
        <v>5026</v>
      </c>
      <c r="D1136" s="7" t="s">
        <v>1156</v>
      </c>
      <c r="E1136" s="7">
        <v>5</v>
      </c>
      <c r="F1136" s="7">
        <f t="shared" ref="F1136:F1155" si="29">F1135+2000</f>
        <v>27000</v>
      </c>
      <c r="G1136" s="7">
        <v>1</v>
      </c>
      <c r="H1136" s="7">
        <v>18</v>
      </c>
      <c r="I1136" s="7">
        <v>10</v>
      </c>
      <c r="J1136" s="7" t="s">
        <v>1131</v>
      </c>
    </row>
    <row r="1137" customHeight="1" spans="3:10">
      <c r="C1137" s="7">
        <v>5027</v>
      </c>
      <c r="D1137" s="7" t="s">
        <v>1157</v>
      </c>
      <c r="E1137" s="7">
        <v>5</v>
      </c>
      <c r="F1137" s="7">
        <f t="shared" si="29"/>
        <v>29000</v>
      </c>
      <c r="G1137" s="7">
        <v>1</v>
      </c>
      <c r="H1137" s="7">
        <v>18</v>
      </c>
      <c r="I1137" s="7">
        <v>10</v>
      </c>
      <c r="J1137" s="7" t="s">
        <v>1131</v>
      </c>
    </row>
    <row r="1138" customHeight="1" spans="3:10">
      <c r="C1138" s="7">
        <v>5028</v>
      </c>
      <c r="D1138" s="7" t="s">
        <v>1158</v>
      </c>
      <c r="E1138" s="7">
        <v>5</v>
      </c>
      <c r="F1138" s="7">
        <f t="shared" si="29"/>
        <v>31000</v>
      </c>
      <c r="G1138" s="7">
        <v>1</v>
      </c>
      <c r="H1138" s="7">
        <v>18</v>
      </c>
      <c r="I1138" s="7">
        <v>10</v>
      </c>
      <c r="J1138" s="7" t="s">
        <v>1131</v>
      </c>
    </row>
    <row r="1139" customHeight="1" spans="3:10">
      <c r="C1139" s="7">
        <v>5029</v>
      </c>
      <c r="D1139" s="7" t="s">
        <v>1159</v>
      </c>
      <c r="E1139" s="7">
        <v>5</v>
      </c>
      <c r="F1139" s="7">
        <f t="shared" si="29"/>
        <v>33000</v>
      </c>
      <c r="G1139" s="7">
        <v>1</v>
      </c>
      <c r="H1139" s="7">
        <v>18</v>
      </c>
      <c r="I1139" s="7">
        <v>10</v>
      </c>
      <c r="J1139" s="7" t="s">
        <v>1131</v>
      </c>
    </row>
    <row r="1140" customHeight="1" spans="3:10">
      <c r="C1140" s="7">
        <v>5030</v>
      </c>
      <c r="D1140" s="7" t="s">
        <v>1160</v>
      </c>
      <c r="E1140" s="7">
        <v>5</v>
      </c>
      <c r="F1140" s="7">
        <f t="shared" si="29"/>
        <v>35000</v>
      </c>
      <c r="G1140" s="7">
        <v>1</v>
      </c>
      <c r="H1140" s="7">
        <v>18</v>
      </c>
      <c r="I1140" s="7">
        <v>10</v>
      </c>
      <c r="J1140" s="7" t="s">
        <v>1131</v>
      </c>
    </row>
    <row r="1141" customHeight="1" spans="3:10">
      <c r="C1141" s="7">
        <v>5031</v>
      </c>
      <c r="D1141" s="7" t="s">
        <v>1161</v>
      </c>
      <c r="E1141" s="7">
        <v>5</v>
      </c>
      <c r="F1141" s="7">
        <f t="shared" si="29"/>
        <v>37000</v>
      </c>
      <c r="G1141" s="7">
        <v>1</v>
      </c>
      <c r="H1141" s="7">
        <v>18</v>
      </c>
      <c r="I1141" s="7">
        <v>10</v>
      </c>
      <c r="J1141" s="7" t="s">
        <v>1131</v>
      </c>
    </row>
    <row r="1142" customHeight="1" spans="3:10">
      <c r="C1142" s="7">
        <v>5032</v>
      </c>
      <c r="D1142" s="7" t="s">
        <v>1162</v>
      </c>
      <c r="E1142" s="7">
        <v>5</v>
      </c>
      <c r="F1142" s="7">
        <f t="shared" si="29"/>
        <v>39000</v>
      </c>
      <c r="G1142" s="7">
        <v>1</v>
      </c>
      <c r="H1142" s="7">
        <v>18</v>
      </c>
      <c r="I1142" s="7">
        <v>10</v>
      </c>
      <c r="J1142" s="7" t="s">
        <v>1131</v>
      </c>
    </row>
    <row r="1143" customHeight="1" spans="3:10">
      <c r="C1143" s="7">
        <v>5033</v>
      </c>
      <c r="D1143" s="7" t="s">
        <v>1163</v>
      </c>
      <c r="E1143" s="7">
        <v>5</v>
      </c>
      <c r="F1143" s="7">
        <f t="shared" si="29"/>
        <v>41000</v>
      </c>
      <c r="G1143" s="7">
        <v>1</v>
      </c>
      <c r="H1143" s="7">
        <v>18</v>
      </c>
      <c r="I1143" s="7">
        <v>10</v>
      </c>
      <c r="J1143" s="7" t="s">
        <v>1131</v>
      </c>
    </row>
    <row r="1144" customHeight="1" spans="3:10">
      <c r="C1144" s="7">
        <v>5034</v>
      </c>
      <c r="D1144" s="7" t="s">
        <v>1164</v>
      </c>
      <c r="E1144" s="7">
        <v>5</v>
      </c>
      <c r="F1144" s="7">
        <f t="shared" si="29"/>
        <v>43000</v>
      </c>
      <c r="G1144" s="7">
        <v>1</v>
      </c>
      <c r="H1144" s="7">
        <v>18</v>
      </c>
      <c r="I1144" s="7">
        <v>10</v>
      </c>
      <c r="J1144" s="7" t="s">
        <v>1131</v>
      </c>
    </row>
    <row r="1145" customHeight="1" spans="3:10">
      <c r="C1145" s="7">
        <v>5035</v>
      </c>
      <c r="D1145" s="7" t="s">
        <v>1165</v>
      </c>
      <c r="E1145" s="7">
        <v>5</v>
      </c>
      <c r="F1145" s="7">
        <f t="shared" si="29"/>
        <v>45000</v>
      </c>
      <c r="G1145" s="7">
        <v>1</v>
      </c>
      <c r="H1145" s="7">
        <v>18</v>
      </c>
      <c r="I1145" s="7">
        <v>10</v>
      </c>
      <c r="J1145" s="7" t="s">
        <v>1131</v>
      </c>
    </row>
    <row r="1146" customHeight="1" spans="3:10">
      <c r="C1146" s="7">
        <v>5036</v>
      </c>
      <c r="D1146" s="7" t="s">
        <v>1166</v>
      </c>
      <c r="E1146" s="7">
        <v>5</v>
      </c>
      <c r="F1146" s="7">
        <f t="shared" ref="F1146:F1162" si="30">F1145+3000</f>
        <v>48000</v>
      </c>
      <c r="G1146" s="7">
        <v>1</v>
      </c>
      <c r="H1146" s="7">
        <v>18</v>
      </c>
      <c r="I1146" s="7">
        <v>15</v>
      </c>
      <c r="J1146" s="7" t="s">
        <v>1131</v>
      </c>
    </row>
    <row r="1147" customHeight="1" spans="3:10">
      <c r="C1147" s="7">
        <v>5037</v>
      </c>
      <c r="D1147" s="7" t="s">
        <v>1167</v>
      </c>
      <c r="E1147" s="7">
        <v>5</v>
      </c>
      <c r="F1147" s="7">
        <f t="shared" si="30"/>
        <v>51000</v>
      </c>
      <c r="G1147" s="7">
        <v>1</v>
      </c>
      <c r="H1147" s="7">
        <v>18</v>
      </c>
      <c r="I1147" s="7">
        <v>15</v>
      </c>
      <c r="J1147" s="7" t="s">
        <v>1131</v>
      </c>
    </row>
    <row r="1148" customHeight="1" spans="3:10">
      <c r="C1148" s="7">
        <v>5038</v>
      </c>
      <c r="D1148" s="7" t="s">
        <v>1168</v>
      </c>
      <c r="E1148" s="7">
        <v>5</v>
      </c>
      <c r="F1148" s="7">
        <f t="shared" si="30"/>
        <v>54000</v>
      </c>
      <c r="G1148" s="7">
        <v>1</v>
      </c>
      <c r="H1148" s="7">
        <v>18</v>
      </c>
      <c r="I1148" s="7">
        <v>15</v>
      </c>
      <c r="J1148" s="7" t="s">
        <v>1131</v>
      </c>
    </row>
    <row r="1149" customHeight="1" spans="3:10">
      <c r="C1149" s="7">
        <v>5039</v>
      </c>
      <c r="D1149" s="7" t="s">
        <v>1169</v>
      </c>
      <c r="E1149" s="7">
        <v>5</v>
      </c>
      <c r="F1149" s="7">
        <f t="shared" si="30"/>
        <v>57000</v>
      </c>
      <c r="G1149" s="7">
        <v>1</v>
      </c>
      <c r="H1149" s="7">
        <v>18</v>
      </c>
      <c r="I1149" s="7">
        <v>15</v>
      </c>
      <c r="J1149" s="7" t="s">
        <v>1131</v>
      </c>
    </row>
    <row r="1150" customHeight="1" spans="3:10">
      <c r="C1150" s="7">
        <v>5040</v>
      </c>
      <c r="D1150" s="7" t="s">
        <v>1170</v>
      </c>
      <c r="E1150" s="7">
        <v>5</v>
      </c>
      <c r="F1150" s="7">
        <f t="shared" si="30"/>
        <v>60000</v>
      </c>
      <c r="G1150" s="7">
        <v>1</v>
      </c>
      <c r="H1150" s="7">
        <v>18</v>
      </c>
      <c r="I1150" s="7">
        <v>15</v>
      </c>
      <c r="J1150" s="7" t="s">
        <v>1131</v>
      </c>
    </row>
    <row r="1151" customHeight="1" spans="3:10">
      <c r="C1151" s="7">
        <v>5041</v>
      </c>
      <c r="D1151" s="7" t="s">
        <v>1171</v>
      </c>
      <c r="E1151" s="7">
        <v>5</v>
      </c>
      <c r="F1151" s="7">
        <f t="shared" si="30"/>
        <v>63000</v>
      </c>
      <c r="G1151" s="7">
        <v>1</v>
      </c>
      <c r="H1151" s="7">
        <v>18</v>
      </c>
      <c r="I1151" s="7">
        <v>15</v>
      </c>
      <c r="J1151" s="7" t="s">
        <v>1131</v>
      </c>
    </row>
    <row r="1152" customHeight="1" spans="3:10">
      <c r="C1152" s="7">
        <v>5042</v>
      </c>
      <c r="D1152" s="7" t="s">
        <v>1172</v>
      </c>
      <c r="E1152" s="7">
        <v>5</v>
      </c>
      <c r="F1152" s="7">
        <f t="shared" si="30"/>
        <v>66000</v>
      </c>
      <c r="G1152" s="7">
        <v>1</v>
      </c>
      <c r="H1152" s="7">
        <v>18</v>
      </c>
      <c r="I1152" s="7">
        <v>15</v>
      </c>
      <c r="J1152" s="7" t="s">
        <v>1131</v>
      </c>
    </row>
    <row r="1153" customHeight="1" spans="3:10">
      <c r="C1153" s="7">
        <v>5043</v>
      </c>
      <c r="D1153" s="7" t="s">
        <v>1173</v>
      </c>
      <c r="E1153" s="7">
        <v>5</v>
      </c>
      <c r="F1153" s="7">
        <f t="shared" si="30"/>
        <v>69000</v>
      </c>
      <c r="G1153" s="7">
        <v>1</v>
      </c>
      <c r="H1153" s="7">
        <v>18</v>
      </c>
      <c r="I1153" s="7">
        <v>15</v>
      </c>
      <c r="J1153" s="7" t="s">
        <v>1131</v>
      </c>
    </row>
    <row r="1154" customHeight="1" spans="3:10">
      <c r="C1154" s="7">
        <v>5044</v>
      </c>
      <c r="D1154" s="7" t="s">
        <v>1174</v>
      </c>
      <c r="E1154" s="7">
        <v>5</v>
      </c>
      <c r="F1154" s="7">
        <f t="shared" si="30"/>
        <v>72000</v>
      </c>
      <c r="G1154" s="7">
        <v>1</v>
      </c>
      <c r="H1154" s="7">
        <v>18</v>
      </c>
      <c r="I1154" s="7">
        <v>15</v>
      </c>
      <c r="J1154" s="7" t="s">
        <v>1131</v>
      </c>
    </row>
    <row r="1155" customHeight="1" spans="3:10">
      <c r="C1155" s="7">
        <v>5045</v>
      </c>
      <c r="D1155" s="7" t="s">
        <v>1175</v>
      </c>
      <c r="E1155" s="7">
        <v>5</v>
      </c>
      <c r="F1155" s="7">
        <f t="shared" si="30"/>
        <v>75000</v>
      </c>
      <c r="G1155" s="7">
        <v>1</v>
      </c>
      <c r="H1155" s="7">
        <v>18</v>
      </c>
      <c r="I1155" s="7">
        <v>15</v>
      </c>
      <c r="J1155" s="7" t="s">
        <v>1131</v>
      </c>
    </row>
    <row r="1156" customHeight="1" spans="3:10">
      <c r="C1156" s="7">
        <v>5046</v>
      </c>
      <c r="D1156" s="7" t="s">
        <v>1176</v>
      </c>
      <c r="E1156" s="7">
        <v>5</v>
      </c>
      <c r="F1156" s="7">
        <f t="shared" si="30"/>
        <v>78000</v>
      </c>
      <c r="G1156" s="7">
        <v>1</v>
      </c>
      <c r="H1156" s="7">
        <v>18</v>
      </c>
      <c r="I1156" s="7">
        <v>15</v>
      </c>
      <c r="J1156" s="7" t="s">
        <v>1131</v>
      </c>
    </row>
    <row r="1157" customHeight="1" spans="3:10">
      <c r="C1157" s="7">
        <v>5047</v>
      </c>
      <c r="D1157" s="7" t="s">
        <v>1177</v>
      </c>
      <c r="E1157" s="7">
        <v>5</v>
      </c>
      <c r="F1157" s="7">
        <f t="shared" si="30"/>
        <v>81000</v>
      </c>
      <c r="G1157" s="7">
        <v>1</v>
      </c>
      <c r="H1157" s="7">
        <v>18</v>
      </c>
      <c r="I1157" s="7">
        <v>15</v>
      </c>
      <c r="J1157" s="7" t="s">
        <v>1131</v>
      </c>
    </row>
    <row r="1158" customHeight="1" spans="3:10">
      <c r="C1158" s="7">
        <v>5048</v>
      </c>
      <c r="D1158" s="7" t="s">
        <v>1178</v>
      </c>
      <c r="E1158" s="7">
        <v>5</v>
      </c>
      <c r="F1158" s="7">
        <f t="shared" si="30"/>
        <v>84000</v>
      </c>
      <c r="G1158" s="7">
        <v>1</v>
      </c>
      <c r="H1158" s="7">
        <v>18</v>
      </c>
      <c r="I1158" s="7">
        <v>15</v>
      </c>
      <c r="J1158" s="7" t="s">
        <v>1131</v>
      </c>
    </row>
    <row r="1159" customHeight="1" spans="3:10">
      <c r="C1159" s="7">
        <v>5049</v>
      </c>
      <c r="D1159" s="7" t="s">
        <v>1179</v>
      </c>
      <c r="E1159" s="7">
        <v>5</v>
      </c>
      <c r="F1159" s="7">
        <f t="shared" si="30"/>
        <v>87000</v>
      </c>
      <c r="G1159" s="7">
        <v>1</v>
      </c>
      <c r="H1159" s="7">
        <v>18</v>
      </c>
      <c r="I1159" s="7">
        <v>15</v>
      </c>
      <c r="J1159" s="7" t="s">
        <v>1131</v>
      </c>
    </row>
    <row r="1160" customHeight="1" spans="3:10">
      <c r="C1160" s="7">
        <v>5050</v>
      </c>
      <c r="D1160" s="7" t="s">
        <v>1180</v>
      </c>
      <c r="E1160" s="7">
        <v>5</v>
      </c>
      <c r="F1160" s="7">
        <f t="shared" si="30"/>
        <v>90000</v>
      </c>
      <c r="G1160" s="7">
        <v>1</v>
      </c>
      <c r="H1160" s="7">
        <v>18</v>
      </c>
      <c r="I1160" s="7">
        <v>15</v>
      </c>
      <c r="J1160" s="7" t="s">
        <v>1131</v>
      </c>
    </row>
    <row r="1161" customHeight="1" spans="3:10">
      <c r="C1161" s="7">
        <v>5051</v>
      </c>
      <c r="D1161" s="7" t="s">
        <v>1181</v>
      </c>
      <c r="E1161" s="7">
        <v>5</v>
      </c>
      <c r="F1161" s="7">
        <f t="shared" ref="F1161:F1165" si="31">F1160+4000</f>
        <v>94000</v>
      </c>
      <c r="G1161" s="7">
        <v>1</v>
      </c>
      <c r="H1161" s="7">
        <v>18</v>
      </c>
      <c r="I1161" s="7">
        <v>20</v>
      </c>
      <c r="J1161" s="7" t="s">
        <v>1131</v>
      </c>
    </row>
    <row r="1162" customHeight="1" spans="3:10">
      <c r="C1162" s="7">
        <v>5052</v>
      </c>
      <c r="D1162" s="7" t="s">
        <v>1182</v>
      </c>
      <c r="E1162" s="7">
        <v>5</v>
      </c>
      <c r="F1162" s="7">
        <f t="shared" si="31"/>
        <v>98000</v>
      </c>
      <c r="G1162" s="7">
        <v>1</v>
      </c>
      <c r="H1162" s="7">
        <v>18</v>
      </c>
      <c r="I1162" s="7">
        <v>20</v>
      </c>
      <c r="J1162" s="7" t="s">
        <v>1131</v>
      </c>
    </row>
    <row r="1163" customHeight="1" spans="3:10">
      <c r="C1163" s="7">
        <v>5053</v>
      </c>
      <c r="D1163" s="7" t="s">
        <v>1183</v>
      </c>
      <c r="E1163" s="7">
        <v>5</v>
      </c>
      <c r="F1163" s="7">
        <f t="shared" si="31"/>
        <v>102000</v>
      </c>
      <c r="G1163" s="7">
        <v>1</v>
      </c>
      <c r="H1163" s="7">
        <v>18</v>
      </c>
      <c r="I1163" s="7">
        <v>20</v>
      </c>
      <c r="J1163" s="7" t="s">
        <v>1131</v>
      </c>
    </row>
    <row r="1164" customHeight="1" spans="3:10">
      <c r="C1164" s="7">
        <v>5054</v>
      </c>
      <c r="D1164" s="7" t="s">
        <v>1184</v>
      </c>
      <c r="E1164" s="7">
        <v>5</v>
      </c>
      <c r="F1164" s="7">
        <f t="shared" si="31"/>
        <v>106000</v>
      </c>
      <c r="G1164" s="7">
        <v>1</v>
      </c>
      <c r="H1164" s="7">
        <v>18</v>
      </c>
      <c r="I1164" s="7">
        <v>20</v>
      </c>
      <c r="J1164" s="7" t="s">
        <v>1131</v>
      </c>
    </row>
    <row r="1165" customHeight="1" spans="3:10">
      <c r="C1165" s="7">
        <v>5055</v>
      </c>
      <c r="D1165" s="7" t="s">
        <v>1185</v>
      </c>
      <c r="E1165" s="7">
        <v>5</v>
      </c>
      <c r="F1165" s="7">
        <f t="shared" si="31"/>
        <v>110000</v>
      </c>
      <c r="G1165" s="7">
        <v>1</v>
      </c>
      <c r="H1165" s="7">
        <v>18</v>
      </c>
      <c r="I1165" s="7">
        <v>20</v>
      </c>
      <c r="J1165" s="7" t="s">
        <v>1131</v>
      </c>
    </row>
    <row r="1167" customHeight="1" spans="3:10">
      <c r="C1167" s="7">
        <v>6001</v>
      </c>
      <c r="D1167" s="7" t="s">
        <v>1186</v>
      </c>
      <c r="E1167" s="7">
        <v>6</v>
      </c>
      <c r="F1167" s="7">
        <v>100</v>
      </c>
      <c r="G1167" s="7">
        <v>4</v>
      </c>
      <c r="H1167" s="7">
        <v>0</v>
      </c>
      <c r="I1167" s="7">
        <v>1</v>
      </c>
      <c r="J1167" s="7" t="s">
        <v>1187</v>
      </c>
    </row>
    <row r="1168" customHeight="1" spans="3:10">
      <c r="C1168" s="7">
        <v>6002</v>
      </c>
      <c r="D1168" s="7" t="s">
        <v>1188</v>
      </c>
      <c r="E1168" s="7">
        <v>6</v>
      </c>
      <c r="F1168" s="7">
        <v>200</v>
      </c>
      <c r="G1168" s="7">
        <v>4</v>
      </c>
      <c r="H1168" s="7">
        <v>0</v>
      </c>
      <c r="I1168" s="7">
        <v>1</v>
      </c>
      <c r="J1168" s="7" t="s">
        <v>1187</v>
      </c>
    </row>
    <row r="1169" customHeight="1" spans="3:10">
      <c r="C1169" s="7">
        <v>6003</v>
      </c>
      <c r="D1169" s="7" t="s">
        <v>1189</v>
      </c>
      <c r="E1169" s="7">
        <v>6</v>
      </c>
      <c r="F1169" s="7">
        <v>300</v>
      </c>
      <c r="G1169" s="7">
        <v>4</v>
      </c>
      <c r="H1169" s="7">
        <v>0</v>
      </c>
      <c r="I1169" s="7">
        <v>1</v>
      </c>
      <c r="J1169" s="7" t="s">
        <v>1187</v>
      </c>
    </row>
    <row r="1170" customHeight="1" spans="3:10">
      <c r="C1170" s="7">
        <v>6004</v>
      </c>
      <c r="D1170" s="7" t="s">
        <v>1190</v>
      </c>
      <c r="E1170" s="7">
        <v>6</v>
      </c>
      <c r="F1170" s="7">
        <v>400</v>
      </c>
      <c r="G1170" s="7">
        <v>4</v>
      </c>
      <c r="H1170" s="7">
        <v>0</v>
      </c>
      <c r="I1170" s="7">
        <v>1</v>
      </c>
      <c r="J1170" s="7" t="s">
        <v>1187</v>
      </c>
    </row>
    <row r="1171" customHeight="1" spans="3:10">
      <c r="C1171" s="7">
        <v>6005</v>
      </c>
      <c r="D1171" s="7" t="s">
        <v>1191</v>
      </c>
      <c r="E1171" s="7">
        <v>6</v>
      </c>
      <c r="F1171" s="7">
        <v>500</v>
      </c>
      <c r="G1171" s="7">
        <v>4</v>
      </c>
      <c r="H1171" s="7">
        <v>0</v>
      </c>
      <c r="I1171" s="7">
        <v>1</v>
      </c>
      <c r="J1171" s="7" t="s">
        <v>1187</v>
      </c>
    </row>
    <row r="1172" customHeight="1" spans="3:10">
      <c r="C1172" s="7">
        <v>6006</v>
      </c>
      <c r="D1172" s="7" t="s">
        <v>1192</v>
      </c>
      <c r="E1172" s="7">
        <v>6</v>
      </c>
      <c r="F1172" s="7">
        <v>600</v>
      </c>
      <c r="G1172" s="7">
        <v>4</v>
      </c>
      <c r="H1172" s="7">
        <v>0</v>
      </c>
      <c r="I1172" s="7">
        <v>1</v>
      </c>
      <c r="J1172" s="7" t="s">
        <v>1187</v>
      </c>
    </row>
    <row r="1173" customHeight="1" spans="3:10">
      <c r="C1173" s="7">
        <v>6007</v>
      </c>
      <c r="D1173" s="7" t="s">
        <v>1193</v>
      </c>
      <c r="E1173" s="7">
        <v>6</v>
      </c>
      <c r="F1173" s="7">
        <v>700</v>
      </c>
      <c r="G1173" s="7">
        <v>4</v>
      </c>
      <c r="H1173" s="7">
        <v>0</v>
      </c>
      <c r="I1173" s="7">
        <v>1</v>
      </c>
      <c r="J1173" s="7" t="s">
        <v>1187</v>
      </c>
    </row>
    <row r="1174" customHeight="1" spans="3:10">
      <c r="C1174" s="7">
        <v>6008</v>
      </c>
      <c r="D1174" s="7" t="s">
        <v>1194</v>
      </c>
      <c r="E1174" s="7">
        <v>6</v>
      </c>
      <c r="F1174" s="7">
        <v>800</v>
      </c>
      <c r="G1174" s="7">
        <v>4</v>
      </c>
      <c r="H1174" s="7">
        <v>0</v>
      </c>
      <c r="I1174" s="7">
        <v>1</v>
      </c>
      <c r="J1174" s="7" t="s">
        <v>1187</v>
      </c>
    </row>
    <row r="1175" customHeight="1" spans="3:10">
      <c r="C1175" s="7">
        <v>6009</v>
      </c>
      <c r="D1175" s="7" t="s">
        <v>1195</v>
      </c>
      <c r="E1175" s="7">
        <v>6</v>
      </c>
      <c r="F1175" s="7">
        <v>900</v>
      </c>
      <c r="G1175" s="7">
        <v>4</v>
      </c>
      <c r="H1175" s="7">
        <v>0</v>
      </c>
      <c r="I1175" s="7">
        <v>1</v>
      </c>
      <c r="J1175" s="7" t="s">
        <v>1187</v>
      </c>
    </row>
    <row r="1176" customHeight="1" spans="3:10">
      <c r="C1176" s="7">
        <v>6010</v>
      </c>
      <c r="D1176" s="7" t="s">
        <v>1196</v>
      </c>
      <c r="E1176" s="7">
        <v>6</v>
      </c>
      <c r="F1176" s="7">
        <v>1000</v>
      </c>
      <c r="G1176" s="7">
        <v>4</v>
      </c>
      <c r="H1176" s="7">
        <v>0</v>
      </c>
      <c r="I1176" s="7">
        <v>1</v>
      </c>
      <c r="J1176" s="7" t="s">
        <v>1187</v>
      </c>
    </row>
    <row r="1177" customHeight="1" spans="3:10">
      <c r="C1177" s="7">
        <v>6011</v>
      </c>
      <c r="D1177" s="7" t="s">
        <v>1197</v>
      </c>
      <c r="E1177" s="7">
        <v>6</v>
      </c>
      <c r="F1177" s="7">
        <v>1100</v>
      </c>
      <c r="G1177" s="7">
        <v>4</v>
      </c>
      <c r="H1177" s="7">
        <v>0</v>
      </c>
      <c r="I1177" s="7">
        <v>1</v>
      </c>
      <c r="J1177" s="7" t="s">
        <v>1187</v>
      </c>
    </row>
    <row r="1178" customHeight="1" spans="3:10">
      <c r="C1178" s="7">
        <v>6012</v>
      </c>
      <c r="D1178" s="7" t="s">
        <v>1198</v>
      </c>
      <c r="E1178" s="7">
        <v>6</v>
      </c>
      <c r="F1178" s="7">
        <v>1200</v>
      </c>
      <c r="G1178" s="7">
        <v>4</v>
      </c>
      <c r="H1178" s="7">
        <v>0</v>
      </c>
      <c r="I1178" s="7">
        <v>1</v>
      </c>
      <c r="J1178" s="7" t="s">
        <v>1187</v>
      </c>
    </row>
    <row r="1179" customHeight="1" spans="3:10">
      <c r="C1179" s="7">
        <v>6013</v>
      </c>
      <c r="D1179" s="7" t="s">
        <v>1199</v>
      </c>
      <c r="E1179" s="7">
        <v>6</v>
      </c>
      <c r="F1179" s="7">
        <v>1300</v>
      </c>
      <c r="G1179" s="7">
        <v>4</v>
      </c>
      <c r="H1179" s="7">
        <v>0</v>
      </c>
      <c r="I1179" s="7">
        <v>1</v>
      </c>
      <c r="J1179" s="7" t="s">
        <v>1187</v>
      </c>
    </row>
    <row r="1180" customHeight="1" spans="3:10">
      <c r="C1180" s="7">
        <v>6014</v>
      </c>
      <c r="D1180" s="7" t="s">
        <v>1200</v>
      </c>
      <c r="E1180" s="7">
        <v>6</v>
      </c>
      <c r="F1180" s="7">
        <v>1400</v>
      </c>
      <c r="G1180" s="7">
        <v>4</v>
      </c>
      <c r="H1180" s="7">
        <v>0</v>
      </c>
      <c r="I1180" s="7">
        <v>1</v>
      </c>
      <c r="J1180" s="7" t="s">
        <v>1187</v>
      </c>
    </row>
    <row r="1181" customHeight="1" spans="3:10">
      <c r="C1181" s="7">
        <v>6015</v>
      </c>
      <c r="D1181" s="7" t="s">
        <v>1201</v>
      </c>
      <c r="E1181" s="7">
        <v>6</v>
      </c>
      <c r="F1181" s="7">
        <v>1500</v>
      </c>
      <c r="G1181" s="7">
        <v>4</v>
      </c>
      <c r="H1181" s="7">
        <v>0</v>
      </c>
      <c r="I1181" s="7">
        <v>1</v>
      </c>
      <c r="J1181" s="7" t="s">
        <v>1187</v>
      </c>
    </row>
    <row r="1182" customHeight="1" spans="3:10">
      <c r="C1182" s="7">
        <v>6016</v>
      </c>
      <c r="D1182" s="7" t="s">
        <v>1202</v>
      </c>
      <c r="E1182" s="7">
        <v>6</v>
      </c>
      <c r="F1182" s="7">
        <v>1600</v>
      </c>
      <c r="G1182" s="7">
        <v>4</v>
      </c>
      <c r="H1182" s="7">
        <v>0</v>
      </c>
      <c r="I1182" s="7">
        <v>1</v>
      </c>
      <c r="J1182" s="7" t="s">
        <v>1187</v>
      </c>
    </row>
    <row r="1183" customHeight="1" spans="3:10">
      <c r="C1183" s="7">
        <v>6017</v>
      </c>
      <c r="D1183" s="7" t="s">
        <v>1203</v>
      </c>
      <c r="E1183" s="7">
        <v>6</v>
      </c>
      <c r="F1183" s="7">
        <v>1700</v>
      </c>
      <c r="G1183" s="7">
        <v>4</v>
      </c>
      <c r="H1183" s="7">
        <v>0</v>
      </c>
      <c r="I1183" s="7">
        <v>1</v>
      </c>
      <c r="J1183" s="7" t="s">
        <v>1187</v>
      </c>
    </row>
    <row r="1184" customHeight="1" spans="3:10">
      <c r="C1184" s="7">
        <v>6018</v>
      </c>
      <c r="D1184" s="7" t="s">
        <v>1204</v>
      </c>
      <c r="E1184" s="7">
        <v>6</v>
      </c>
      <c r="F1184" s="7">
        <v>1800</v>
      </c>
      <c r="G1184" s="7">
        <v>4</v>
      </c>
      <c r="H1184" s="7">
        <v>0</v>
      </c>
      <c r="I1184" s="7">
        <v>1</v>
      </c>
      <c r="J1184" s="7" t="s">
        <v>1187</v>
      </c>
    </row>
    <row r="1185" customHeight="1" spans="3:10">
      <c r="C1185" s="7">
        <v>6019</v>
      </c>
      <c r="D1185" s="7" t="s">
        <v>1205</v>
      </c>
      <c r="E1185" s="7">
        <v>6</v>
      </c>
      <c r="F1185" s="7">
        <v>1900</v>
      </c>
      <c r="G1185" s="7">
        <v>4</v>
      </c>
      <c r="H1185" s="7">
        <v>0</v>
      </c>
      <c r="I1185" s="7">
        <v>1</v>
      </c>
      <c r="J1185" s="7" t="s">
        <v>1187</v>
      </c>
    </row>
    <row r="1186" customHeight="1" spans="3:10">
      <c r="C1186" s="7">
        <v>6020</v>
      </c>
      <c r="D1186" s="7" t="s">
        <v>1206</v>
      </c>
      <c r="E1186" s="7">
        <v>6</v>
      </c>
      <c r="F1186" s="7">
        <v>2000</v>
      </c>
      <c r="G1186" s="7">
        <v>4</v>
      </c>
      <c r="H1186" s="7">
        <v>0</v>
      </c>
      <c r="I1186" s="7">
        <v>1</v>
      </c>
      <c r="J1186" s="7" t="s">
        <v>1187</v>
      </c>
    </row>
    <row r="1187" customHeight="1" spans="3:10">
      <c r="C1187" s="7">
        <v>6021</v>
      </c>
      <c r="D1187" s="7" t="s">
        <v>1207</v>
      </c>
      <c r="E1187" s="7">
        <v>6</v>
      </c>
      <c r="F1187" s="7">
        <f t="shared" ref="F1187:F1201" si="32">F1186+100</f>
        <v>2100</v>
      </c>
      <c r="G1187" s="7">
        <v>4</v>
      </c>
      <c r="H1187" s="7">
        <v>0</v>
      </c>
      <c r="I1187" s="7">
        <v>1</v>
      </c>
      <c r="J1187" s="7" t="s">
        <v>1187</v>
      </c>
    </row>
    <row r="1188" customHeight="1" spans="3:10">
      <c r="C1188" s="7">
        <v>6022</v>
      </c>
      <c r="D1188" s="7" t="s">
        <v>1208</v>
      </c>
      <c r="E1188" s="7">
        <v>6</v>
      </c>
      <c r="F1188" s="7">
        <f t="shared" si="32"/>
        <v>2200</v>
      </c>
      <c r="G1188" s="7">
        <v>4</v>
      </c>
      <c r="H1188" s="7">
        <v>0</v>
      </c>
      <c r="I1188" s="7">
        <v>1</v>
      </c>
      <c r="J1188" s="7" t="s">
        <v>1187</v>
      </c>
    </row>
    <row r="1189" customHeight="1" spans="3:10">
      <c r="C1189" s="7">
        <v>6023</v>
      </c>
      <c r="D1189" s="7" t="s">
        <v>1209</v>
      </c>
      <c r="E1189" s="7">
        <v>6</v>
      </c>
      <c r="F1189" s="7">
        <f t="shared" si="32"/>
        <v>2300</v>
      </c>
      <c r="G1189" s="7">
        <v>4</v>
      </c>
      <c r="H1189" s="7">
        <v>0</v>
      </c>
      <c r="I1189" s="7">
        <v>1</v>
      </c>
      <c r="J1189" s="7" t="s">
        <v>1187</v>
      </c>
    </row>
    <row r="1190" customHeight="1" spans="3:10">
      <c r="C1190" s="7">
        <v>6024</v>
      </c>
      <c r="D1190" s="7" t="s">
        <v>1210</v>
      </c>
      <c r="E1190" s="7">
        <v>6</v>
      </c>
      <c r="F1190" s="7">
        <f t="shared" si="32"/>
        <v>2400</v>
      </c>
      <c r="G1190" s="7">
        <v>4</v>
      </c>
      <c r="H1190" s="7">
        <v>0</v>
      </c>
      <c r="I1190" s="7">
        <v>1</v>
      </c>
      <c r="J1190" s="7" t="s">
        <v>1187</v>
      </c>
    </row>
    <row r="1191" customHeight="1" spans="3:10">
      <c r="C1191" s="7">
        <v>6025</v>
      </c>
      <c r="D1191" s="7" t="s">
        <v>1211</v>
      </c>
      <c r="E1191" s="7">
        <v>6</v>
      </c>
      <c r="F1191" s="7">
        <f t="shared" si="32"/>
        <v>2500</v>
      </c>
      <c r="G1191" s="7">
        <v>4</v>
      </c>
      <c r="H1191" s="7">
        <v>0</v>
      </c>
      <c r="I1191" s="7">
        <v>1</v>
      </c>
      <c r="J1191" s="7" t="s">
        <v>1187</v>
      </c>
    </row>
    <row r="1192" customHeight="1" spans="3:10">
      <c r="C1192" s="7">
        <v>6026</v>
      </c>
      <c r="D1192" s="7" t="s">
        <v>1212</v>
      </c>
      <c r="E1192" s="7">
        <v>6</v>
      </c>
      <c r="F1192" s="7">
        <f t="shared" si="32"/>
        <v>2600</v>
      </c>
      <c r="G1192" s="7">
        <v>4</v>
      </c>
      <c r="H1192" s="7">
        <v>0</v>
      </c>
      <c r="I1192" s="7">
        <v>1</v>
      </c>
      <c r="J1192" s="7" t="s">
        <v>1187</v>
      </c>
    </row>
    <row r="1193" customHeight="1" spans="3:10">
      <c r="C1193" s="7">
        <v>6027</v>
      </c>
      <c r="D1193" s="7" t="s">
        <v>1213</v>
      </c>
      <c r="E1193" s="7">
        <v>6</v>
      </c>
      <c r="F1193" s="7">
        <f t="shared" si="32"/>
        <v>2700</v>
      </c>
      <c r="G1193" s="7">
        <v>4</v>
      </c>
      <c r="H1193" s="7">
        <v>0</v>
      </c>
      <c r="I1193" s="7">
        <v>1</v>
      </c>
      <c r="J1193" s="7" t="s">
        <v>1187</v>
      </c>
    </row>
    <row r="1194" customHeight="1" spans="3:10">
      <c r="C1194" s="7">
        <v>6028</v>
      </c>
      <c r="D1194" s="7" t="s">
        <v>1214</v>
      </c>
      <c r="E1194" s="7">
        <v>6</v>
      </c>
      <c r="F1194" s="7">
        <f t="shared" si="32"/>
        <v>2800</v>
      </c>
      <c r="G1194" s="7">
        <v>4</v>
      </c>
      <c r="H1194" s="7">
        <v>0</v>
      </c>
      <c r="I1194" s="7">
        <v>1</v>
      </c>
      <c r="J1194" s="7" t="s">
        <v>1187</v>
      </c>
    </row>
    <row r="1195" customHeight="1" spans="3:10">
      <c r="C1195" s="7">
        <v>6029</v>
      </c>
      <c r="D1195" s="7" t="s">
        <v>1215</v>
      </c>
      <c r="E1195" s="7">
        <v>6</v>
      </c>
      <c r="F1195" s="7">
        <f t="shared" si="32"/>
        <v>2900</v>
      </c>
      <c r="G1195" s="7">
        <v>4</v>
      </c>
      <c r="H1195" s="7">
        <v>0</v>
      </c>
      <c r="I1195" s="7">
        <v>1</v>
      </c>
      <c r="J1195" s="7" t="s">
        <v>1187</v>
      </c>
    </row>
    <row r="1196" customHeight="1" spans="3:10">
      <c r="C1196" s="7">
        <v>6030</v>
      </c>
      <c r="D1196" s="7" t="s">
        <v>1216</v>
      </c>
      <c r="E1196" s="7">
        <v>6</v>
      </c>
      <c r="F1196" s="7">
        <f t="shared" si="32"/>
        <v>3000</v>
      </c>
      <c r="G1196" s="7">
        <v>4</v>
      </c>
      <c r="H1196" s="7">
        <v>0</v>
      </c>
      <c r="I1196" s="7">
        <v>1</v>
      </c>
      <c r="J1196" s="7" t="s">
        <v>1187</v>
      </c>
    </row>
    <row r="1197" customHeight="1" spans="3:10">
      <c r="C1197" s="7">
        <v>6031</v>
      </c>
      <c r="D1197" s="7" t="s">
        <v>1217</v>
      </c>
      <c r="E1197" s="7">
        <v>6</v>
      </c>
      <c r="F1197" s="7">
        <f>F1196+200</f>
        <v>3200</v>
      </c>
      <c r="G1197" s="7">
        <v>4</v>
      </c>
      <c r="H1197" s="7">
        <v>0</v>
      </c>
      <c r="I1197" s="7">
        <v>1</v>
      </c>
      <c r="J1197" s="7" t="s">
        <v>1187</v>
      </c>
    </row>
    <row r="1198" customHeight="1" spans="3:10">
      <c r="C1198" s="7">
        <v>6032</v>
      </c>
      <c r="D1198" s="7" t="s">
        <v>1218</v>
      </c>
      <c r="E1198" s="7">
        <v>6</v>
      </c>
      <c r="F1198" s="7">
        <f>F1197+200</f>
        <v>3400</v>
      </c>
      <c r="G1198" s="7">
        <v>4</v>
      </c>
      <c r="H1198" s="7">
        <v>0</v>
      </c>
      <c r="I1198" s="7">
        <v>1</v>
      </c>
      <c r="J1198" s="7" t="s">
        <v>1187</v>
      </c>
    </row>
    <row r="1199" customHeight="1" spans="3:10">
      <c r="C1199" s="7">
        <v>6033</v>
      </c>
      <c r="D1199" s="7" t="s">
        <v>1219</v>
      </c>
      <c r="E1199" s="7">
        <v>6</v>
      </c>
      <c r="F1199" s="7">
        <f>F1198+200</f>
        <v>3600</v>
      </c>
      <c r="G1199" s="7">
        <v>4</v>
      </c>
      <c r="H1199" s="7">
        <v>0</v>
      </c>
      <c r="I1199" s="7">
        <v>1</v>
      </c>
      <c r="J1199" s="7" t="s">
        <v>1187</v>
      </c>
    </row>
    <row r="1200" customHeight="1" spans="3:10">
      <c r="C1200" s="7">
        <v>6034</v>
      </c>
      <c r="D1200" s="7" t="s">
        <v>1220</v>
      </c>
      <c r="E1200" s="7">
        <v>6</v>
      </c>
      <c r="F1200" s="7">
        <f>F1199+200</f>
        <v>3800</v>
      </c>
      <c r="G1200" s="7">
        <v>4</v>
      </c>
      <c r="H1200" s="7">
        <v>0</v>
      </c>
      <c r="I1200" s="7">
        <v>1</v>
      </c>
      <c r="J1200" s="7" t="s">
        <v>1187</v>
      </c>
    </row>
    <row r="1201" customHeight="1" spans="3:10">
      <c r="C1201" s="7">
        <v>6035</v>
      </c>
      <c r="D1201" s="7" t="s">
        <v>1221</v>
      </c>
      <c r="E1201" s="7">
        <v>6</v>
      </c>
      <c r="F1201" s="7">
        <f>F1200+200</f>
        <v>4000</v>
      </c>
      <c r="G1201" s="7">
        <v>4</v>
      </c>
      <c r="H1201" s="7">
        <v>0</v>
      </c>
      <c r="I1201" s="7">
        <v>1</v>
      </c>
      <c r="J1201" s="7" t="s">
        <v>1187</v>
      </c>
    </row>
    <row r="1202" customHeight="1" spans="3:10">
      <c r="C1202" s="7">
        <v>6036</v>
      </c>
      <c r="D1202" s="7" t="s">
        <v>1222</v>
      </c>
      <c r="E1202" s="7">
        <v>6</v>
      </c>
      <c r="F1202" s="7">
        <f t="shared" ref="F1202:F1211" si="33">F1201+300</f>
        <v>4300</v>
      </c>
      <c r="G1202" s="7">
        <v>4</v>
      </c>
      <c r="H1202" s="7">
        <v>0</v>
      </c>
      <c r="I1202" s="7">
        <v>1</v>
      </c>
      <c r="J1202" s="7" t="s">
        <v>1187</v>
      </c>
    </row>
    <row r="1203" customHeight="1" spans="3:10">
      <c r="C1203" s="7">
        <v>6037</v>
      </c>
      <c r="D1203" s="7" t="s">
        <v>1223</v>
      </c>
      <c r="E1203" s="7">
        <v>6</v>
      </c>
      <c r="F1203" s="7">
        <f t="shared" si="33"/>
        <v>4600</v>
      </c>
      <c r="G1203" s="7">
        <v>4</v>
      </c>
      <c r="H1203" s="7">
        <v>0</v>
      </c>
      <c r="I1203" s="7">
        <v>1</v>
      </c>
      <c r="J1203" s="7" t="s">
        <v>1187</v>
      </c>
    </row>
    <row r="1204" customHeight="1" spans="3:10">
      <c r="C1204" s="7">
        <v>6038</v>
      </c>
      <c r="D1204" s="7" t="s">
        <v>1224</v>
      </c>
      <c r="E1204" s="7">
        <v>6</v>
      </c>
      <c r="F1204" s="7">
        <f t="shared" si="33"/>
        <v>4900</v>
      </c>
      <c r="G1204" s="7">
        <v>4</v>
      </c>
      <c r="H1204" s="7">
        <v>0</v>
      </c>
      <c r="I1204" s="7">
        <v>1</v>
      </c>
      <c r="J1204" s="7" t="s">
        <v>1187</v>
      </c>
    </row>
    <row r="1205" customHeight="1" spans="3:10">
      <c r="C1205" s="7">
        <v>6039</v>
      </c>
      <c r="D1205" s="7" t="s">
        <v>1225</v>
      </c>
      <c r="E1205" s="7">
        <v>6</v>
      </c>
      <c r="F1205" s="7">
        <f t="shared" si="33"/>
        <v>5200</v>
      </c>
      <c r="G1205" s="7">
        <v>4</v>
      </c>
      <c r="H1205" s="7">
        <v>0</v>
      </c>
      <c r="I1205" s="7">
        <v>1</v>
      </c>
      <c r="J1205" s="7" t="s">
        <v>1187</v>
      </c>
    </row>
    <row r="1206" customHeight="1" spans="3:10">
      <c r="C1206" s="7">
        <v>6040</v>
      </c>
      <c r="D1206" s="7" t="s">
        <v>1226</v>
      </c>
      <c r="E1206" s="7">
        <v>6</v>
      </c>
      <c r="F1206" s="7">
        <f t="shared" si="33"/>
        <v>5500</v>
      </c>
      <c r="G1206" s="7">
        <v>4</v>
      </c>
      <c r="H1206" s="7">
        <v>0</v>
      </c>
      <c r="I1206" s="7">
        <v>1</v>
      </c>
      <c r="J1206" s="7" t="s">
        <v>1187</v>
      </c>
    </row>
    <row r="1207" customHeight="1" spans="3:10">
      <c r="C1207" s="7">
        <v>6041</v>
      </c>
      <c r="D1207" s="7" t="s">
        <v>1227</v>
      </c>
      <c r="E1207" s="7">
        <v>6</v>
      </c>
      <c r="F1207" s="7">
        <f t="shared" si="33"/>
        <v>5800</v>
      </c>
      <c r="G1207" s="7">
        <v>4</v>
      </c>
      <c r="H1207" s="7">
        <v>0</v>
      </c>
      <c r="I1207" s="7">
        <v>1</v>
      </c>
      <c r="J1207" s="7" t="s">
        <v>1187</v>
      </c>
    </row>
    <row r="1208" customHeight="1" spans="3:10">
      <c r="C1208" s="7">
        <v>6042</v>
      </c>
      <c r="D1208" s="7" t="s">
        <v>1228</v>
      </c>
      <c r="E1208" s="7">
        <v>6</v>
      </c>
      <c r="F1208" s="7">
        <f t="shared" si="33"/>
        <v>6100</v>
      </c>
      <c r="G1208" s="7">
        <v>4</v>
      </c>
      <c r="H1208" s="7">
        <v>0</v>
      </c>
      <c r="I1208" s="7">
        <v>1</v>
      </c>
      <c r="J1208" s="7" t="s">
        <v>1187</v>
      </c>
    </row>
    <row r="1209" customHeight="1" spans="3:10">
      <c r="C1209" s="7">
        <v>6043</v>
      </c>
      <c r="D1209" s="7" t="s">
        <v>1229</v>
      </c>
      <c r="E1209" s="7">
        <v>6</v>
      </c>
      <c r="F1209" s="7">
        <f t="shared" si="33"/>
        <v>6400</v>
      </c>
      <c r="G1209" s="7">
        <v>4</v>
      </c>
      <c r="H1209" s="7">
        <v>0</v>
      </c>
      <c r="I1209" s="7">
        <v>1</v>
      </c>
      <c r="J1209" s="7" t="s">
        <v>1187</v>
      </c>
    </row>
    <row r="1210" customHeight="1" spans="3:10">
      <c r="C1210" s="7">
        <v>6044</v>
      </c>
      <c r="D1210" s="7" t="s">
        <v>1230</v>
      </c>
      <c r="E1210" s="7">
        <v>6</v>
      </c>
      <c r="F1210" s="7">
        <f t="shared" si="33"/>
        <v>6700</v>
      </c>
      <c r="G1210" s="7">
        <v>4</v>
      </c>
      <c r="H1210" s="7">
        <v>0</v>
      </c>
      <c r="I1210" s="7">
        <v>1</v>
      </c>
      <c r="J1210" s="7" t="s">
        <v>1187</v>
      </c>
    </row>
    <row r="1211" customHeight="1" spans="3:10">
      <c r="C1211" s="7">
        <v>6045</v>
      </c>
      <c r="D1211" s="7" t="s">
        <v>1231</v>
      </c>
      <c r="E1211" s="7">
        <v>6</v>
      </c>
      <c r="F1211" s="7">
        <f t="shared" si="33"/>
        <v>7000</v>
      </c>
      <c r="G1211" s="7">
        <v>4</v>
      </c>
      <c r="H1211" s="7">
        <v>0</v>
      </c>
      <c r="I1211" s="7">
        <v>1</v>
      </c>
      <c r="J1211" s="7" t="s">
        <v>1187</v>
      </c>
    </row>
    <row r="1212" customHeight="1" spans="3:10">
      <c r="C1212" s="7">
        <v>6046</v>
      </c>
      <c r="D1212" s="7" t="s">
        <v>1232</v>
      </c>
      <c r="E1212" s="7">
        <v>6</v>
      </c>
      <c r="F1212" s="7">
        <f t="shared" ref="F1212:F1231" si="34">F1211+400</f>
        <v>7400</v>
      </c>
      <c r="G1212" s="7">
        <v>4</v>
      </c>
      <c r="H1212" s="7">
        <v>0</v>
      </c>
      <c r="I1212" s="7">
        <v>1</v>
      </c>
      <c r="J1212" s="7" t="s">
        <v>1187</v>
      </c>
    </row>
    <row r="1213" customHeight="1" spans="3:10">
      <c r="C1213" s="7">
        <v>6047</v>
      </c>
      <c r="D1213" s="7" t="s">
        <v>1233</v>
      </c>
      <c r="E1213" s="7">
        <v>6</v>
      </c>
      <c r="F1213" s="7">
        <f t="shared" si="34"/>
        <v>7800</v>
      </c>
      <c r="G1213" s="7">
        <v>4</v>
      </c>
      <c r="H1213" s="7">
        <v>0</v>
      </c>
      <c r="I1213" s="7">
        <v>1</v>
      </c>
      <c r="J1213" s="7" t="s">
        <v>1187</v>
      </c>
    </row>
    <row r="1214" customHeight="1" spans="3:10">
      <c r="C1214" s="7">
        <v>6048</v>
      </c>
      <c r="D1214" s="7" t="s">
        <v>1234</v>
      </c>
      <c r="E1214" s="7">
        <v>6</v>
      </c>
      <c r="F1214" s="7">
        <f t="shared" si="34"/>
        <v>8200</v>
      </c>
      <c r="G1214" s="7">
        <v>4</v>
      </c>
      <c r="H1214" s="7">
        <v>0</v>
      </c>
      <c r="I1214" s="7">
        <v>1</v>
      </c>
      <c r="J1214" s="7" t="s">
        <v>1187</v>
      </c>
    </row>
    <row r="1215" customHeight="1" spans="3:10">
      <c r="C1215" s="7">
        <v>6049</v>
      </c>
      <c r="D1215" s="7" t="s">
        <v>1235</v>
      </c>
      <c r="E1215" s="7">
        <v>6</v>
      </c>
      <c r="F1215" s="7">
        <f t="shared" si="34"/>
        <v>8600</v>
      </c>
      <c r="G1215" s="7">
        <v>4</v>
      </c>
      <c r="H1215" s="7">
        <v>0</v>
      </c>
      <c r="I1215" s="7">
        <v>1</v>
      </c>
      <c r="J1215" s="7" t="s">
        <v>1187</v>
      </c>
    </row>
    <row r="1216" customHeight="1" spans="3:10">
      <c r="C1216" s="7">
        <v>6050</v>
      </c>
      <c r="D1216" s="7" t="s">
        <v>1236</v>
      </c>
      <c r="E1216" s="7">
        <v>6</v>
      </c>
      <c r="F1216" s="7">
        <f t="shared" si="34"/>
        <v>9000</v>
      </c>
      <c r="G1216" s="7">
        <v>4</v>
      </c>
      <c r="H1216" s="7">
        <v>0</v>
      </c>
      <c r="I1216" s="7">
        <v>1</v>
      </c>
      <c r="J1216" s="7" t="s">
        <v>1187</v>
      </c>
    </row>
    <row r="1217" customHeight="1" spans="3:10">
      <c r="C1217" s="7">
        <v>6051</v>
      </c>
      <c r="D1217" s="7" t="s">
        <v>1237</v>
      </c>
      <c r="E1217" s="7">
        <v>6</v>
      </c>
      <c r="F1217" s="7">
        <f t="shared" si="34"/>
        <v>9400</v>
      </c>
      <c r="G1217" s="7">
        <v>4</v>
      </c>
      <c r="H1217" s="7">
        <v>0</v>
      </c>
      <c r="I1217" s="7">
        <v>1</v>
      </c>
      <c r="J1217" s="7" t="s">
        <v>1187</v>
      </c>
    </row>
    <row r="1218" customHeight="1" spans="3:10">
      <c r="C1218" s="7">
        <v>6052</v>
      </c>
      <c r="D1218" s="7" t="s">
        <v>1238</v>
      </c>
      <c r="E1218" s="7">
        <v>6</v>
      </c>
      <c r="F1218" s="7">
        <f t="shared" si="34"/>
        <v>9800</v>
      </c>
      <c r="G1218" s="7">
        <v>4</v>
      </c>
      <c r="H1218" s="7">
        <v>0</v>
      </c>
      <c r="I1218" s="7">
        <v>1</v>
      </c>
      <c r="J1218" s="7" t="s">
        <v>1187</v>
      </c>
    </row>
    <row r="1219" customHeight="1" spans="3:10">
      <c r="C1219" s="7">
        <v>6053</v>
      </c>
      <c r="D1219" s="7" t="s">
        <v>1239</v>
      </c>
      <c r="E1219" s="7">
        <v>6</v>
      </c>
      <c r="F1219" s="7">
        <f t="shared" si="34"/>
        <v>10200</v>
      </c>
      <c r="G1219" s="7">
        <v>4</v>
      </c>
      <c r="H1219" s="7">
        <v>0</v>
      </c>
      <c r="I1219" s="7">
        <v>1</v>
      </c>
      <c r="J1219" s="7" t="s">
        <v>1187</v>
      </c>
    </row>
    <row r="1220" customHeight="1" spans="3:10">
      <c r="C1220" s="7">
        <v>6054</v>
      </c>
      <c r="D1220" s="7" t="s">
        <v>1240</v>
      </c>
      <c r="E1220" s="7">
        <v>6</v>
      </c>
      <c r="F1220" s="7">
        <f t="shared" si="34"/>
        <v>10600</v>
      </c>
      <c r="G1220" s="7">
        <v>4</v>
      </c>
      <c r="H1220" s="7">
        <v>0</v>
      </c>
      <c r="I1220" s="7">
        <v>1</v>
      </c>
      <c r="J1220" s="7" t="s">
        <v>1187</v>
      </c>
    </row>
    <row r="1221" customHeight="1" spans="3:10">
      <c r="C1221" s="7">
        <v>6055</v>
      </c>
      <c r="D1221" s="7" t="s">
        <v>1241</v>
      </c>
      <c r="E1221" s="7">
        <v>6</v>
      </c>
      <c r="F1221" s="7">
        <f t="shared" si="34"/>
        <v>11000</v>
      </c>
      <c r="G1221" s="7">
        <v>4</v>
      </c>
      <c r="H1221" s="7">
        <v>0</v>
      </c>
      <c r="I1221" s="7">
        <v>1</v>
      </c>
      <c r="J1221" s="7" t="s">
        <v>1187</v>
      </c>
    </row>
    <row r="1222" customHeight="1" spans="3:10">
      <c r="C1222" s="7">
        <v>6056</v>
      </c>
      <c r="D1222" s="7" t="s">
        <v>1242</v>
      </c>
      <c r="E1222" s="7">
        <v>6</v>
      </c>
      <c r="F1222" s="7">
        <f t="shared" si="34"/>
        <v>11400</v>
      </c>
      <c r="G1222" s="7">
        <v>4</v>
      </c>
      <c r="H1222" s="7">
        <v>0</v>
      </c>
      <c r="I1222" s="7">
        <v>1</v>
      </c>
      <c r="J1222" s="7" t="s">
        <v>1187</v>
      </c>
    </row>
    <row r="1223" customHeight="1" spans="3:10">
      <c r="C1223" s="7">
        <v>6057</v>
      </c>
      <c r="D1223" s="7" t="s">
        <v>1243</v>
      </c>
      <c r="E1223" s="7">
        <v>6</v>
      </c>
      <c r="F1223" s="7">
        <f t="shared" si="34"/>
        <v>11800</v>
      </c>
      <c r="G1223" s="7">
        <v>4</v>
      </c>
      <c r="H1223" s="7">
        <v>0</v>
      </c>
      <c r="I1223" s="7">
        <v>1</v>
      </c>
      <c r="J1223" s="7" t="s">
        <v>1187</v>
      </c>
    </row>
    <row r="1224" customHeight="1" spans="3:10">
      <c r="C1224" s="7">
        <v>6058</v>
      </c>
      <c r="D1224" s="7" t="s">
        <v>1244</v>
      </c>
      <c r="E1224" s="7">
        <v>6</v>
      </c>
      <c r="F1224" s="7">
        <f t="shared" si="34"/>
        <v>12200</v>
      </c>
      <c r="G1224" s="7">
        <v>4</v>
      </c>
      <c r="H1224" s="7">
        <v>0</v>
      </c>
      <c r="I1224" s="7">
        <v>1</v>
      </c>
      <c r="J1224" s="7" t="s">
        <v>1187</v>
      </c>
    </row>
    <row r="1225" customHeight="1" spans="3:10">
      <c r="C1225" s="7">
        <v>6059</v>
      </c>
      <c r="D1225" s="7" t="s">
        <v>1245</v>
      </c>
      <c r="E1225" s="7">
        <v>6</v>
      </c>
      <c r="F1225" s="7">
        <f t="shared" si="34"/>
        <v>12600</v>
      </c>
      <c r="G1225" s="7">
        <v>4</v>
      </c>
      <c r="H1225" s="7">
        <v>0</v>
      </c>
      <c r="I1225" s="7">
        <v>1</v>
      </c>
      <c r="J1225" s="7" t="s">
        <v>1187</v>
      </c>
    </row>
    <row r="1226" customHeight="1" spans="3:10">
      <c r="C1226" s="7">
        <v>6060</v>
      </c>
      <c r="D1226" s="7" t="s">
        <v>1246</v>
      </c>
      <c r="E1226" s="7">
        <v>6</v>
      </c>
      <c r="F1226" s="7">
        <f t="shared" si="34"/>
        <v>13000</v>
      </c>
      <c r="G1226" s="7">
        <v>4</v>
      </c>
      <c r="H1226" s="7">
        <v>0</v>
      </c>
      <c r="I1226" s="7">
        <v>1</v>
      </c>
      <c r="J1226" s="7" t="s">
        <v>1187</v>
      </c>
    </row>
    <row r="1227" customHeight="1" spans="3:10">
      <c r="C1227" s="7">
        <v>6061</v>
      </c>
      <c r="D1227" s="7" t="s">
        <v>1247</v>
      </c>
      <c r="E1227" s="7">
        <v>6</v>
      </c>
      <c r="F1227" s="7">
        <f t="shared" ref="F1227:F1236" si="35">F1226+500</f>
        <v>13500</v>
      </c>
      <c r="G1227" s="7">
        <v>4</v>
      </c>
      <c r="H1227" s="7">
        <v>0</v>
      </c>
      <c r="I1227" s="7">
        <v>1</v>
      </c>
      <c r="J1227" s="7" t="s">
        <v>1187</v>
      </c>
    </row>
    <row r="1228" customHeight="1" spans="3:10">
      <c r="C1228" s="7">
        <v>6062</v>
      </c>
      <c r="D1228" s="7" t="s">
        <v>1248</v>
      </c>
      <c r="E1228" s="7">
        <v>6</v>
      </c>
      <c r="F1228" s="7">
        <f t="shared" si="35"/>
        <v>14000</v>
      </c>
      <c r="G1228" s="7">
        <v>4</v>
      </c>
      <c r="H1228" s="7">
        <v>0</v>
      </c>
      <c r="I1228" s="7">
        <v>1</v>
      </c>
      <c r="J1228" s="7" t="s">
        <v>1187</v>
      </c>
    </row>
    <row r="1229" customHeight="1" spans="3:10">
      <c r="C1229" s="7">
        <v>6063</v>
      </c>
      <c r="D1229" s="7" t="s">
        <v>1249</v>
      </c>
      <c r="E1229" s="7">
        <v>6</v>
      </c>
      <c r="F1229" s="7">
        <f t="shared" si="35"/>
        <v>14500</v>
      </c>
      <c r="G1229" s="7">
        <v>4</v>
      </c>
      <c r="H1229" s="7">
        <v>0</v>
      </c>
      <c r="I1229" s="7">
        <v>1</v>
      </c>
      <c r="J1229" s="7" t="s">
        <v>1187</v>
      </c>
    </row>
    <row r="1230" customHeight="1" spans="3:10">
      <c r="C1230" s="7">
        <v>6064</v>
      </c>
      <c r="D1230" s="7" t="s">
        <v>1250</v>
      </c>
      <c r="E1230" s="7">
        <v>6</v>
      </c>
      <c r="F1230" s="7">
        <f t="shared" si="35"/>
        <v>15000</v>
      </c>
      <c r="G1230" s="7">
        <v>4</v>
      </c>
      <c r="H1230" s="7">
        <v>0</v>
      </c>
      <c r="I1230" s="7">
        <v>1</v>
      </c>
      <c r="J1230" s="7" t="s">
        <v>1187</v>
      </c>
    </row>
    <row r="1231" customHeight="1" spans="3:10">
      <c r="C1231" s="7">
        <v>6065</v>
      </c>
      <c r="D1231" s="7" t="s">
        <v>1251</v>
      </c>
      <c r="E1231" s="7">
        <v>6</v>
      </c>
      <c r="F1231" s="7">
        <f t="shared" si="35"/>
        <v>15500</v>
      </c>
      <c r="G1231" s="7">
        <v>4</v>
      </c>
      <c r="H1231" s="7">
        <v>0</v>
      </c>
      <c r="I1231" s="7">
        <v>1</v>
      </c>
      <c r="J1231" s="7" t="s">
        <v>1187</v>
      </c>
    </row>
    <row r="1232" customHeight="1" spans="3:10">
      <c r="C1232" s="7">
        <v>6066</v>
      </c>
      <c r="D1232" s="7" t="s">
        <v>1252</v>
      </c>
      <c r="E1232" s="7">
        <v>6</v>
      </c>
      <c r="F1232" s="7">
        <f t="shared" ref="F1232:F1237" si="36">F1231+750</f>
        <v>16250</v>
      </c>
      <c r="G1232" s="7">
        <v>4</v>
      </c>
      <c r="H1232" s="7">
        <v>0</v>
      </c>
      <c r="I1232" s="7">
        <v>1</v>
      </c>
      <c r="J1232" s="7" t="s">
        <v>1187</v>
      </c>
    </row>
    <row r="1233" customHeight="1" spans="3:10">
      <c r="C1233" s="7">
        <v>6067</v>
      </c>
      <c r="D1233" s="7" t="s">
        <v>1253</v>
      </c>
      <c r="E1233" s="7">
        <v>6</v>
      </c>
      <c r="F1233" s="7">
        <f t="shared" si="36"/>
        <v>17000</v>
      </c>
      <c r="G1233" s="7">
        <v>4</v>
      </c>
      <c r="H1233" s="7">
        <v>0</v>
      </c>
      <c r="I1233" s="7">
        <v>1</v>
      </c>
      <c r="J1233" s="7" t="s">
        <v>1187</v>
      </c>
    </row>
    <row r="1234" customHeight="1" spans="3:10">
      <c r="C1234" s="7">
        <v>6068</v>
      </c>
      <c r="D1234" s="7" t="s">
        <v>1254</v>
      </c>
      <c r="E1234" s="7">
        <v>6</v>
      </c>
      <c r="F1234" s="7">
        <f t="shared" si="36"/>
        <v>17750</v>
      </c>
      <c r="G1234" s="7">
        <v>4</v>
      </c>
      <c r="H1234" s="7">
        <v>0</v>
      </c>
      <c r="I1234" s="7">
        <v>1</v>
      </c>
      <c r="J1234" s="7" t="s">
        <v>1187</v>
      </c>
    </row>
    <row r="1235" customHeight="1" spans="3:10">
      <c r="C1235" s="7">
        <v>6069</v>
      </c>
      <c r="D1235" s="7" t="s">
        <v>1255</v>
      </c>
      <c r="E1235" s="7">
        <v>6</v>
      </c>
      <c r="F1235" s="7">
        <f t="shared" si="36"/>
        <v>18500</v>
      </c>
      <c r="G1235" s="7">
        <v>4</v>
      </c>
      <c r="H1235" s="7">
        <v>0</v>
      </c>
      <c r="I1235" s="7">
        <v>1</v>
      </c>
      <c r="J1235" s="7" t="s">
        <v>1187</v>
      </c>
    </row>
    <row r="1236" customHeight="1" spans="3:10">
      <c r="C1236" s="7">
        <v>6070</v>
      </c>
      <c r="D1236" s="7" t="s">
        <v>1256</v>
      </c>
      <c r="E1236" s="7">
        <v>6</v>
      </c>
      <c r="F1236" s="7">
        <f t="shared" si="36"/>
        <v>19250</v>
      </c>
      <c r="G1236" s="7">
        <v>4</v>
      </c>
      <c r="H1236" s="7">
        <v>0</v>
      </c>
      <c r="I1236" s="7">
        <v>1</v>
      </c>
      <c r="J1236" s="7" t="s">
        <v>1187</v>
      </c>
    </row>
    <row r="1237" customHeight="1" spans="3:10">
      <c r="C1237" s="7">
        <v>6071</v>
      </c>
      <c r="D1237" s="7" t="s">
        <v>1257</v>
      </c>
      <c r="E1237" s="7">
        <v>6</v>
      </c>
      <c r="F1237" s="7">
        <f t="shared" si="36"/>
        <v>20000</v>
      </c>
      <c r="G1237" s="7">
        <v>4</v>
      </c>
      <c r="H1237" s="7">
        <v>0</v>
      </c>
      <c r="I1237" s="7">
        <v>1</v>
      </c>
      <c r="J1237" s="7" t="s">
        <v>1187</v>
      </c>
    </row>
    <row r="1238" customHeight="1" spans="3:10">
      <c r="C1238" s="7">
        <v>6072</v>
      </c>
      <c r="D1238" s="7" t="s">
        <v>1258</v>
      </c>
      <c r="E1238" s="7">
        <v>6</v>
      </c>
      <c r="F1238" s="7">
        <f t="shared" ref="F1238:F1257" si="37">F1237+1500</f>
        <v>21500</v>
      </c>
      <c r="G1238" s="7">
        <v>4</v>
      </c>
      <c r="H1238" s="7">
        <v>0</v>
      </c>
      <c r="I1238" s="7">
        <v>1</v>
      </c>
      <c r="J1238" s="7" t="s">
        <v>1187</v>
      </c>
    </row>
    <row r="1239" customHeight="1" spans="3:10">
      <c r="C1239" s="7">
        <v>6073</v>
      </c>
      <c r="D1239" s="7" t="s">
        <v>1259</v>
      </c>
      <c r="E1239" s="7">
        <v>6</v>
      </c>
      <c r="F1239" s="7">
        <f t="shared" si="37"/>
        <v>23000</v>
      </c>
      <c r="G1239" s="7">
        <v>4</v>
      </c>
      <c r="H1239" s="7">
        <v>0</v>
      </c>
      <c r="I1239" s="7">
        <v>1</v>
      </c>
      <c r="J1239" s="7" t="s">
        <v>1187</v>
      </c>
    </row>
    <row r="1240" customHeight="1" spans="3:10">
      <c r="C1240" s="7">
        <v>6074</v>
      </c>
      <c r="D1240" s="7" t="s">
        <v>1260</v>
      </c>
      <c r="E1240" s="7">
        <v>6</v>
      </c>
      <c r="F1240" s="7">
        <f t="shared" si="37"/>
        <v>24500</v>
      </c>
      <c r="G1240" s="7">
        <v>4</v>
      </c>
      <c r="H1240" s="7">
        <v>0</v>
      </c>
      <c r="I1240" s="7">
        <v>1</v>
      </c>
      <c r="J1240" s="7" t="s">
        <v>1187</v>
      </c>
    </row>
    <row r="1241" customHeight="1" spans="3:10">
      <c r="C1241" s="7">
        <v>6075</v>
      </c>
      <c r="D1241" s="7" t="s">
        <v>1261</v>
      </c>
      <c r="E1241" s="7">
        <v>6</v>
      </c>
      <c r="F1241" s="7">
        <f t="shared" si="37"/>
        <v>26000</v>
      </c>
      <c r="G1241" s="7">
        <v>4</v>
      </c>
      <c r="H1241" s="7">
        <v>0</v>
      </c>
      <c r="I1241" s="7">
        <v>1</v>
      </c>
      <c r="J1241" s="7" t="s">
        <v>1187</v>
      </c>
    </row>
    <row r="1242" customHeight="1" spans="3:10">
      <c r="C1242" s="7">
        <v>6076</v>
      </c>
      <c r="D1242" s="7" t="s">
        <v>1262</v>
      </c>
      <c r="E1242" s="7">
        <v>6</v>
      </c>
      <c r="F1242" s="7">
        <f t="shared" si="37"/>
        <v>27500</v>
      </c>
      <c r="G1242" s="7">
        <v>4</v>
      </c>
      <c r="H1242" s="7">
        <v>0</v>
      </c>
      <c r="I1242" s="7">
        <v>1</v>
      </c>
      <c r="J1242" s="7" t="s">
        <v>1187</v>
      </c>
    </row>
    <row r="1243" customHeight="1" spans="3:10">
      <c r="C1243" s="7">
        <v>6077</v>
      </c>
      <c r="D1243" s="7" t="s">
        <v>1263</v>
      </c>
      <c r="E1243" s="7">
        <v>6</v>
      </c>
      <c r="F1243" s="7">
        <f t="shared" si="37"/>
        <v>29000</v>
      </c>
      <c r="G1243" s="7">
        <v>4</v>
      </c>
      <c r="H1243" s="7">
        <v>0</v>
      </c>
      <c r="I1243" s="7">
        <v>1</v>
      </c>
      <c r="J1243" s="7" t="s">
        <v>1187</v>
      </c>
    </row>
    <row r="1244" customHeight="1" spans="3:10">
      <c r="C1244" s="7">
        <v>6078</v>
      </c>
      <c r="D1244" s="7" t="s">
        <v>1264</v>
      </c>
      <c r="E1244" s="7">
        <v>6</v>
      </c>
      <c r="F1244" s="7">
        <f t="shared" si="37"/>
        <v>30500</v>
      </c>
      <c r="G1244" s="7">
        <v>4</v>
      </c>
      <c r="H1244" s="7">
        <v>0</v>
      </c>
      <c r="I1244" s="7">
        <v>1</v>
      </c>
      <c r="J1244" s="7" t="s">
        <v>1187</v>
      </c>
    </row>
    <row r="1245" customHeight="1" spans="3:10">
      <c r="C1245" s="7">
        <v>6079</v>
      </c>
      <c r="D1245" s="7" t="s">
        <v>1265</v>
      </c>
      <c r="E1245" s="7">
        <v>6</v>
      </c>
      <c r="F1245" s="7">
        <f t="shared" si="37"/>
        <v>32000</v>
      </c>
      <c r="G1245" s="7">
        <v>4</v>
      </c>
      <c r="H1245" s="7">
        <v>0</v>
      </c>
      <c r="I1245" s="7">
        <v>1</v>
      </c>
      <c r="J1245" s="7" t="s">
        <v>1187</v>
      </c>
    </row>
    <row r="1246" customHeight="1" spans="3:10">
      <c r="C1246" s="7">
        <v>6080</v>
      </c>
      <c r="D1246" s="7" t="s">
        <v>1266</v>
      </c>
      <c r="E1246" s="7">
        <v>6</v>
      </c>
      <c r="F1246" s="7">
        <f t="shared" si="37"/>
        <v>33500</v>
      </c>
      <c r="G1246" s="7">
        <v>4</v>
      </c>
      <c r="H1246" s="7">
        <v>0</v>
      </c>
      <c r="I1246" s="7">
        <v>1</v>
      </c>
      <c r="J1246" s="7" t="s">
        <v>1187</v>
      </c>
    </row>
    <row r="1247" customHeight="1" spans="3:10">
      <c r="C1247" s="7">
        <v>6081</v>
      </c>
      <c r="D1247" s="7" t="s">
        <v>1267</v>
      </c>
      <c r="E1247" s="7">
        <v>6</v>
      </c>
      <c r="F1247" s="7">
        <f t="shared" si="37"/>
        <v>35000</v>
      </c>
      <c r="G1247" s="7">
        <v>4</v>
      </c>
      <c r="H1247" s="7">
        <v>0</v>
      </c>
      <c r="I1247" s="7">
        <v>1</v>
      </c>
      <c r="J1247" s="7" t="s">
        <v>1187</v>
      </c>
    </row>
    <row r="1248" customHeight="1" spans="3:10">
      <c r="C1248" s="7">
        <v>6082</v>
      </c>
      <c r="D1248" s="7" t="s">
        <v>1268</v>
      </c>
      <c r="E1248" s="7">
        <v>6</v>
      </c>
      <c r="F1248" s="7">
        <f t="shared" ref="F1248:F1256" si="38">F1247+2000</f>
        <v>37000</v>
      </c>
      <c r="G1248" s="7">
        <v>4</v>
      </c>
      <c r="H1248" s="7">
        <v>0</v>
      </c>
      <c r="I1248" s="7">
        <v>1</v>
      </c>
      <c r="J1248" s="7" t="s">
        <v>1187</v>
      </c>
    </row>
    <row r="1249" customHeight="1" spans="3:10">
      <c r="C1249" s="7">
        <v>6083</v>
      </c>
      <c r="D1249" s="7" t="s">
        <v>1269</v>
      </c>
      <c r="E1249" s="7">
        <v>6</v>
      </c>
      <c r="F1249" s="7">
        <f t="shared" si="38"/>
        <v>39000</v>
      </c>
      <c r="G1249" s="7">
        <v>4</v>
      </c>
      <c r="H1249" s="7">
        <v>0</v>
      </c>
      <c r="I1249" s="7">
        <v>1</v>
      </c>
      <c r="J1249" s="7" t="s">
        <v>1187</v>
      </c>
    </row>
    <row r="1250" customHeight="1" spans="3:10">
      <c r="C1250" s="7">
        <v>6084</v>
      </c>
      <c r="D1250" s="7" t="s">
        <v>1270</v>
      </c>
      <c r="E1250" s="7">
        <v>6</v>
      </c>
      <c r="F1250" s="7">
        <f t="shared" si="38"/>
        <v>41000</v>
      </c>
      <c r="G1250" s="7">
        <v>4</v>
      </c>
      <c r="H1250" s="7">
        <v>0</v>
      </c>
      <c r="I1250" s="7">
        <v>1</v>
      </c>
      <c r="J1250" s="7" t="s">
        <v>1187</v>
      </c>
    </row>
    <row r="1251" customHeight="1" spans="3:10">
      <c r="C1251" s="7">
        <v>6085</v>
      </c>
      <c r="D1251" s="7" t="s">
        <v>1271</v>
      </c>
      <c r="E1251" s="7">
        <v>6</v>
      </c>
      <c r="F1251" s="7">
        <f t="shared" si="38"/>
        <v>43000</v>
      </c>
      <c r="G1251" s="7">
        <v>4</v>
      </c>
      <c r="H1251" s="7">
        <v>0</v>
      </c>
      <c r="I1251" s="7">
        <v>1</v>
      </c>
      <c r="J1251" s="7" t="s">
        <v>1187</v>
      </c>
    </row>
    <row r="1252" customHeight="1" spans="3:10">
      <c r="C1252" s="7">
        <v>6086</v>
      </c>
      <c r="D1252" s="7" t="s">
        <v>1272</v>
      </c>
      <c r="E1252" s="7">
        <v>6</v>
      </c>
      <c r="F1252" s="7">
        <f t="shared" si="38"/>
        <v>45000</v>
      </c>
      <c r="G1252" s="7">
        <v>4</v>
      </c>
      <c r="H1252" s="7">
        <v>0</v>
      </c>
      <c r="I1252" s="7">
        <v>1</v>
      </c>
      <c r="J1252" s="7" t="s">
        <v>1187</v>
      </c>
    </row>
    <row r="1253" customHeight="1" spans="3:10">
      <c r="C1253" s="7">
        <v>6087</v>
      </c>
      <c r="D1253" s="7" t="s">
        <v>1273</v>
      </c>
      <c r="E1253" s="7">
        <v>6</v>
      </c>
      <c r="F1253" s="7">
        <f t="shared" si="38"/>
        <v>47000</v>
      </c>
      <c r="G1253" s="7">
        <v>4</v>
      </c>
      <c r="H1253" s="7">
        <v>0</v>
      </c>
      <c r="I1253" s="7">
        <v>1</v>
      </c>
      <c r="J1253" s="7" t="s">
        <v>1187</v>
      </c>
    </row>
    <row r="1254" customHeight="1" spans="3:10">
      <c r="C1254" s="7">
        <v>6088</v>
      </c>
      <c r="D1254" s="7" t="s">
        <v>1274</v>
      </c>
      <c r="E1254" s="7">
        <v>6</v>
      </c>
      <c r="F1254" s="7">
        <f t="shared" si="38"/>
        <v>49000</v>
      </c>
      <c r="G1254" s="7">
        <v>4</v>
      </c>
      <c r="H1254" s="7">
        <v>0</v>
      </c>
      <c r="I1254" s="7">
        <v>1</v>
      </c>
      <c r="J1254" s="7" t="s">
        <v>1187</v>
      </c>
    </row>
    <row r="1255" customHeight="1" spans="3:10">
      <c r="C1255" s="7">
        <v>6089</v>
      </c>
      <c r="D1255" s="7" t="s">
        <v>1275</v>
      </c>
      <c r="E1255" s="7">
        <v>6</v>
      </c>
      <c r="F1255" s="7">
        <f t="shared" si="38"/>
        <v>51000</v>
      </c>
      <c r="G1255" s="7">
        <v>4</v>
      </c>
      <c r="H1255" s="7">
        <v>0</v>
      </c>
      <c r="I1255" s="7">
        <v>1</v>
      </c>
      <c r="J1255" s="7" t="s">
        <v>1187</v>
      </c>
    </row>
    <row r="1256" customHeight="1" spans="3:10">
      <c r="C1256" s="7">
        <v>6090</v>
      </c>
      <c r="D1256" s="7" t="s">
        <v>1276</v>
      </c>
      <c r="E1256" s="7">
        <v>6</v>
      </c>
      <c r="F1256" s="7">
        <f t="shared" si="38"/>
        <v>53000</v>
      </c>
      <c r="G1256" s="7">
        <v>4</v>
      </c>
      <c r="H1256" s="7">
        <v>0</v>
      </c>
      <c r="I1256" s="7">
        <v>1</v>
      </c>
      <c r="J1256" s="7" t="s">
        <v>1187</v>
      </c>
    </row>
    <row r="1257" customHeight="1" spans="3:10">
      <c r="C1257" s="7">
        <v>6091</v>
      </c>
      <c r="D1257" s="7" t="s">
        <v>1277</v>
      </c>
      <c r="E1257" s="7">
        <v>6</v>
      </c>
      <c r="F1257" s="7">
        <f t="shared" ref="F1257:F1276" si="39">F1256+3000</f>
        <v>56000</v>
      </c>
      <c r="G1257" s="7">
        <v>4</v>
      </c>
      <c r="H1257" s="7">
        <v>0</v>
      </c>
      <c r="I1257" s="7">
        <v>1</v>
      </c>
      <c r="J1257" s="7" t="s">
        <v>1187</v>
      </c>
    </row>
    <row r="1258" customHeight="1" spans="3:10">
      <c r="C1258" s="7">
        <v>6092</v>
      </c>
      <c r="D1258" s="7" t="s">
        <v>1278</v>
      </c>
      <c r="E1258" s="7">
        <v>6</v>
      </c>
      <c r="F1258" s="7">
        <f t="shared" si="39"/>
        <v>59000</v>
      </c>
      <c r="G1258" s="7">
        <v>4</v>
      </c>
      <c r="H1258" s="7">
        <v>0</v>
      </c>
      <c r="I1258" s="7">
        <v>1</v>
      </c>
      <c r="J1258" s="7" t="s">
        <v>1187</v>
      </c>
    </row>
    <row r="1259" customHeight="1" spans="3:10">
      <c r="C1259" s="7">
        <v>6093</v>
      </c>
      <c r="D1259" s="7" t="s">
        <v>1279</v>
      </c>
      <c r="E1259" s="7">
        <v>6</v>
      </c>
      <c r="F1259" s="7">
        <f t="shared" si="39"/>
        <v>62000</v>
      </c>
      <c r="G1259" s="7">
        <v>4</v>
      </c>
      <c r="H1259" s="7">
        <v>0</v>
      </c>
      <c r="I1259" s="7">
        <v>1</v>
      </c>
      <c r="J1259" s="7" t="s">
        <v>1187</v>
      </c>
    </row>
    <row r="1260" customHeight="1" spans="3:10">
      <c r="C1260" s="7">
        <v>6094</v>
      </c>
      <c r="D1260" s="7" t="s">
        <v>1280</v>
      </c>
      <c r="E1260" s="7">
        <v>6</v>
      </c>
      <c r="F1260" s="7">
        <f t="shared" si="39"/>
        <v>65000</v>
      </c>
      <c r="G1260" s="7">
        <v>4</v>
      </c>
      <c r="H1260" s="7">
        <v>0</v>
      </c>
      <c r="I1260" s="7">
        <v>1</v>
      </c>
      <c r="J1260" s="7" t="s">
        <v>1187</v>
      </c>
    </row>
    <row r="1261" customHeight="1" spans="3:10">
      <c r="C1261" s="7">
        <v>6095</v>
      </c>
      <c r="D1261" s="7" t="s">
        <v>1281</v>
      </c>
      <c r="E1261" s="7">
        <v>6</v>
      </c>
      <c r="F1261" s="7">
        <f t="shared" si="39"/>
        <v>68000</v>
      </c>
      <c r="G1261" s="7">
        <v>4</v>
      </c>
      <c r="H1261" s="7">
        <v>0</v>
      </c>
      <c r="I1261" s="7">
        <v>1</v>
      </c>
      <c r="J1261" s="7" t="s">
        <v>1187</v>
      </c>
    </row>
    <row r="1262" customHeight="1" spans="3:10">
      <c r="C1262" s="7">
        <v>6096</v>
      </c>
      <c r="D1262" s="7" t="s">
        <v>1282</v>
      </c>
      <c r="E1262" s="7">
        <v>6</v>
      </c>
      <c r="F1262" s="7">
        <f t="shared" si="39"/>
        <v>71000</v>
      </c>
      <c r="G1262" s="7">
        <v>4</v>
      </c>
      <c r="H1262" s="7">
        <v>0</v>
      </c>
      <c r="I1262" s="7">
        <v>1</v>
      </c>
      <c r="J1262" s="7" t="s">
        <v>1187</v>
      </c>
    </row>
    <row r="1263" customHeight="1" spans="3:10">
      <c r="C1263" s="7">
        <v>6097</v>
      </c>
      <c r="D1263" s="7" t="s">
        <v>1283</v>
      </c>
      <c r="E1263" s="7">
        <v>6</v>
      </c>
      <c r="F1263" s="7">
        <f t="shared" si="39"/>
        <v>74000</v>
      </c>
      <c r="G1263" s="7">
        <v>4</v>
      </c>
      <c r="H1263" s="7">
        <v>0</v>
      </c>
      <c r="I1263" s="7">
        <v>1</v>
      </c>
      <c r="J1263" s="7" t="s">
        <v>1187</v>
      </c>
    </row>
    <row r="1264" customHeight="1" spans="3:10">
      <c r="C1264" s="7">
        <v>6098</v>
      </c>
      <c r="D1264" s="7" t="s">
        <v>1284</v>
      </c>
      <c r="E1264" s="7">
        <v>6</v>
      </c>
      <c r="F1264" s="7">
        <f t="shared" si="39"/>
        <v>77000</v>
      </c>
      <c r="G1264" s="7">
        <v>4</v>
      </c>
      <c r="H1264" s="7">
        <v>0</v>
      </c>
      <c r="I1264" s="7">
        <v>1</v>
      </c>
      <c r="J1264" s="7" t="s">
        <v>1187</v>
      </c>
    </row>
    <row r="1265" customHeight="1" spans="3:10">
      <c r="C1265" s="7">
        <v>6099</v>
      </c>
      <c r="D1265" s="7" t="s">
        <v>1285</v>
      </c>
      <c r="E1265" s="7">
        <v>6</v>
      </c>
      <c r="F1265" s="7">
        <f t="shared" si="39"/>
        <v>80000</v>
      </c>
      <c r="G1265" s="7">
        <v>4</v>
      </c>
      <c r="H1265" s="7">
        <v>0</v>
      </c>
      <c r="I1265" s="7">
        <v>1</v>
      </c>
      <c r="J1265" s="7" t="s">
        <v>1187</v>
      </c>
    </row>
    <row r="1266" customHeight="1" spans="3:10">
      <c r="C1266" s="7">
        <v>6100</v>
      </c>
      <c r="D1266" s="7" t="s">
        <v>1286</v>
      </c>
      <c r="E1266" s="7">
        <v>6</v>
      </c>
      <c r="F1266" s="7">
        <f t="shared" si="39"/>
        <v>83000</v>
      </c>
      <c r="G1266" s="7">
        <v>4</v>
      </c>
      <c r="H1266" s="7">
        <v>0</v>
      </c>
      <c r="I1266" s="7">
        <v>1</v>
      </c>
      <c r="J1266" s="7" t="s">
        <v>1187</v>
      </c>
    </row>
    <row r="1267" customHeight="1" spans="3:10">
      <c r="C1267" s="7">
        <v>6101</v>
      </c>
      <c r="D1267" s="7" t="s">
        <v>1286</v>
      </c>
      <c r="E1267" s="7">
        <v>6</v>
      </c>
      <c r="F1267" s="7">
        <f t="shared" ref="F1267:F1276" si="40">F1266+4000</f>
        <v>87000</v>
      </c>
      <c r="G1267" s="7">
        <v>4</v>
      </c>
      <c r="H1267" s="7">
        <v>0</v>
      </c>
      <c r="I1267" s="7">
        <v>1</v>
      </c>
      <c r="J1267" s="7" t="s">
        <v>1187</v>
      </c>
    </row>
    <row r="1268" customHeight="1" spans="3:10">
      <c r="C1268" s="7">
        <v>6102</v>
      </c>
      <c r="D1268" s="7" t="s">
        <v>1286</v>
      </c>
      <c r="E1268" s="7">
        <v>6</v>
      </c>
      <c r="F1268" s="7">
        <f t="shared" si="40"/>
        <v>91000</v>
      </c>
      <c r="G1268" s="7">
        <v>4</v>
      </c>
      <c r="H1268" s="7">
        <v>0</v>
      </c>
      <c r="I1268" s="7">
        <v>1</v>
      </c>
      <c r="J1268" s="7" t="s">
        <v>1187</v>
      </c>
    </row>
    <row r="1269" customHeight="1" spans="3:10">
      <c r="C1269" s="7">
        <v>6103</v>
      </c>
      <c r="D1269" s="7" t="s">
        <v>1286</v>
      </c>
      <c r="E1269" s="7">
        <v>6</v>
      </c>
      <c r="F1269" s="7">
        <f t="shared" si="40"/>
        <v>95000</v>
      </c>
      <c r="G1269" s="7">
        <v>4</v>
      </c>
      <c r="H1269" s="7">
        <v>0</v>
      </c>
      <c r="I1269" s="7">
        <v>1</v>
      </c>
      <c r="J1269" s="7" t="s">
        <v>1187</v>
      </c>
    </row>
    <row r="1270" customHeight="1" spans="3:10">
      <c r="C1270" s="7">
        <v>6104</v>
      </c>
      <c r="D1270" s="7" t="s">
        <v>1286</v>
      </c>
      <c r="E1270" s="7">
        <v>6</v>
      </c>
      <c r="F1270" s="7">
        <f t="shared" si="40"/>
        <v>99000</v>
      </c>
      <c r="G1270" s="7">
        <v>4</v>
      </c>
      <c r="H1270" s="7">
        <v>0</v>
      </c>
      <c r="I1270" s="7">
        <v>1</v>
      </c>
      <c r="J1270" s="7" t="s">
        <v>1187</v>
      </c>
    </row>
    <row r="1271" customHeight="1" spans="3:10">
      <c r="C1271" s="7">
        <v>6105</v>
      </c>
      <c r="D1271" s="7" t="s">
        <v>1286</v>
      </c>
      <c r="E1271" s="7">
        <v>6</v>
      </c>
      <c r="F1271" s="7">
        <f t="shared" si="40"/>
        <v>103000</v>
      </c>
      <c r="G1271" s="7">
        <v>4</v>
      </c>
      <c r="H1271" s="7">
        <v>0</v>
      </c>
      <c r="I1271" s="7">
        <v>1</v>
      </c>
      <c r="J1271" s="7" t="s">
        <v>1187</v>
      </c>
    </row>
    <row r="1272" customHeight="1" spans="3:10">
      <c r="C1272" s="7">
        <v>6106</v>
      </c>
      <c r="D1272" s="7" t="s">
        <v>1286</v>
      </c>
      <c r="E1272" s="7">
        <v>6</v>
      </c>
      <c r="F1272" s="7">
        <f t="shared" si="40"/>
        <v>107000</v>
      </c>
      <c r="G1272" s="7">
        <v>4</v>
      </c>
      <c r="H1272" s="7">
        <v>0</v>
      </c>
      <c r="I1272" s="7">
        <v>1</v>
      </c>
      <c r="J1272" s="7" t="s">
        <v>1187</v>
      </c>
    </row>
    <row r="1273" customHeight="1" spans="3:10">
      <c r="C1273" s="7">
        <v>6107</v>
      </c>
      <c r="D1273" s="7" t="s">
        <v>1286</v>
      </c>
      <c r="E1273" s="7">
        <v>6</v>
      </c>
      <c r="F1273" s="7">
        <f t="shared" si="40"/>
        <v>111000</v>
      </c>
      <c r="G1273" s="7">
        <v>4</v>
      </c>
      <c r="H1273" s="7">
        <v>0</v>
      </c>
      <c r="I1273" s="7">
        <v>1</v>
      </c>
      <c r="J1273" s="7" t="s">
        <v>1187</v>
      </c>
    </row>
    <row r="1274" customHeight="1" spans="3:10">
      <c r="C1274" s="7">
        <v>6108</v>
      </c>
      <c r="D1274" s="7" t="s">
        <v>1286</v>
      </c>
      <c r="E1274" s="7">
        <v>6</v>
      </c>
      <c r="F1274" s="7">
        <f t="shared" si="40"/>
        <v>115000</v>
      </c>
      <c r="G1274" s="7">
        <v>4</v>
      </c>
      <c r="H1274" s="7">
        <v>0</v>
      </c>
      <c r="I1274" s="7">
        <v>1</v>
      </c>
      <c r="J1274" s="7" t="s">
        <v>1187</v>
      </c>
    </row>
    <row r="1275" customHeight="1" spans="3:10">
      <c r="C1275" s="7">
        <v>6109</v>
      </c>
      <c r="D1275" s="7" t="s">
        <v>1286</v>
      </c>
      <c r="E1275" s="7">
        <v>6</v>
      </c>
      <c r="F1275" s="7">
        <f t="shared" si="40"/>
        <v>119000</v>
      </c>
      <c r="G1275" s="7">
        <v>4</v>
      </c>
      <c r="H1275" s="7">
        <v>0</v>
      </c>
      <c r="I1275" s="7">
        <v>1</v>
      </c>
      <c r="J1275" s="7" t="s">
        <v>1187</v>
      </c>
    </row>
    <row r="1276" customHeight="1" spans="3:10">
      <c r="C1276" s="7">
        <v>6110</v>
      </c>
      <c r="D1276" s="7" t="s">
        <v>1286</v>
      </c>
      <c r="E1276" s="7">
        <v>6</v>
      </c>
      <c r="F1276" s="7">
        <f t="shared" si="40"/>
        <v>123000</v>
      </c>
      <c r="G1276" s="7">
        <v>4</v>
      </c>
      <c r="H1276" s="7">
        <v>0</v>
      </c>
      <c r="I1276" s="7">
        <v>1</v>
      </c>
      <c r="J1276" s="7" t="s">
        <v>1187</v>
      </c>
    </row>
    <row r="1279" customHeight="1" spans="3:11">
      <c r="C1279" s="7">
        <v>8001</v>
      </c>
      <c r="D1279" s="10" t="s">
        <v>1287</v>
      </c>
      <c r="E1279" s="7">
        <v>8</v>
      </c>
      <c r="F1279" s="7">
        <v>10</v>
      </c>
      <c r="G1279" s="5">
        <v>1</v>
      </c>
      <c r="H1279" s="5">
        <v>20</v>
      </c>
      <c r="I1279" s="5">
        <v>100</v>
      </c>
      <c r="J1279" s="5" t="s">
        <v>1288</v>
      </c>
      <c r="K1279" s="11" t="s">
        <v>1289</v>
      </c>
    </row>
    <row r="1280" customHeight="1" spans="3:11">
      <c r="C1280" s="7">
        <v>8002</v>
      </c>
      <c r="D1280" s="10" t="s">
        <v>1290</v>
      </c>
      <c r="E1280" s="7">
        <v>8</v>
      </c>
      <c r="F1280" s="7">
        <v>30</v>
      </c>
      <c r="G1280" s="5">
        <v>1</v>
      </c>
      <c r="H1280" s="7">
        <v>19</v>
      </c>
      <c r="I1280" s="7">
        <v>100</v>
      </c>
      <c r="J1280" s="5" t="s">
        <v>1288</v>
      </c>
      <c r="K1280" s="11" t="s">
        <v>1291</v>
      </c>
    </row>
    <row r="1281" customHeight="1" spans="3:11">
      <c r="C1281" s="7">
        <v>8003</v>
      </c>
      <c r="D1281" s="12" t="s">
        <v>1292</v>
      </c>
      <c r="E1281" s="7">
        <v>8</v>
      </c>
      <c r="F1281" s="7">
        <v>50</v>
      </c>
      <c r="G1281" s="5">
        <v>1</v>
      </c>
      <c r="H1281" s="7">
        <v>8</v>
      </c>
      <c r="I1281" s="7">
        <v>10</v>
      </c>
      <c r="J1281" s="5" t="s">
        <v>1288</v>
      </c>
      <c r="K1281" s="11" t="s">
        <v>1293</v>
      </c>
    </row>
    <row r="1282" customHeight="1" spans="3:11">
      <c r="C1282" s="7">
        <v>8004</v>
      </c>
      <c r="D1282" s="10" t="s">
        <v>1294</v>
      </c>
      <c r="E1282" s="7">
        <v>8</v>
      </c>
      <c r="F1282" s="7">
        <v>60</v>
      </c>
      <c r="G1282" s="5">
        <v>1</v>
      </c>
      <c r="H1282" s="7">
        <v>9</v>
      </c>
      <c r="I1282" s="7">
        <v>50</v>
      </c>
      <c r="J1282" s="5" t="s">
        <v>1288</v>
      </c>
      <c r="K1282" s="11" t="s">
        <v>1295</v>
      </c>
    </row>
    <row r="1283" customHeight="1" spans="3:11">
      <c r="C1283" s="7">
        <v>8005</v>
      </c>
      <c r="D1283" s="10" t="s">
        <v>1296</v>
      </c>
      <c r="E1283" s="7">
        <v>8</v>
      </c>
      <c r="F1283" s="7">
        <v>70</v>
      </c>
      <c r="G1283" s="5">
        <v>1</v>
      </c>
      <c r="H1283" s="7">
        <v>30</v>
      </c>
      <c r="I1283" s="7">
        <v>30</v>
      </c>
      <c r="J1283" s="5" t="s">
        <v>1288</v>
      </c>
      <c r="K1283" s="11" t="s">
        <v>1297</v>
      </c>
    </row>
    <row r="1284" customHeight="1" spans="3:11">
      <c r="C1284" s="7">
        <v>8006</v>
      </c>
      <c r="D1284" s="10" t="s">
        <v>1298</v>
      </c>
      <c r="E1284" s="7">
        <v>8</v>
      </c>
      <c r="F1284" s="7">
        <v>80</v>
      </c>
      <c r="G1284" s="5">
        <v>1</v>
      </c>
      <c r="H1284" s="7">
        <v>7</v>
      </c>
      <c r="I1284" s="7">
        <v>10</v>
      </c>
      <c r="J1284" s="5" t="s">
        <v>1288</v>
      </c>
      <c r="K1284" s="11" t="s">
        <v>1299</v>
      </c>
    </row>
    <row r="1285" customHeight="1" spans="3:11">
      <c r="C1285" s="7">
        <v>8007</v>
      </c>
      <c r="D1285" s="10" t="s">
        <v>1300</v>
      </c>
      <c r="E1285" s="7">
        <v>8</v>
      </c>
      <c r="F1285" s="7">
        <v>90</v>
      </c>
      <c r="G1285" s="5">
        <v>1</v>
      </c>
      <c r="H1285" s="7">
        <v>12</v>
      </c>
      <c r="I1285" s="7">
        <v>30</v>
      </c>
      <c r="J1285" s="5" t="s">
        <v>1288</v>
      </c>
      <c r="K1285" s="11" t="s">
        <v>1301</v>
      </c>
    </row>
    <row r="1286" customHeight="1" spans="3:11">
      <c r="C1286" s="7">
        <v>8008</v>
      </c>
      <c r="D1286" s="10" t="s">
        <v>1302</v>
      </c>
      <c r="E1286" s="7">
        <v>8</v>
      </c>
      <c r="F1286" s="7">
        <v>100</v>
      </c>
      <c r="G1286" s="5">
        <v>2</v>
      </c>
      <c r="H1286" s="5">
        <v>0</v>
      </c>
      <c r="I1286" s="5">
        <v>1</v>
      </c>
      <c r="J1286" s="5" t="s">
        <v>1288</v>
      </c>
      <c r="K1286" s="3" t="s">
        <v>26</v>
      </c>
    </row>
    <row r="1287" customHeight="1" spans="3:11">
      <c r="C1287" s="7">
        <v>8009</v>
      </c>
      <c r="D1287" s="10" t="s">
        <v>1303</v>
      </c>
      <c r="E1287" s="7">
        <v>8</v>
      </c>
      <c r="F1287" s="7">
        <v>140</v>
      </c>
      <c r="G1287" s="5">
        <v>1</v>
      </c>
      <c r="H1287" s="5">
        <v>20</v>
      </c>
      <c r="I1287" s="5">
        <v>100</v>
      </c>
      <c r="J1287" s="5" t="s">
        <v>1304</v>
      </c>
      <c r="K1287" s="11" t="s">
        <v>1289</v>
      </c>
    </row>
    <row r="1288" customHeight="1" spans="3:11">
      <c r="C1288" s="7">
        <v>8010</v>
      </c>
      <c r="D1288" s="12" t="s">
        <v>1305</v>
      </c>
      <c r="E1288" s="7">
        <v>8</v>
      </c>
      <c r="F1288" s="7">
        <v>150</v>
      </c>
      <c r="G1288" s="5">
        <v>1</v>
      </c>
      <c r="H1288" s="7">
        <v>19</v>
      </c>
      <c r="I1288" s="7">
        <v>100</v>
      </c>
      <c r="J1288" s="5" t="s">
        <v>1306</v>
      </c>
      <c r="K1288" s="11" t="s">
        <v>1307</v>
      </c>
    </row>
    <row r="1289" customHeight="1" spans="3:11">
      <c r="C1289" s="7">
        <v>8011</v>
      </c>
      <c r="D1289" s="10" t="s">
        <v>1308</v>
      </c>
      <c r="E1289" s="7">
        <v>8</v>
      </c>
      <c r="F1289" s="7">
        <v>160</v>
      </c>
      <c r="G1289" s="5">
        <v>1</v>
      </c>
      <c r="H1289" s="7">
        <v>24</v>
      </c>
      <c r="I1289" s="7">
        <v>100</v>
      </c>
      <c r="J1289" s="5" t="s">
        <v>1309</v>
      </c>
      <c r="K1289" s="11" t="s">
        <v>1310</v>
      </c>
    </row>
    <row r="1290" customHeight="1" spans="3:11">
      <c r="C1290" s="7">
        <v>8012</v>
      </c>
      <c r="D1290" s="10" t="s">
        <v>1311</v>
      </c>
      <c r="E1290" s="7">
        <v>8</v>
      </c>
      <c r="F1290" s="7">
        <v>170</v>
      </c>
      <c r="G1290" s="5">
        <v>1</v>
      </c>
      <c r="H1290" s="7">
        <v>7</v>
      </c>
      <c r="I1290" s="7">
        <v>15</v>
      </c>
      <c r="J1290" s="5" t="s">
        <v>1312</v>
      </c>
      <c r="K1290" s="11" t="s">
        <v>1313</v>
      </c>
    </row>
    <row r="1291" customHeight="1" spans="3:11">
      <c r="C1291" s="7">
        <v>8013</v>
      </c>
      <c r="D1291" s="10" t="s">
        <v>1314</v>
      </c>
      <c r="E1291" s="7">
        <v>8</v>
      </c>
      <c r="F1291" s="7">
        <v>180</v>
      </c>
      <c r="G1291" s="5">
        <v>1</v>
      </c>
      <c r="H1291" s="7">
        <v>12</v>
      </c>
      <c r="I1291" s="7">
        <v>30</v>
      </c>
      <c r="J1291" s="5" t="s">
        <v>1315</v>
      </c>
      <c r="K1291" s="11" t="s">
        <v>1301</v>
      </c>
    </row>
    <row r="1292" customHeight="1" spans="3:11">
      <c r="C1292" s="7">
        <v>8014</v>
      </c>
      <c r="D1292" s="10" t="s">
        <v>1316</v>
      </c>
      <c r="E1292" s="7">
        <v>8</v>
      </c>
      <c r="F1292" s="7">
        <v>190</v>
      </c>
      <c r="G1292" s="5">
        <v>1</v>
      </c>
      <c r="H1292" s="7">
        <v>13</v>
      </c>
      <c r="I1292" s="7">
        <v>30</v>
      </c>
      <c r="J1292" s="5" t="s">
        <v>1317</v>
      </c>
      <c r="K1292" s="11" t="s">
        <v>1318</v>
      </c>
    </row>
    <row r="1293" customHeight="1" spans="3:11">
      <c r="C1293" s="7">
        <v>8015</v>
      </c>
      <c r="D1293" s="10" t="s">
        <v>1319</v>
      </c>
      <c r="E1293" s="7">
        <v>8</v>
      </c>
      <c r="F1293" s="7">
        <v>200</v>
      </c>
      <c r="G1293" s="5">
        <v>6</v>
      </c>
      <c r="H1293" s="5">
        <v>0</v>
      </c>
      <c r="I1293" s="5">
        <v>1</v>
      </c>
      <c r="J1293" s="5" t="s">
        <v>1320</v>
      </c>
      <c r="K1293" s="3" t="s">
        <v>1321</v>
      </c>
    </row>
    <row r="1294" customHeight="1" spans="3:11">
      <c r="C1294" s="7">
        <v>8016</v>
      </c>
      <c r="D1294" s="10" t="s">
        <v>1322</v>
      </c>
      <c r="E1294" s="7">
        <v>8</v>
      </c>
      <c r="F1294" s="7">
        <v>220</v>
      </c>
      <c r="G1294" s="5">
        <v>1</v>
      </c>
      <c r="H1294" s="5">
        <v>2004</v>
      </c>
      <c r="I1294" s="5">
        <v>10</v>
      </c>
      <c r="J1294" s="5" t="s">
        <v>1323</v>
      </c>
      <c r="K1294" s="11" t="s">
        <v>760</v>
      </c>
    </row>
    <row r="1295" customHeight="1" spans="3:11">
      <c r="C1295" s="7">
        <v>8017</v>
      </c>
      <c r="D1295" s="10" t="s">
        <v>1324</v>
      </c>
      <c r="E1295" s="7">
        <v>8</v>
      </c>
      <c r="F1295" s="7">
        <v>230</v>
      </c>
      <c r="G1295" s="5">
        <v>1</v>
      </c>
      <c r="H1295" s="5">
        <v>2005</v>
      </c>
      <c r="I1295" s="5">
        <v>10</v>
      </c>
      <c r="J1295" s="5" t="s">
        <v>1325</v>
      </c>
      <c r="K1295" s="11" t="s">
        <v>1326</v>
      </c>
    </row>
    <row r="1296" customHeight="1" spans="3:11">
      <c r="C1296" s="7">
        <v>8018</v>
      </c>
      <c r="D1296" s="10" t="s">
        <v>1327</v>
      </c>
      <c r="E1296" s="7">
        <v>8</v>
      </c>
      <c r="F1296" s="7">
        <v>240</v>
      </c>
      <c r="G1296" s="5">
        <v>1</v>
      </c>
      <c r="H1296" s="5">
        <v>2006</v>
      </c>
      <c r="I1296" s="7">
        <v>10</v>
      </c>
      <c r="J1296" s="5" t="s">
        <v>1328</v>
      </c>
      <c r="K1296" s="11" t="s">
        <v>1329</v>
      </c>
    </row>
    <row r="1297" customHeight="1" spans="3:11">
      <c r="C1297" s="7">
        <v>8019</v>
      </c>
      <c r="D1297" s="12" t="s">
        <v>1330</v>
      </c>
      <c r="E1297" s="7">
        <v>8</v>
      </c>
      <c r="F1297" s="7">
        <v>250</v>
      </c>
      <c r="G1297" s="5">
        <v>1</v>
      </c>
      <c r="H1297" s="7">
        <v>2003</v>
      </c>
      <c r="I1297" s="7">
        <v>30</v>
      </c>
      <c r="J1297" s="5" t="s">
        <v>1331</v>
      </c>
      <c r="K1297" s="11" t="s">
        <v>1332</v>
      </c>
    </row>
    <row r="1298" customHeight="1" spans="3:11">
      <c r="C1298" s="7">
        <v>8020</v>
      </c>
      <c r="D1298" s="10" t="s">
        <v>1333</v>
      </c>
      <c r="E1298" s="7">
        <v>8</v>
      </c>
      <c r="F1298" s="7">
        <v>260</v>
      </c>
      <c r="G1298" s="5">
        <v>1</v>
      </c>
      <c r="H1298" s="7">
        <v>2002</v>
      </c>
      <c r="I1298" s="7">
        <v>20</v>
      </c>
      <c r="J1298" s="5" t="s">
        <v>1334</v>
      </c>
      <c r="K1298" s="11" t="s">
        <v>1335</v>
      </c>
    </row>
    <row r="1299" customHeight="1" spans="3:11">
      <c r="C1299" s="7">
        <v>8021</v>
      </c>
      <c r="D1299" s="10" t="s">
        <v>1336</v>
      </c>
      <c r="E1299" s="7">
        <v>8</v>
      </c>
      <c r="F1299" s="7">
        <v>270</v>
      </c>
      <c r="G1299" s="5">
        <v>1</v>
      </c>
      <c r="H1299" s="7">
        <v>2001</v>
      </c>
      <c r="I1299" s="7">
        <v>10</v>
      </c>
      <c r="J1299" s="5" t="s">
        <v>1337</v>
      </c>
      <c r="K1299" s="11" t="s">
        <v>1338</v>
      </c>
    </row>
    <row r="1300" customHeight="1" spans="3:11">
      <c r="C1300" s="7">
        <v>8022</v>
      </c>
      <c r="D1300" s="10" t="s">
        <v>1339</v>
      </c>
      <c r="E1300" s="7">
        <v>8</v>
      </c>
      <c r="F1300" s="7">
        <v>280</v>
      </c>
      <c r="G1300" s="5">
        <v>1</v>
      </c>
      <c r="H1300" s="7">
        <v>2011</v>
      </c>
      <c r="I1300" s="7">
        <v>10</v>
      </c>
      <c r="J1300" s="5" t="s">
        <v>1340</v>
      </c>
      <c r="K1300" s="11" t="s">
        <v>1341</v>
      </c>
    </row>
    <row r="1301" customHeight="1" spans="3:11">
      <c r="C1301" s="7">
        <v>8023</v>
      </c>
      <c r="D1301" s="10" t="s">
        <v>1342</v>
      </c>
      <c r="E1301" s="7">
        <v>8</v>
      </c>
      <c r="F1301" s="7">
        <v>290</v>
      </c>
      <c r="G1301" s="5">
        <v>1</v>
      </c>
      <c r="H1301" s="7">
        <v>2010</v>
      </c>
      <c r="I1301" s="7">
        <v>10</v>
      </c>
      <c r="J1301" s="5" t="s">
        <v>1343</v>
      </c>
      <c r="K1301" s="11" t="s">
        <v>1344</v>
      </c>
    </row>
    <row r="1302" customHeight="1" spans="3:11">
      <c r="C1302" s="7">
        <v>8024</v>
      </c>
      <c r="D1302" s="10" t="s">
        <v>1345</v>
      </c>
      <c r="E1302" s="7">
        <v>8</v>
      </c>
      <c r="F1302" s="7">
        <v>300</v>
      </c>
      <c r="G1302" s="5">
        <v>6</v>
      </c>
      <c r="H1302" s="5">
        <v>0</v>
      </c>
      <c r="I1302" s="5">
        <v>1</v>
      </c>
      <c r="J1302" s="5" t="s">
        <v>1346</v>
      </c>
      <c r="K1302" s="3" t="s">
        <v>1321</v>
      </c>
    </row>
    <row r="1303" customHeight="1" spans="3:11">
      <c r="C1303" s="7">
        <v>8025</v>
      </c>
      <c r="D1303" s="10" t="s">
        <v>1347</v>
      </c>
      <c r="E1303" s="7">
        <v>8</v>
      </c>
      <c r="F1303" s="7">
        <v>320</v>
      </c>
      <c r="G1303" s="5">
        <v>1</v>
      </c>
      <c r="H1303" s="5">
        <v>2004</v>
      </c>
      <c r="I1303" s="5">
        <v>20</v>
      </c>
      <c r="J1303" s="5" t="s">
        <v>1348</v>
      </c>
      <c r="K1303" s="11" t="s">
        <v>760</v>
      </c>
    </row>
    <row r="1304" customHeight="1" spans="3:11">
      <c r="C1304" s="7">
        <v>8026</v>
      </c>
      <c r="D1304" s="10" t="s">
        <v>1349</v>
      </c>
      <c r="E1304" s="7">
        <v>8</v>
      </c>
      <c r="F1304" s="7">
        <v>330</v>
      </c>
      <c r="G1304" s="5">
        <v>1</v>
      </c>
      <c r="H1304" s="5">
        <v>2005</v>
      </c>
      <c r="I1304" s="5">
        <v>20</v>
      </c>
      <c r="J1304" s="5" t="s">
        <v>1350</v>
      </c>
      <c r="K1304" s="11" t="s">
        <v>1326</v>
      </c>
    </row>
    <row r="1305" customHeight="1" spans="3:11">
      <c r="C1305" s="7">
        <v>8027</v>
      </c>
      <c r="D1305" s="10" t="s">
        <v>1351</v>
      </c>
      <c r="E1305" s="7">
        <v>8</v>
      </c>
      <c r="F1305" s="7">
        <v>340</v>
      </c>
      <c r="G1305" s="5">
        <v>1</v>
      </c>
      <c r="H1305" s="5">
        <v>2006</v>
      </c>
      <c r="I1305" s="5">
        <v>20</v>
      </c>
      <c r="J1305" s="5" t="s">
        <v>1352</v>
      </c>
      <c r="K1305" s="11" t="s">
        <v>1329</v>
      </c>
    </row>
    <row r="1306" customHeight="1" spans="3:11">
      <c r="C1306" s="7">
        <v>8028</v>
      </c>
      <c r="D1306" s="12" t="s">
        <v>1353</v>
      </c>
      <c r="E1306" s="7">
        <v>8</v>
      </c>
      <c r="F1306" s="7">
        <v>350</v>
      </c>
      <c r="G1306" s="5">
        <v>1</v>
      </c>
      <c r="H1306" s="7">
        <v>2003</v>
      </c>
      <c r="I1306" s="7">
        <v>60</v>
      </c>
      <c r="J1306" s="5" t="s">
        <v>1354</v>
      </c>
      <c r="K1306" s="11" t="s">
        <v>1332</v>
      </c>
    </row>
    <row r="1307" customHeight="1" spans="3:11">
      <c r="C1307" s="7">
        <v>8029</v>
      </c>
      <c r="D1307" s="10" t="s">
        <v>1355</v>
      </c>
      <c r="E1307" s="7">
        <v>8</v>
      </c>
      <c r="F1307" s="7">
        <v>360</v>
      </c>
      <c r="G1307" s="5">
        <v>1</v>
      </c>
      <c r="H1307" s="7">
        <v>2002</v>
      </c>
      <c r="I1307" s="7">
        <v>40</v>
      </c>
      <c r="J1307" s="5" t="s">
        <v>1356</v>
      </c>
      <c r="K1307" s="11" t="s">
        <v>1335</v>
      </c>
    </row>
    <row r="1308" customHeight="1" spans="3:11">
      <c r="C1308" s="7">
        <v>8030</v>
      </c>
      <c r="D1308" s="10" t="s">
        <v>1357</v>
      </c>
      <c r="E1308" s="7">
        <v>8</v>
      </c>
      <c r="F1308" s="7">
        <v>370</v>
      </c>
      <c r="G1308" s="5">
        <v>1</v>
      </c>
      <c r="H1308" s="7">
        <v>2001</v>
      </c>
      <c r="I1308" s="7">
        <v>20</v>
      </c>
      <c r="J1308" s="5" t="s">
        <v>1358</v>
      </c>
      <c r="K1308" s="11" t="s">
        <v>1338</v>
      </c>
    </row>
    <row r="1309" customHeight="1" spans="3:11">
      <c r="C1309" s="7">
        <v>8031</v>
      </c>
      <c r="D1309" s="10" t="s">
        <v>1359</v>
      </c>
      <c r="E1309" s="7">
        <v>8</v>
      </c>
      <c r="F1309" s="7">
        <v>380</v>
      </c>
      <c r="G1309" s="5">
        <v>1</v>
      </c>
      <c r="H1309" s="7">
        <v>2011</v>
      </c>
      <c r="I1309" s="7">
        <v>20</v>
      </c>
      <c r="J1309" s="5" t="s">
        <v>1360</v>
      </c>
      <c r="K1309" s="11" t="s">
        <v>1341</v>
      </c>
    </row>
    <row r="1310" customHeight="1" spans="3:11">
      <c r="C1310" s="7">
        <v>8032</v>
      </c>
      <c r="D1310" s="10" t="s">
        <v>1361</v>
      </c>
      <c r="E1310" s="7">
        <v>8</v>
      </c>
      <c r="F1310" s="7">
        <v>390</v>
      </c>
      <c r="G1310" s="5">
        <v>1</v>
      </c>
      <c r="H1310" s="7">
        <v>2010</v>
      </c>
      <c r="I1310" s="7">
        <v>20</v>
      </c>
      <c r="J1310" s="5" t="s">
        <v>1362</v>
      </c>
      <c r="K1310" s="11" t="s">
        <v>1344</v>
      </c>
    </row>
    <row r="1311" customHeight="1" spans="3:11">
      <c r="C1311" s="7">
        <v>8033</v>
      </c>
      <c r="D1311" s="10" t="s">
        <v>1363</v>
      </c>
      <c r="E1311" s="7">
        <v>8</v>
      </c>
      <c r="F1311" s="7">
        <v>400</v>
      </c>
      <c r="G1311" s="5">
        <v>1</v>
      </c>
      <c r="H1311" s="7">
        <v>2003</v>
      </c>
      <c r="I1311" s="5">
        <v>60</v>
      </c>
      <c r="J1311" s="5" t="s">
        <v>1364</v>
      </c>
      <c r="K1311" s="11" t="s">
        <v>1332</v>
      </c>
    </row>
    <row r="1312" customHeight="1" spans="3:11">
      <c r="C1312" s="7">
        <v>8034</v>
      </c>
      <c r="D1312" s="10" t="s">
        <v>1365</v>
      </c>
      <c r="E1312" s="7">
        <v>8</v>
      </c>
      <c r="F1312" s="7">
        <v>420</v>
      </c>
      <c r="G1312" s="5">
        <v>1</v>
      </c>
      <c r="H1312" s="5">
        <v>2004</v>
      </c>
      <c r="I1312" s="5">
        <v>30</v>
      </c>
      <c r="J1312" s="5" t="s">
        <v>1348</v>
      </c>
      <c r="K1312" s="11" t="s">
        <v>760</v>
      </c>
    </row>
    <row r="1313" customHeight="1" spans="3:11">
      <c r="C1313" s="7">
        <v>8035</v>
      </c>
      <c r="D1313" s="10" t="s">
        <v>1366</v>
      </c>
      <c r="E1313" s="7">
        <v>8</v>
      </c>
      <c r="F1313" s="7">
        <v>430</v>
      </c>
      <c r="G1313" s="5">
        <v>1</v>
      </c>
      <c r="H1313" s="5">
        <v>2005</v>
      </c>
      <c r="I1313" s="5">
        <v>30</v>
      </c>
      <c r="J1313" s="5" t="s">
        <v>1350</v>
      </c>
      <c r="K1313" s="11" t="s">
        <v>1326</v>
      </c>
    </row>
    <row r="1314" customHeight="1" spans="3:11">
      <c r="C1314" s="7">
        <v>8036</v>
      </c>
      <c r="D1314" s="10" t="s">
        <v>1367</v>
      </c>
      <c r="E1314" s="7">
        <v>8</v>
      </c>
      <c r="F1314" s="7">
        <v>440</v>
      </c>
      <c r="G1314" s="5">
        <v>1</v>
      </c>
      <c r="H1314" s="5">
        <v>2006</v>
      </c>
      <c r="I1314" s="5">
        <v>30</v>
      </c>
      <c r="J1314" s="5" t="s">
        <v>1352</v>
      </c>
      <c r="K1314" s="11" t="s">
        <v>1329</v>
      </c>
    </row>
    <row r="1315" customHeight="1" spans="3:11">
      <c r="C1315" s="7">
        <v>8037</v>
      </c>
      <c r="D1315" s="12" t="s">
        <v>1368</v>
      </c>
      <c r="E1315" s="7">
        <v>8</v>
      </c>
      <c r="F1315" s="7">
        <v>450</v>
      </c>
      <c r="G1315" s="5">
        <v>1</v>
      </c>
      <c r="H1315" s="7">
        <v>2003</v>
      </c>
      <c r="I1315" s="7">
        <v>90</v>
      </c>
      <c r="J1315" s="5" t="s">
        <v>1354</v>
      </c>
      <c r="K1315" s="11" t="s">
        <v>1332</v>
      </c>
    </row>
    <row r="1316" customHeight="1" spans="3:11">
      <c r="C1316" s="7">
        <v>8038</v>
      </c>
      <c r="D1316" s="10" t="s">
        <v>1369</v>
      </c>
      <c r="E1316" s="7">
        <v>8</v>
      </c>
      <c r="F1316" s="7">
        <v>460</v>
      </c>
      <c r="G1316" s="5">
        <v>1</v>
      </c>
      <c r="H1316" s="7">
        <v>2002</v>
      </c>
      <c r="I1316" s="7">
        <v>80</v>
      </c>
      <c r="J1316" s="5" t="s">
        <v>1356</v>
      </c>
      <c r="K1316" s="11" t="s">
        <v>1335</v>
      </c>
    </row>
    <row r="1317" customHeight="1" spans="3:11">
      <c r="C1317" s="7">
        <v>8039</v>
      </c>
      <c r="D1317" s="10" t="s">
        <v>1370</v>
      </c>
      <c r="E1317" s="7">
        <v>8</v>
      </c>
      <c r="F1317" s="7">
        <v>470</v>
      </c>
      <c r="G1317" s="5">
        <v>1</v>
      </c>
      <c r="H1317" s="7">
        <v>2001</v>
      </c>
      <c r="I1317" s="5">
        <v>30</v>
      </c>
      <c r="J1317" s="5" t="s">
        <v>1358</v>
      </c>
      <c r="K1317" s="11" t="s">
        <v>1338</v>
      </c>
    </row>
    <row r="1318" customHeight="1" spans="3:11">
      <c r="C1318" s="7">
        <v>8040</v>
      </c>
      <c r="D1318" s="10" t="s">
        <v>1371</v>
      </c>
      <c r="E1318" s="7">
        <v>8</v>
      </c>
      <c r="F1318" s="7">
        <v>480</v>
      </c>
      <c r="G1318" s="5">
        <v>1</v>
      </c>
      <c r="H1318" s="7">
        <v>2011</v>
      </c>
      <c r="I1318" s="5">
        <v>30</v>
      </c>
      <c r="J1318" s="5" t="s">
        <v>1360</v>
      </c>
      <c r="K1318" s="11" t="s">
        <v>1341</v>
      </c>
    </row>
    <row r="1319" customHeight="1" spans="3:11">
      <c r="C1319" s="7">
        <v>8041</v>
      </c>
      <c r="D1319" s="10" t="s">
        <v>1372</v>
      </c>
      <c r="E1319" s="7">
        <v>8</v>
      </c>
      <c r="F1319" s="7">
        <v>490</v>
      </c>
      <c r="G1319" s="5">
        <v>1</v>
      </c>
      <c r="H1319" s="7">
        <v>2010</v>
      </c>
      <c r="I1319" s="5">
        <v>30</v>
      </c>
      <c r="J1319" s="5" t="s">
        <v>1362</v>
      </c>
      <c r="K1319" s="11" t="s">
        <v>1344</v>
      </c>
    </row>
    <row r="1320" customHeight="1" spans="3:11">
      <c r="C1320" s="7">
        <v>8042</v>
      </c>
      <c r="D1320" s="10" t="s">
        <v>1373</v>
      </c>
      <c r="E1320" s="7">
        <v>8</v>
      </c>
      <c r="F1320" s="7">
        <v>500</v>
      </c>
      <c r="G1320" s="5">
        <v>1</v>
      </c>
      <c r="H1320" s="7">
        <v>2003</v>
      </c>
      <c r="I1320" s="7">
        <v>90</v>
      </c>
      <c r="J1320" s="5" t="s">
        <v>1364</v>
      </c>
      <c r="K1320" s="11" t="s">
        <v>1332</v>
      </c>
    </row>
    <row r="1326" customHeight="1" spans="3:10">
      <c r="C1326" s="7">
        <v>9001</v>
      </c>
      <c r="D1326" s="7" t="s">
        <v>1374</v>
      </c>
      <c r="E1326" s="7">
        <v>9</v>
      </c>
      <c r="F1326" s="7">
        <v>10</v>
      </c>
      <c r="G1326" s="7">
        <v>1</v>
      </c>
      <c r="H1326" s="7">
        <v>18</v>
      </c>
      <c r="I1326" s="7">
        <v>50</v>
      </c>
      <c r="J1326" s="7" t="s">
        <v>1375</v>
      </c>
    </row>
    <row r="1327" customHeight="1" spans="3:10">
      <c r="C1327" s="7">
        <v>9002</v>
      </c>
      <c r="D1327" s="7" t="s">
        <v>1376</v>
      </c>
      <c r="E1327" s="7">
        <v>9</v>
      </c>
      <c r="F1327" s="7">
        <f t="shared" ref="F1327:F1390" si="41">F1326+10</f>
        <v>20</v>
      </c>
      <c r="G1327" s="7">
        <v>1</v>
      </c>
      <c r="H1327" s="7">
        <v>19</v>
      </c>
      <c r="I1327" s="7">
        <v>50</v>
      </c>
      <c r="J1327" s="7" t="s">
        <v>1375</v>
      </c>
    </row>
    <row r="1328" customHeight="1" spans="3:10">
      <c r="C1328" s="7">
        <v>9003</v>
      </c>
      <c r="D1328" s="7" t="s">
        <v>1377</v>
      </c>
      <c r="E1328" s="7">
        <v>9</v>
      </c>
      <c r="F1328" s="7">
        <f t="shared" si="41"/>
        <v>30</v>
      </c>
      <c r="G1328" s="7">
        <v>1</v>
      </c>
      <c r="H1328" s="7">
        <v>20</v>
      </c>
      <c r="I1328" s="7">
        <v>50</v>
      </c>
      <c r="J1328" s="7" t="s">
        <v>1375</v>
      </c>
    </row>
    <row r="1329" customHeight="1" spans="3:10">
      <c r="C1329" s="7">
        <v>9004</v>
      </c>
      <c r="D1329" s="7" t="s">
        <v>1378</v>
      </c>
      <c r="E1329" s="7">
        <v>9</v>
      </c>
      <c r="F1329" s="7">
        <f t="shared" si="41"/>
        <v>40</v>
      </c>
      <c r="G1329" s="7">
        <v>1</v>
      </c>
      <c r="H1329" s="7">
        <v>24</v>
      </c>
      <c r="I1329" s="7">
        <v>50</v>
      </c>
      <c r="J1329" s="7" t="s">
        <v>1375</v>
      </c>
    </row>
    <row r="1330" customHeight="1" spans="3:10">
      <c r="C1330" s="7">
        <v>9005</v>
      </c>
      <c r="D1330" s="7" t="s">
        <v>1379</v>
      </c>
      <c r="E1330" s="7">
        <v>9</v>
      </c>
      <c r="F1330" s="7">
        <f t="shared" si="41"/>
        <v>50</v>
      </c>
      <c r="G1330" s="7">
        <v>1</v>
      </c>
      <c r="H1330" s="7">
        <v>18</v>
      </c>
      <c r="I1330" s="7">
        <v>60</v>
      </c>
      <c r="J1330" s="7" t="s">
        <v>1375</v>
      </c>
    </row>
    <row r="1331" customHeight="1" spans="3:10">
      <c r="C1331" s="7">
        <v>9006</v>
      </c>
      <c r="D1331" s="7" t="s">
        <v>1380</v>
      </c>
      <c r="E1331" s="7">
        <v>9</v>
      </c>
      <c r="F1331" s="7">
        <f t="shared" si="41"/>
        <v>60</v>
      </c>
      <c r="G1331" s="7">
        <v>1</v>
      </c>
      <c r="H1331" s="7">
        <v>19</v>
      </c>
      <c r="I1331" s="7">
        <v>60</v>
      </c>
      <c r="J1331" s="7" t="s">
        <v>1375</v>
      </c>
    </row>
    <row r="1332" customHeight="1" spans="3:10">
      <c r="C1332" s="7">
        <v>9007</v>
      </c>
      <c r="D1332" s="7" t="s">
        <v>1381</v>
      </c>
      <c r="E1332" s="7">
        <v>9</v>
      </c>
      <c r="F1332" s="7">
        <f t="shared" si="41"/>
        <v>70</v>
      </c>
      <c r="G1332" s="7">
        <v>1</v>
      </c>
      <c r="H1332" s="7">
        <v>20</v>
      </c>
      <c r="I1332" s="7">
        <v>60</v>
      </c>
      <c r="J1332" s="7" t="s">
        <v>1375</v>
      </c>
    </row>
    <row r="1333" customHeight="1" spans="3:10">
      <c r="C1333" s="7">
        <v>9008</v>
      </c>
      <c r="D1333" s="7" t="s">
        <v>1382</v>
      </c>
      <c r="E1333" s="7">
        <v>9</v>
      </c>
      <c r="F1333" s="7">
        <f t="shared" si="41"/>
        <v>80</v>
      </c>
      <c r="G1333" s="7">
        <v>1</v>
      </c>
      <c r="H1333" s="7">
        <v>24</v>
      </c>
      <c r="I1333" s="7">
        <v>60</v>
      </c>
      <c r="J1333" s="7" t="s">
        <v>1375</v>
      </c>
    </row>
    <row r="1334" customHeight="1" spans="3:10">
      <c r="C1334" s="7">
        <v>9009</v>
      </c>
      <c r="D1334" s="7" t="s">
        <v>1383</v>
      </c>
      <c r="E1334" s="7">
        <v>9</v>
      </c>
      <c r="F1334" s="7">
        <f t="shared" si="41"/>
        <v>90</v>
      </c>
      <c r="G1334" s="7">
        <v>1</v>
      </c>
      <c r="H1334" s="7">
        <v>18</v>
      </c>
      <c r="I1334" s="7">
        <v>70</v>
      </c>
      <c r="J1334" s="7" t="s">
        <v>1375</v>
      </c>
    </row>
    <row r="1335" customHeight="1" spans="3:10">
      <c r="C1335" s="7">
        <v>9010</v>
      </c>
      <c r="D1335" s="7" t="s">
        <v>1384</v>
      </c>
      <c r="E1335" s="7">
        <v>9</v>
      </c>
      <c r="F1335" s="7">
        <f t="shared" si="41"/>
        <v>100</v>
      </c>
      <c r="G1335" s="7">
        <v>1</v>
      </c>
      <c r="H1335" s="7">
        <v>19</v>
      </c>
      <c r="I1335" s="7">
        <v>70</v>
      </c>
      <c r="J1335" s="7" t="s">
        <v>1375</v>
      </c>
    </row>
    <row r="1336" customHeight="1" spans="3:10">
      <c r="C1336" s="7">
        <v>9011</v>
      </c>
      <c r="D1336" s="7" t="s">
        <v>1385</v>
      </c>
      <c r="E1336" s="7">
        <v>9</v>
      </c>
      <c r="F1336" s="7">
        <f t="shared" si="41"/>
        <v>110</v>
      </c>
      <c r="G1336" s="7">
        <v>1</v>
      </c>
      <c r="H1336" s="7">
        <v>20</v>
      </c>
      <c r="I1336" s="7">
        <v>70</v>
      </c>
      <c r="J1336" s="7" t="s">
        <v>1375</v>
      </c>
    </row>
    <row r="1337" customHeight="1" spans="3:10">
      <c r="C1337" s="7">
        <v>9012</v>
      </c>
      <c r="D1337" s="7" t="s">
        <v>1386</v>
      </c>
      <c r="E1337" s="7">
        <v>9</v>
      </c>
      <c r="F1337" s="7">
        <f t="shared" si="41"/>
        <v>120</v>
      </c>
      <c r="G1337" s="7">
        <v>1</v>
      </c>
      <c r="H1337" s="7">
        <v>24</v>
      </c>
      <c r="I1337" s="7">
        <v>70</v>
      </c>
      <c r="J1337" s="7" t="s">
        <v>1375</v>
      </c>
    </row>
    <row r="1338" customHeight="1" spans="3:10">
      <c r="C1338" s="7">
        <v>9013</v>
      </c>
      <c r="D1338" s="7" t="s">
        <v>1387</v>
      </c>
      <c r="E1338" s="7">
        <v>9</v>
      </c>
      <c r="F1338" s="7">
        <f t="shared" si="41"/>
        <v>130</v>
      </c>
      <c r="G1338" s="7">
        <v>1</v>
      </c>
      <c r="H1338" s="7">
        <v>18</v>
      </c>
      <c r="I1338" s="7">
        <v>80</v>
      </c>
      <c r="J1338" s="7" t="s">
        <v>1375</v>
      </c>
    </row>
    <row r="1339" customHeight="1" spans="3:10">
      <c r="C1339" s="7">
        <v>9014</v>
      </c>
      <c r="D1339" s="7" t="s">
        <v>1388</v>
      </c>
      <c r="E1339" s="7">
        <v>9</v>
      </c>
      <c r="F1339" s="7">
        <f t="shared" si="41"/>
        <v>140</v>
      </c>
      <c r="G1339" s="7">
        <v>1</v>
      </c>
      <c r="H1339" s="7">
        <v>19</v>
      </c>
      <c r="I1339" s="7">
        <v>80</v>
      </c>
      <c r="J1339" s="7" t="s">
        <v>1375</v>
      </c>
    </row>
    <row r="1340" customHeight="1" spans="3:10">
      <c r="C1340" s="7">
        <v>9015</v>
      </c>
      <c r="D1340" s="7" t="s">
        <v>1389</v>
      </c>
      <c r="E1340" s="7">
        <v>9</v>
      </c>
      <c r="F1340" s="7">
        <f t="shared" si="41"/>
        <v>150</v>
      </c>
      <c r="G1340" s="7">
        <v>1</v>
      </c>
      <c r="H1340" s="7">
        <v>20</v>
      </c>
      <c r="I1340" s="7">
        <v>80</v>
      </c>
      <c r="J1340" s="7" t="s">
        <v>1375</v>
      </c>
    </row>
    <row r="1341" customHeight="1" spans="3:10">
      <c r="C1341" s="7">
        <v>9016</v>
      </c>
      <c r="D1341" s="7" t="s">
        <v>1390</v>
      </c>
      <c r="E1341" s="7">
        <v>9</v>
      </c>
      <c r="F1341" s="7">
        <f t="shared" si="41"/>
        <v>160</v>
      </c>
      <c r="G1341" s="7">
        <v>1</v>
      </c>
      <c r="H1341" s="7">
        <v>24</v>
      </c>
      <c r="I1341" s="7">
        <v>80</v>
      </c>
      <c r="J1341" s="7" t="s">
        <v>1375</v>
      </c>
    </row>
    <row r="1342" customHeight="1" spans="3:10">
      <c r="C1342" s="7">
        <v>9017</v>
      </c>
      <c r="D1342" s="7" t="s">
        <v>1391</v>
      </c>
      <c r="E1342" s="7">
        <v>9</v>
      </c>
      <c r="F1342" s="7">
        <f t="shared" si="41"/>
        <v>170</v>
      </c>
      <c r="G1342" s="7">
        <v>1</v>
      </c>
      <c r="H1342" s="7">
        <v>18</v>
      </c>
      <c r="I1342" s="7">
        <v>90</v>
      </c>
      <c r="J1342" s="7" t="s">
        <v>1375</v>
      </c>
    </row>
    <row r="1343" customHeight="1" spans="3:10">
      <c r="C1343" s="7">
        <v>9018</v>
      </c>
      <c r="D1343" s="7" t="s">
        <v>1392</v>
      </c>
      <c r="E1343" s="7">
        <v>9</v>
      </c>
      <c r="F1343" s="7">
        <f t="shared" si="41"/>
        <v>180</v>
      </c>
      <c r="G1343" s="7">
        <v>1</v>
      </c>
      <c r="H1343" s="7">
        <v>19</v>
      </c>
      <c r="I1343" s="7">
        <v>90</v>
      </c>
      <c r="J1343" s="7" t="s">
        <v>1375</v>
      </c>
    </row>
    <row r="1344" customHeight="1" spans="3:10">
      <c r="C1344" s="7">
        <v>9019</v>
      </c>
      <c r="D1344" s="7" t="s">
        <v>1393</v>
      </c>
      <c r="E1344" s="7">
        <v>9</v>
      </c>
      <c r="F1344" s="7">
        <f t="shared" si="41"/>
        <v>190</v>
      </c>
      <c r="G1344" s="7">
        <v>1</v>
      </c>
      <c r="H1344" s="7">
        <v>20</v>
      </c>
      <c r="I1344" s="7">
        <v>90</v>
      </c>
      <c r="J1344" s="7" t="s">
        <v>1375</v>
      </c>
    </row>
    <row r="1345" customHeight="1" spans="3:10">
      <c r="C1345" s="7">
        <v>9020</v>
      </c>
      <c r="D1345" s="7" t="s">
        <v>1394</v>
      </c>
      <c r="E1345" s="7">
        <v>9</v>
      </c>
      <c r="F1345" s="7">
        <f t="shared" si="41"/>
        <v>200</v>
      </c>
      <c r="G1345" s="7">
        <v>1</v>
      </c>
      <c r="H1345" s="7">
        <v>24</v>
      </c>
      <c r="I1345" s="7">
        <v>90</v>
      </c>
      <c r="J1345" s="7" t="s">
        <v>1375</v>
      </c>
    </row>
    <row r="1346" customHeight="1" spans="3:10">
      <c r="C1346" s="7">
        <v>9021</v>
      </c>
      <c r="D1346" s="7" t="s">
        <v>1395</v>
      </c>
      <c r="E1346" s="7">
        <v>9</v>
      </c>
      <c r="F1346" s="7">
        <f t="shared" si="41"/>
        <v>210</v>
      </c>
      <c r="G1346" s="7">
        <v>1</v>
      </c>
      <c r="H1346" s="7">
        <v>18</v>
      </c>
      <c r="I1346" s="7">
        <v>100</v>
      </c>
      <c r="J1346" s="7" t="s">
        <v>1375</v>
      </c>
    </row>
    <row r="1347" customHeight="1" spans="3:10">
      <c r="C1347" s="7">
        <v>9022</v>
      </c>
      <c r="D1347" s="7" t="s">
        <v>1396</v>
      </c>
      <c r="E1347" s="7">
        <v>9</v>
      </c>
      <c r="F1347" s="7">
        <f t="shared" si="41"/>
        <v>220</v>
      </c>
      <c r="G1347" s="7">
        <v>1</v>
      </c>
      <c r="H1347" s="7">
        <v>19</v>
      </c>
      <c r="I1347" s="7">
        <v>100</v>
      </c>
      <c r="J1347" s="7" t="s">
        <v>1375</v>
      </c>
    </row>
    <row r="1348" customHeight="1" spans="3:10">
      <c r="C1348" s="7">
        <v>9023</v>
      </c>
      <c r="D1348" s="7" t="s">
        <v>1397</v>
      </c>
      <c r="E1348" s="7">
        <v>9</v>
      </c>
      <c r="F1348" s="7">
        <f t="shared" si="41"/>
        <v>230</v>
      </c>
      <c r="G1348" s="7">
        <v>1</v>
      </c>
      <c r="H1348" s="7">
        <v>20</v>
      </c>
      <c r="I1348" s="7">
        <v>100</v>
      </c>
      <c r="J1348" s="7" t="s">
        <v>1375</v>
      </c>
    </row>
    <row r="1349" customHeight="1" spans="3:10">
      <c r="C1349" s="7">
        <v>9024</v>
      </c>
      <c r="D1349" s="7" t="s">
        <v>1398</v>
      </c>
      <c r="E1349" s="7">
        <v>9</v>
      </c>
      <c r="F1349" s="7">
        <f t="shared" si="41"/>
        <v>240</v>
      </c>
      <c r="G1349" s="7">
        <v>1</v>
      </c>
      <c r="H1349" s="7">
        <v>24</v>
      </c>
      <c r="I1349" s="7">
        <v>100</v>
      </c>
      <c r="J1349" s="7" t="s">
        <v>1375</v>
      </c>
    </row>
    <row r="1350" customHeight="1" spans="3:10">
      <c r="C1350" s="7">
        <v>9025</v>
      </c>
      <c r="D1350" s="7" t="s">
        <v>1399</v>
      </c>
      <c r="E1350" s="7">
        <v>9</v>
      </c>
      <c r="F1350" s="7">
        <f t="shared" si="41"/>
        <v>250</v>
      </c>
      <c r="G1350" s="7">
        <v>1</v>
      </c>
      <c r="H1350" s="7">
        <v>18</v>
      </c>
      <c r="I1350" s="7">
        <v>110</v>
      </c>
      <c r="J1350" s="7" t="s">
        <v>1375</v>
      </c>
    </row>
    <row r="1351" customHeight="1" spans="3:10">
      <c r="C1351" s="7">
        <v>9026</v>
      </c>
      <c r="D1351" s="7" t="s">
        <v>1400</v>
      </c>
      <c r="E1351" s="7">
        <v>9</v>
      </c>
      <c r="F1351" s="7">
        <f t="shared" si="41"/>
        <v>260</v>
      </c>
      <c r="G1351" s="7">
        <v>1</v>
      </c>
      <c r="H1351" s="7">
        <v>19</v>
      </c>
      <c r="I1351" s="7">
        <v>110</v>
      </c>
      <c r="J1351" s="7" t="s">
        <v>1375</v>
      </c>
    </row>
    <row r="1352" customHeight="1" spans="3:10">
      <c r="C1352" s="7">
        <v>9027</v>
      </c>
      <c r="D1352" s="7" t="s">
        <v>1401</v>
      </c>
      <c r="E1352" s="7">
        <v>9</v>
      </c>
      <c r="F1352" s="7">
        <f t="shared" si="41"/>
        <v>270</v>
      </c>
      <c r="G1352" s="7">
        <v>1</v>
      </c>
      <c r="H1352" s="7">
        <v>20</v>
      </c>
      <c r="I1352" s="7">
        <v>110</v>
      </c>
      <c r="J1352" s="7" t="s">
        <v>1375</v>
      </c>
    </row>
    <row r="1353" customHeight="1" spans="3:10">
      <c r="C1353" s="7">
        <v>9028</v>
      </c>
      <c r="D1353" s="7" t="s">
        <v>1402</v>
      </c>
      <c r="E1353" s="7">
        <v>9</v>
      </c>
      <c r="F1353" s="7">
        <f t="shared" si="41"/>
        <v>280</v>
      </c>
      <c r="G1353" s="7">
        <v>1</v>
      </c>
      <c r="H1353" s="7">
        <v>24</v>
      </c>
      <c r="I1353" s="7">
        <v>110</v>
      </c>
      <c r="J1353" s="7" t="s">
        <v>1375</v>
      </c>
    </row>
    <row r="1354" customHeight="1" spans="3:10">
      <c r="C1354" s="7">
        <v>9029</v>
      </c>
      <c r="D1354" s="7" t="s">
        <v>1403</v>
      </c>
      <c r="E1354" s="7">
        <v>9</v>
      </c>
      <c r="F1354" s="7">
        <f t="shared" si="41"/>
        <v>290</v>
      </c>
      <c r="G1354" s="7">
        <v>1</v>
      </c>
      <c r="H1354" s="7">
        <v>18</v>
      </c>
      <c r="I1354" s="7">
        <v>120</v>
      </c>
      <c r="J1354" s="7" t="s">
        <v>1375</v>
      </c>
    </row>
    <row r="1355" customHeight="1" spans="3:10">
      <c r="C1355" s="7">
        <v>9030</v>
      </c>
      <c r="D1355" s="7" t="s">
        <v>1404</v>
      </c>
      <c r="E1355" s="7">
        <v>9</v>
      </c>
      <c r="F1355" s="7">
        <f t="shared" si="41"/>
        <v>300</v>
      </c>
      <c r="G1355" s="7">
        <v>1</v>
      </c>
      <c r="H1355" s="7">
        <v>19</v>
      </c>
      <c r="I1355" s="7">
        <v>120</v>
      </c>
      <c r="J1355" s="7" t="s">
        <v>1375</v>
      </c>
    </row>
    <row r="1356" customHeight="1" spans="3:10">
      <c r="C1356" s="7">
        <v>9031</v>
      </c>
      <c r="D1356" s="7" t="s">
        <v>1405</v>
      </c>
      <c r="E1356" s="7">
        <v>9</v>
      </c>
      <c r="F1356" s="7">
        <f t="shared" si="41"/>
        <v>310</v>
      </c>
      <c r="G1356" s="7">
        <v>1</v>
      </c>
      <c r="H1356" s="7">
        <v>20</v>
      </c>
      <c r="I1356" s="7">
        <v>120</v>
      </c>
      <c r="J1356" s="7" t="s">
        <v>1375</v>
      </c>
    </row>
    <row r="1357" customHeight="1" spans="3:10">
      <c r="C1357" s="7">
        <v>9032</v>
      </c>
      <c r="D1357" s="7" t="s">
        <v>1406</v>
      </c>
      <c r="E1357" s="7">
        <v>9</v>
      </c>
      <c r="F1357" s="7">
        <f t="shared" si="41"/>
        <v>320</v>
      </c>
      <c r="G1357" s="7">
        <v>1</v>
      </c>
      <c r="H1357" s="7">
        <v>24</v>
      </c>
      <c r="I1357" s="7">
        <v>120</v>
      </c>
      <c r="J1357" s="7" t="s">
        <v>1375</v>
      </c>
    </row>
    <row r="1358" customHeight="1" spans="3:10">
      <c r="C1358" s="7">
        <v>9033</v>
      </c>
      <c r="D1358" s="7" t="s">
        <v>1407</v>
      </c>
      <c r="E1358" s="7">
        <v>9</v>
      </c>
      <c r="F1358" s="7">
        <f t="shared" si="41"/>
        <v>330</v>
      </c>
      <c r="G1358" s="7">
        <v>1</v>
      </c>
      <c r="H1358" s="7">
        <v>18</v>
      </c>
      <c r="I1358" s="7">
        <v>130</v>
      </c>
      <c r="J1358" s="7" t="s">
        <v>1375</v>
      </c>
    </row>
    <row r="1359" customHeight="1" spans="3:10">
      <c r="C1359" s="7">
        <v>9034</v>
      </c>
      <c r="D1359" s="7" t="s">
        <v>1408</v>
      </c>
      <c r="E1359" s="7">
        <v>9</v>
      </c>
      <c r="F1359" s="7">
        <f t="shared" si="41"/>
        <v>340</v>
      </c>
      <c r="G1359" s="7">
        <v>1</v>
      </c>
      <c r="H1359" s="7">
        <v>19</v>
      </c>
      <c r="I1359" s="7">
        <v>130</v>
      </c>
      <c r="J1359" s="7" t="s">
        <v>1375</v>
      </c>
    </row>
    <row r="1360" customHeight="1" spans="3:10">
      <c r="C1360" s="7">
        <v>9035</v>
      </c>
      <c r="D1360" s="7" t="s">
        <v>1409</v>
      </c>
      <c r="E1360" s="7">
        <v>9</v>
      </c>
      <c r="F1360" s="7">
        <f t="shared" si="41"/>
        <v>350</v>
      </c>
      <c r="G1360" s="7">
        <v>1</v>
      </c>
      <c r="H1360" s="7">
        <v>20</v>
      </c>
      <c r="I1360" s="7">
        <v>130</v>
      </c>
      <c r="J1360" s="7" t="s">
        <v>1375</v>
      </c>
    </row>
    <row r="1361" customHeight="1" spans="3:10">
      <c r="C1361" s="7">
        <v>9036</v>
      </c>
      <c r="D1361" s="7" t="s">
        <v>1410</v>
      </c>
      <c r="E1361" s="7">
        <v>9</v>
      </c>
      <c r="F1361" s="7">
        <f t="shared" si="41"/>
        <v>360</v>
      </c>
      <c r="G1361" s="7">
        <v>1</v>
      </c>
      <c r="H1361" s="7">
        <v>24</v>
      </c>
      <c r="I1361" s="7">
        <v>130</v>
      </c>
      <c r="J1361" s="7" t="s">
        <v>1375</v>
      </c>
    </row>
    <row r="1362" customHeight="1" spans="3:10">
      <c r="C1362" s="7">
        <v>9037</v>
      </c>
      <c r="D1362" s="7" t="s">
        <v>1411</v>
      </c>
      <c r="E1362" s="7">
        <v>9</v>
      </c>
      <c r="F1362" s="7">
        <f t="shared" si="41"/>
        <v>370</v>
      </c>
      <c r="G1362" s="7">
        <v>1</v>
      </c>
      <c r="H1362" s="7">
        <v>18</v>
      </c>
      <c r="I1362" s="7">
        <v>140</v>
      </c>
      <c r="J1362" s="7" t="s">
        <v>1375</v>
      </c>
    </row>
    <row r="1363" customHeight="1" spans="3:10">
      <c r="C1363" s="7">
        <v>9038</v>
      </c>
      <c r="D1363" s="7" t="s">
        <v>1412</v>
      </c>
      <c r="E1363" s="7">
        <v>9</v>
      </c>
      <c r="F1363" s="7">
        <f t="shared" si="41"/>
        <v>380</v>
      </c>
      <c r="G1363" s="7">
        <v>1</v>
      </c>
      <c r="H1363" s="7">
        <v>19</v>
      </c>
      <c r="I1363" s="7">
        <v>140</v>
      </c>
      <c r="J1363" s="7" t="s">
        <v>1375</v>
      </c>
    </row>
    <row r="1364" customHeight="1" spans="3:10">
      <c r="C1364" s="7">
        <v>9039</v>
      </c>
      <c r="D1364" s="7" t="s">
        <v>1413</v>
      </c>
      <c r="E1364" s="7">
        <v>9</v>
      </c>
      <c r="F1364" s="7">
        <f t="shared" si="41"/>
        <v>390</v>
      </c>
      <c r="G1364" s="7">
        <v>1</v>
      </c>
      <c r="H1364" s="7">
        <v>20</v>
      </c>
      <c r="I1364" s="7">
        <v>140</v>
      </c>
      <c r="J1364" s="7" t="s">
        <v>1375</v>
      </c>
    </row>
    <row r="1365" customHeight="1" spans="3:10">
      <c r="C1365" s="7">
        <v>9040</v>
      </c>
      <c r="D1365" s="7" t="s">
        <v>1414</v>
      </c>
      <c r="E1365" s="7">
        <v>9</v>
      </c>
      <c r="F1365" s="7">
        <f t="shared" si="41"/>
        <v>400</v>
      </c>
      <c r="G1365" s="7">
        <v>1</v>
      </c>
      <c r="H1365" s="7">
        <v>24</v>
      </c>
      <c r="I1365" s="7">
        <v>140</v>
      </c>
      <c r="J1365" s="7" t="s">
        <v>1375</v>
      </c>
    </row>
    <row r="1366" customHeight="1" spans="3:10">
      <c r="C1366" s="7">
        <v>9041</v>
      </c>
      <c r="D1366" s="7" t="s">
        <v>1415</v>
      </c>
      <c r="E1366" s="7">
        <v>9</v>
      </c>
      <c r="F1366" s="7">
        <f t="shared" si="41"/>
        <v>410</v>
      </c>
      <c r="G1366" s="7">
        <v>1</v>
      </c>
      <c r="H1366" s="7">
        <v>18</v>
      </c>
      <c r="I1366" s="7">
        <v>150</v>
      </c>
      <c r="J1366" s="7" t="s">
        <v>1375</v>
      </c>
    </row>
    <row r="1367" customHeight="1" spans="3:10">
      <c r="C1367" s="7">
        <v>9042</v>
      </c>
      <c r="D1367" s="7" t="s">
        <v>1416</v>
      </c>
      <c r="E1367" s="7">
        <v>9</v>
      </c>
      <c r="F1367" s="7">
        <f t="shared" si="41"/>
        <v>420</v>
      </c>
      <c r="G1367" s="7">
        <v>1</v>
      </c>
      <c r="H1367" s="7">
        <v>19</v>
      </c>
      <c r="I1367" s="7">
        <v>150</v>
      </c>
      <c r="J1367" s="7" t="s">
        <v>1375</v>
      </c>
    </row>
    <row r="1368" customHeight="1" spans="3:10">
      <c r="C1368" s="7">
        <v>9043</v>
      </c>
      <c r="D1368" s="7" t="s">
        <v>1417</v>
      </c>
      <c r="E1368" s="7">
        <v>9</v>
      </c>
      <c r="F1368" s="7">
        <f t="shared" si="41"/>
        <v>430</v>
      </c>
      <c r="G1368" s="7">
        <v>1</v>
      </c>
      <c r="H1368" s="7">
        <v>20</v>
      </c>
      <c r="I1368" s="7">
        <v>150</v>
      </c>
      <c r="J1368" s="7" t="s">
        <v>1375</v>
      </c>
    </row>
    <row r="1369" customHeight="1" spans="3:10">
      <c r="C1369" s="7">
        <v>9044</v>
      </c>
      <c r="D1369" s="7" t="s">
        <v>1418</v>
      </c>
      <c r="E1369" s="7">
        <v>9</v>
      </c>
      <c r="F1369" s="7">
        <f t="shared" si="41"/>
        <v>440</v>
      </c>
      <c r="G1369" s="7">
        <v>1</v>
      </c>
      <c r="H1369" s="7">
        <v>24</v>
      </c>
      <c r="I1369" s="7">
        <v>150</v>
      </c>
      <c r="J1369" s="7" t="s">
        <v>1375</v>
      </c>
    </row>
    <row r="1370" customHeight="1" spans="3:10">
      <c r="C1370" s="7">
        <v>9045</v>
      </c>
      <c r="D1370" s="7" t="s">
        <v>1419</v>
      </c>
      <c r="E1370" s="7">
        <v>9</v>
      </c>
      <c r="F1370" s="7">
        <f t="shared" si="41"/>
        <v>450</v>
      </c>
      <c r="G1370" s="7">
        <v>1</v>
      </c>
      <c r="H1370" s="7">
        <v>18</v>
      </c>
      <c r="I1370" s="7">
        <v>160</v>
      </c>
      <c r="J1370" s="7" t="s">
        <v>1375</v>
      </c>
    </row>
    <row r="1371" customHeight="1" spans="3:10">
      <c r="C1371" s="7">
        <v>9046</v>
      </c>
      <c r="D1371" s="7" t="s">
        <v>1420</v>
      </c>
      <c r="E1371" s="7">
        <v>9</v>
      </c>
      <c r="F1371" s="7">
        <f t="shared" si="41"/>
        <v>460</v>
      </c>
      <c r="G1371" s="7">
        <v>1</v>
      </c>
      <c r="H1371" s="7">
        <v>19</v>
      </c>
      <c r="I1371" s="7">
        <v>160</v>
      </c>
      <c r="J1371" s="7" t="s">
        <v>1375</v>
      </c>
    </row>
    <row r="1372" customHeight="1" spans="3:10">
      <c r="C1372" s="7">
        <v>9047</v>
      </c>
      <c r="D1372" s="7" t="s">
        <v>1421</v>
      </c>
      <c r="E1372" s="7">
        <v>9</v>
      </c>
      <c r="F1372" s="7">
        <f t="shared" si="41"/>
        <v>470</v>
      </c>
      <c r="G1372" s="7">
        <v>1</v>
      </c>
      <c r="H1372" s="7">
        <v>20</v>
      </c>
      <c r="I1372" s="7">
        <v>160</v>
      </c>
      <c r="J1372" s="7" t="s">
        <v>1375</v>
      </c>
    </row>
    <row r="1373" customHeight="1" spans="3:10">
      <c r="C1373" s="7">
        <v>9048</v>
      </c>
      <c r="D1373" s="7" t="s">
        <v>1422</v>
      </c>
      <c r="E1373" s="7">
        <v>9</v>
      </c>
      <c r="F1373" s="7">
        <f t="shared" si="41"/>
        <v>480</v>
      </c>
      <c r="G1373" s="7">
        <v>1</v>
      </c>
      <c r="H1373" s="7">
        <v>24</v>
      </c>
      <c r="I1373" s="7">
        <v>160</v>
      </c>
      <c r="J1373" s="7" t="s">
        <v>1375</v>
      </c>
    </row>
    <row r="1374" customHeight="1" spans="3:10">
      <c r="C1374" s="7">
        <v>9049</v>
      </c>
      <c r="D1374" s="7" t="s">
        <v>1423</v>
      </c>
      <c r="E1374" s="7">
        <v>9</v>
      </c>
      <c r="F1374" s="7">
        <f t="shared" si="41"/>
        <v>490</v>
      </c>
      <c r="G1374" s="7">
        <v>1</v>
      </c>
      <c r="H1374" s="7">
        <v>18</v>
      </c>
      <c r="I1374" s="7">
        <v>170</v>
      </c>
      <c r="J1374" s="7" t="s">
        <v>1375</v>
      </c>
    </row>
    <row r="1375" customHeight="1" spans="3:10">
      <c r="C1375" s="7">
        <v>9050</v>
      </c>
      <c r="D1375" s="7" t="s">
        <v>1424</v>
      </c>
      <c r="E1375" s="7">
        <v>9</v>
      </c>
      <c r="F1375" s="7">
        <f t="shared" si="41"/>
        <v>500</v>
      </c>
      <c r="G1375" s="7">
        <v>1</v>
      </c>
      <c r="H1375" s="7">
        <v>19</v>
      </c>
      <c r="I1375" s="7">
        <v>170</v>
      </c>
      <c r="J1375" s="7" t="s">
        <v>1375</v>
      </c>
    </row>
    <row r="1376" customHeight="1" spans="3:10">
      <c r="C1376" s="7">
        <v>9051</v>
      </c>
      <c r="D1376" s="7" t="s">
        <v>1425</v>
      </c>
      <c r="E1376" s="7">
        <v>9</v>
      </c>
      <c r="F1376" s="7">
        <f t="shared" si="41"/>
        <v>510</v>
      </c>
      <c r="G1376" s="7">
        <v>1</v>
      </c>
      <c r="H1376" s="7">
        <v>20</v>
      </c>
      <c r="I1376" s="7">
        <v>170</v>
      </c>
      <c r="J1376" s="7" t="s">
        <v>1375</v>
      </c>
    </row>
    <row r="1377" customHeight="1" spans="3:10">
      <c r="C1377" s="7">
        <v>9052</v>
      </c>
      <c r="D1377" s="7" t="s">
        <v>1426</v>
      </c>
      <c r="E1377" s="7">
        <v>9</v>
      </c>
      <c r="F1377" s="7">
        <f t="shared" si="41"/>
        <v>520</v>
      </c>
      <c r="G1377" s="7">
        <v>1</v>
      </c>
      <c r="H1377" s="7">
        <v>24</v>
      </c>
      <c r="I1377" s="7">
        <v>170</v>
      </c>
      <c r="J1377" s="7" t="s">
        <v>1375</v>
      </c>
    </row>
    <row r="1378" customHeight="1" spans="3:10">
      <c r="C1378" s="7">
        <v>9053</v>
      </c>
      <c r="D1378" s="7" t="s">
        <v>1427</v>
      </c>
      <c r="E1378" s="7">
        <v>9</v>
      </c>
      <c r="F1378" s="7">
        <f t="shared" si="41"/>
        <v>530</v>
      </c>
      <c r="G1378" s="7">
        <v>1</v>
      </c>
      <c r="H1378" s="7">
        <v>18</v>
      </c>
      <c r="I1378" s="7">
        <v>180</v>
      </c>
      <c r="J1378" s="7" t="s">
        <v>1375</v>
      </c>
    </row>
    <row r="1379" customHeight="1" spans="3:10">
      <c r="C1379" s="7">
        <v>9054</v>
      </c>
      <c r="D1379" s="7" t="s">
        <v>1428</v>
      </c>
      <c r="E1379" s="7">
        <v>9</v>
      </c>
      <c r="F1379" s="7">
        <f t="shared" si="41"/>
        <v>540</v>
      </c>
      <c r="G1379" s="7">
        <v>1</v>
      </c>
      <c r="H1379" s="7">
        <v>19</v>
      </c>
      <c r="I1379" s="7">
        <v>180</v>
      </c>
      <c r="J1379" s="7" t="s">
        <v>1375</v>
      </c>
    </row>
    <row r="1380" customHeight="1" spans="3:10">
      <c r="C1380" s="7">
        <v>9055</v>
      </c>
      <c r="D1380" s="7" t="s">
        <v>1429</v>
      </c>
      <c r="E1380" s="7">
        <v>9</v>
      </c>
      <c r="F1380" s="7">
        <f t="shared" si="41"/>
        <v>550</v>
      </c>
      <c r="G1380" s="7">
        <v>1</v>
      </c>
      <c r="H1380" s="7">
        <v>20</v>
      </c>
      <c r="I1380" s="7">
        <v>180</v>
      </c>
      <c r="J1380" s="7" t="s">
        <v>1375</v>
      </c>
    </row>
    <row r="1381" customHeight="1" spans="3:10">
      <c r="C1381" s="7">
        <v>9056</v>
      </c>
      <c r="D1381" s="7" t="s">
        <v>1430</v>
      </c>
      <c r="E1381" s="7">
        <v>9</v>
      </c>
      <c r="F1381" s="7">
        <f t="shared" si="41"/>
        <v>560</v>
      </c>
      <c r="G1381" s="7">
        <v>1</v>
      </c>
      <c r="H1381" s="7">
        <v>24</v>
      </c>
      <c r="I1381" s="7">
        <v>180</v>
      </c>
      <c r="J1381" s="7" t="s">
        <v>1375</v>
      </c>
    </row>
    <row r="1382" customHeight="1" spans="3:10">
      <c r="C1382" s="7">
        <v>9057</v>
      </c>
      <c r="D1382" s="7" t="s">
        <v>1431</v>
      </c>
      <c r="E1382" s="7">
        <v>9</v>
      </c>
      <c r="F1382" s="7">
        <f t="shared" si="41"/>
        <v>570</v>
      </c>
      <c r="G1382" s="7">
        <v>1</v>
      </c>
      <c r="H1382" s="7">
        <v>18</v>
      </c>
      <c r="I1382" s="7">
        <v>190</v>
      </c>
      <c r="J1382" s="7" t="s">
        <v>1375</v>
      </c>
    </row>
    <row r="1383" customHeight="1" spans="3:10">
      <c r="C1383" s="7">
        <v>9058</v>
      </c>
      <c r="D1383" s="7" t="s">
        <v>1432</v>
      </c>
      <c r="E1383" s="7">
        <v>9</v>
      </c>
      <c r="F1383" s="7">
        <f t="shared" si="41"/>
        <v>580</v>
      </c>
      <c r="G1383" s="7">
        <v>1</v>
      </c>
      <c r="H1383" s="7">
        <v>19</v>
      </c>
      <c r="I1383" s="7">
        <v>190</v>
      </c>
      <c r="J1383" s="7" t="s">
        <v>1375</v>
      </c>
    </row>
    <row r="1384" customHeight="1" spans="3:10">
      <c r="C1384" s="7">
        <v>9059</v>
      </c>
      <c r="D1384" s="7" t="s">
        <v>1433</v>
      </c>
      <c r="E1384" s="7">
        <v>9</v>
      </c>
      <c r="F1384" s="7">
        <f t="shared" si="41"/>
        <v>590</v>
      </c>
      <c r="G1384" s="7">
        <v>1</v>
      </c>
      <c r="H1384" s="7">
        <v>20</v>
      </c>
      <c r="I1384" s="7">
        <v>190</v>
      </c>
      <c r="J1384" s="7" t="s">
        <v>1375</v>
      </c>
    </row>
    <row r="1385" customHeight="1" spans="3:10">
      <c r="C1385" s="7">
        <v>9060</v>
      </c>
      <c r="D1385" s="7" t="s">
        <v>1434</v>
      </c>
      <c r="E1385" s="7">
        <v>9</v>
      </c>
      <c r="F1385" s="7">
        <f t="shared" si="41"/>
        <v>600</v>
      </c>
      <c r="G1385" s="7">
        <v>1</v>
      </c>
      <c r="H1385" s="7">
        <v>24</v>
      </c>
      <c r="I1385" s="7">
        <v>190</v>
      </c>
      <c r="J1385" s="7" t="s">
        <v>1375</v>
      </c>
    </row>
    <row r="1386" customHeight="1" spans="3:10">
      <c r="C1386" s="7">
        <v>9061</v>
      </c>
      <c r="D1386" s="7" t="s">
        <v>1435</v>
      </c>
      <c r="E1386" s="7">
        <v>9</v>
      </c>
      <c r="F1386" s="7">
        <f t="shared" si="41"/>
        <v>610</v>
      </c>
      <c r="G1386" s="7">
        <v>1</v>
      </c>
      <c r="H1386" s="7">
        <v>18</v>
      </c>
      <c r="I1386" s="7">
        <v>200</v>
      </c>
      <c r="J1386" s="7" t="s">
        <v>1375</v>
      </c>
    </row>
    <row r="1387" customHeight="1" spans="3:10">
      <c r="C1387" s="7">
        <v>9062</v>
      </c>
      <c r="D1387" s="7" t="s">
        <v>1436</v>
      </c>
      <c r="E1387" s="7">
        <v>9</v>
      </c>
      <c r="F1387" s="7">
        <f t="shared" si="41"/>
        <v>620</v>
      </c>
      <c r="G1387" s="7">
        <v>1</v>
      </c>
      <c r="H1387" s="7">
        <v>19</v>
      </c>
      <c r="I1387" s="7">
        <v>200</v>
      </c>
      <c r="J1387" s="7" t="s">
        <v>1375</v>
      </c>
    </row>
    <row r="1388" customHeight="1" spans="3:10">
      <c r="C1388" s="7">
        <v>9063</v>
      </c>
      <c r="D1388" s="7" t="s">
        <v>1437</v>
      </c>
      <c r="E1388" s="7">
        <v>9</v>
      </c>
      <c r="F1388" s="7">
        <f t="shared" si="41"/>
        <v>630</v>
      </c>
      <c r="G1388" s="7">
        <v>1</v>
      </c>
      <c r="H1388" s="7">
        <v>20</v>
      </c>
      <c r="I1388" s="7">
        <v>200</v>
      </c>
      <c r="J1388" s="7" t="s">
        <v>1375</v>
      </c>
    </row>
    <row r="1389" customHeight="1" spans="3:10">
      <c r="C1389" s="7">
        <v>9064</v>
      </c>
      <c r="D1389" s="7" t="s">
        <v>1438</v>
      </c>
      <c r="E1389" s="7">
        <v>9</v>
      </c>
      <c r="F1389" s="7">
        <f t="shared" si="41"/>
        <v>640</v>
      </c>
      <c r="G1389" s="7">
        <v>1</v>
      </c>
      <c r="H1389" s="7">
        <v>24</v>
      </c>
      <c r="I1389" s="7">
        <v>200</v>
      </c>
      <c r="J1389" s="7" t="s">
        <v>1375</v>
      </c>
    </row>
    <row r="1390" customHeight="1" spans="3:10">
      <c r="C1390" s="7">
        <v>9065</v>
      </c>
      <c r="D1390" s="7" t="s">
        <v>1439</v>
      </c>
      <c r="E1390" s="7">
        <v>9</v>
      </c>
      <c r="F1390" s="7">
        <f t="shared" si="41"/>
        <v>650</v>
      </c>
      <c r="G1390" s="7">
        <v>1</v>
      </c>
      <c r="H1390" s="7">
        <v>18</v>
      </c>
      <c r="I1390" s="7">
        <v>210</v>
      </c>
      <c r="J1390" s="7" t="s">
        <v>1375</v>
      </c>
    </row>
    <row r="1391" customHeight="1" spans="3:10">
      <c r="C1391" s="7">
        <v>9066</v>
      </c>
      <c r="D1391" s="7" t="s">
        <v>1440</v>
      </c>
      <c r="E1391" s="7">
        <v>9</v>
      </c>
      <c r="F1391" s="7">
        <f t="shared" ref="F1391:F1454" si="42">F1390+10</f>
        <v>660</v>
      </c>
      <c r="G1391" s="7">
        <v>1</v>
      </c>
      <c r="H1391" s="7">
        <v>19</v>
      </c>
      <c r="I1391" s="7">
        <v>210</v>
      </c>
      <c r="J1391" s="7" t="s">
        <v>1375</v>
      </c>
    </row>
    <row r="1392" customHeight="1" spans="3:10">
      <c r="C1392" s="7">
        <v>9067</v>
      </c>
      <c r="D1392" s="7" t="s">
        <v>1441</v>
      </c>
      <c r="E1392" s="7">
        <v>9</v>
      </c>
      <c r="F1392" s="7">
        <f t="shared" si="42"/>
        <v>670</v>
      </c>
      <c r="G1392" s="7">
        <v>1</v>
      </c>
      <c r="H1392" s="7">
        <v>20</v>
      </c>
      <c r="I1392" s="7">
        <v>210</v>
      </c>
      <c r="J1392" s="7" t="s">
        <v>1375</v>
      </c>
    </row>
    <row r="1393" customHeight="1" spans="3:10">
      <c r="C1393" s="7">
        <v>9068</v>
      </c>
      <c r="D1393" s="7" t="s">
        <v>1442</v>
      </c>
      <c r="E1393" s="7">
        <v>9</v>
      </c>
      <c r="F1393" s="7">
        <f t="shared" si="42"/>
        <v>680</v>
      </c>
      <c r="G1393" s="7">
        <v>1</v>
      </c>
      <c r="H1393" s="7">
        <v>24</v>
      </c>
      <c r="I1393" s="7">
        <v>210</v>
      </c>
      <c r="J1393" s="7" t="s">
        <v>1375</v>
      </c>
    </row>
    <row r="1394" customHeight="1" spans="3:10">
      <c r="C1394" s="7">
        <v>9069</v>
      </c>
      <c r="D1394" s="7" t="s">
        <v>1443</v>
      </c>
      <c r="E1394" s="7">
        <v>9</v>
      </c>
      <c r="F1394" s="7">
        <f t="shared" si="42"/>
        <v>690</v>
      </c>
      <c r="G1394" s="7">
        <v>1</v>
      </c>
      <c r="H1394" s="7">
        <v>18</v>
      </c>
      <c r="I1394" s="7">
        <v>220</v>
      </c>
      <c r="J1394" s="7" t="s">
        <v>1375</v>
      </c>
    </row>
    <row r="1395" customHeight="1" spans="3:10">
      <c r="C1395" s="7">
        <v>9070</v>
      </c>
      <c r="D1395" s="7" t="s">
        <v>1444</v>
      </c>
      <c r="E1395" s="7">
        <v>9</v>
      </c>
      <c r="F1395" s="7">
        <f t="shared" si="42"/>
        <v>700</v>
      </c>
      <c r="G1395" s="7">
        <v>1</v>
      </c>
      <c r="H1395" s="7">
        <v>19</v>
      </c>
      <c r="I1395" s="7">
        <v>220</v>
      </c>
      <c r="J1395" s="7" t="s">
        <v>1375</v>
      </c>
    </row>
    <row r="1396" customHeight="1" spans="3:10">
      <c r="C1396" s="7">
        <v>9071</v>
      </c>
      <c r="D1396" s="7" t="s">
        <v>1445</v>
      </c>
      <c r="E1396" s="7">
        <v>9</v>
      </c>
      <c r="F1396" s="7">
        <f t="shared" si="42"/>
        <v>710</v>
      </c>
      <c r="G1396" s="7">
        <v>1</v>
      </c>
      <c r="H1396" s="7">
        <v>20</v>
      </c>
      <c r="I1396" s="7">
        <v>220</v>
      </c>
      <c r="J1396" s="7" t="s">
        <v>1375</v>
      </c>
    </row>
    <row r="1397" customHeight="1" spans="3:10">
      <c r="C1397" s="7">
        <v>9072</v>
      </c>
      <c r="D1397" s="7" t="s">
        <v>1446</v>
      </c>
      <c r="E1397" s="7">
        <v>9</v>
      </c>
      <c r="F1397" s="7">
        <f t="shared" si="42"/>
        <v>720</v>
      </c>
      <c r="G1397" s="7">
        <v>1</v>
      </c>
      <c r="H1397" s="7">
        <v>24</v>
      </c>
      <c r="I1397" s="7">
        <v>220</v>
      </c>
      <c r="J1397" s="7" t="s">
        <v>1375</v>
      </c>
    </row>
    <row r="1398" customHeight="1" spans="3:10">
      <c r="C1398" s="7">
        <v>9073</v>
      </c>
      <c r="D1398" s="7" t="s">
        <v>1447</v>
      </c>
      <c r="E1398" s="7">
        <v>9</v>
      </c>
      <c r="F1398" s="7">
        <f t="shared" si="42"/>
        <v>730</v>
      </c>
      <c r="G1398" s="7">
        <v>1</v>
      </c>
      <c r="H1398" s="7">
        <v>18</v>
      </c>
      <c r="I1398" s="7">
        <v>230</v>
      </c>
      <c r="J1398" s="7" t="s">
        <v>1375</v>
      </c>
    </row>
    <row r="1399" customHeight="1" spans="3:10">
      <c r="C1399" s="7">
        <v>9074</v>
      </c>
      <c r="D1399" s="7" t="s">
        <v>1448</v>
      </c>
      <c r="E1399" s="7">
        <v>9</v>
      </c>
      <c r="F1399" s="7">
        <f t="shared" si="42"/>
        <v>740</v>
      </c>
      <c r="G1399" s="7">
        <v>1</v>
      </c>
      <c r="H1399" s="7">
        <v>19</v>
      </c>
      <c r="I1399" s="7">
        <v>230</v>
      </c>
      <c r="J1399" s="7" t="s">
        <v>1375</v>
      </c>
    </row>
    <row r="1400" customHeight="1" spans="3:10">
      <c r="C1400" s="7">
        <v>9075</v>
      </c>
      <c r="D1400" s="7" t="s">
        <v>1449</v>
      </c>
      <c r="E1400" s="7">
        <v>9</v>
      </c>
      <c r="F1400" s="7">
        <f t="shared" si="42"/>
        <v>750</v>
      </c>
      <c r="G1400" s="7">
        <v>1</v>
      </c>
      <c r="H1400" s="7">
        <v>20</v>
      </c>
      <c r="I1400" s="7">
        <v>230</v>
      </c>
      <c r="J1400" s="7" t="s">
        <v>1375</v>
      </c>
    </row>
    <row r="1401" customHeight="1" spans="3:10">
      <c r="C1401" s="7">
        <v>9076</v>
      </c>
      <c r="D1401" s="7" t="s">
        <v>1450</v>
      </c>
      <c r="E1401" s="7">
        <v>9</v>
      </c>
      <c r="F1401" s="7">
        <f t="shared" si="42"/>
        <v>760</v>
      </c>
      <c r="G1401" s="7">
        <v>1</v>
      </c>
      <c r="H1401" s="7">
        <v>24</v>
      </c>
      <c r="I1401" s="7">
        <v>230</v>
      </c>
      <c r="J1401" s="7" t="s">
        <v>1375</v>
      </c>
    </row>
    <row r="1402" customHeight="1" spans="3:10">
      <c r="C1402" s="7">
        <v>9077</v>
      </c>
      <c r="D1402" s="7" t="s">
        <v>1451</v>
      </c>
      <c r="E1402" s="7">
        <v>9</v>
      </c>
      <c r="F1402" s="7">
        <f t="shared" si="42"/>
        <v>770</v>
      </c>
      <c r="G1402" s="7">
        <v>1</v>
      </c>
      <c r="H1402" s="7">
        <v>18</v>
      </c>
      <c r="I1402" s="7">
        <v>240</v>
      </c>
      <c r="J1402" s="7" t="s">
        <v>1375</v>
      </c>
    </row>
    <row r="1403" customHeight="1" spans="3:10">
      <c r="C1403" s="7">
        <v>9078</v>
      </c>
      <c r="D1403" s="7" t="s">
        <v>1452</v>
      </c>
      <c r="E1403" s="7">
        <v>9</v>
      </c>
      <c r="F1403" s="7">
        <f t="shared" si="42"/>
        <v>780</v>
      </c>
      <c r="G1403" s="7">
        <v>1</v>
      </c>
      <c r="H1403" s="7">
        <v>19</v>
      </c>
      <c r="I1403" s="7">
        <v>240</v>
      </c>
      <c r="J1403" s="7" t="s">
        <v>1375</v>
      </c>
    </row>
    <row r="1404" customHeight="1" spans="3:10">
      <c r="C1404" s="7">
        <v>9079</v>
      </c>
      <c r="D1404" s="7" t="s">
        <v>1453</v>
      </c>
      <c r="E1404" s="7">
        <v>9</v>
      </c>
      <c r="F1404" s="7">
        <f t="shared" si="42"/>
        <v>790</v>
      </c>
      <c r="G1404" s="7">
        <v>1</v>
      </c>
      <c r="H1404" s="7">
        <v>20</v>
      </c>
      <c r="I1404" s="7">
        <v>240</v>
      </c>
      <c r="J1404" s="7" t="s">
        <v>1375</v>
      </c>
    </row>
    <row r="1405" customHeight="1" spans="3:10">
      <c r="C1405" s="7">
        <v>9080</v>
      </c>
      <c r="D1405" s="7" t="s">
        <v>1454</v>
      </c>
      <c r="E1405" s="7">
        <v>9</v>
      </c>
      <c r="F1405" s="7">
        <f t="shared" si="42"/>
        <v>800</v>
      </c>
      <c r="G1405" s="7">
        <v>1</v>
      </c>
      <c r="H1405" s="7">
        <v>24</v>
      </c>
      <c r="I1405" s="7">
        <v>240</v>
      </c>
      <c r="J1405" s="7" t="s">
        <v>1375</v>
      </c>
    </row>
    <row r="1406" customHeight="1" spans="3:10">
      <c r="C1406" s="7">
        <v>9081</v>
      </c>
      <c r="D1406" s="7" t="s">
        <v>1455</v>
      </c>
      <c r="E1406" s="7">
        <v>9</v>
      </c>
      <c r="F1406" s="7">
        <f t="shared" si="42"/>
        <v>810</v>
      </c>
      <c r="G1406" s="7">
        <v>1</v>
      </c>
      <c r="H1406" s="7">
        <v>18</v>
      </c>
      <c r="I1406" s="7">
        <v>250</v>
      </c>
      <c r="J1406" s="7" t="s">
        <v>1375</v>
      </c>
    </row>
    <row r="1407" customHeight="1" spans="3:10">
      <c r="C1407" s="7">
        <v>9082</v>
      </c>
      <c r="D1407" s="7" t="s">
        <v>1456</v>
      </c>
      <c r="E1407" s="7">
        <v>9</v>
      </c>
      <c r="F1407" s="7">
        <f t="shared" si="42"/>
        <v>820</v>
      </c>
      <c r="G1407" s="7">
        <v>1</v>
      </c>
      <c r="H1407" s="7">
        <v>19</v>
      </c>
      <c r="I1407" s="7">
        <v>250</v>
      </c>
      <c r="J1407" s="7" t="s">
        <v>1375</v>
      </c>
    </row>
    <row r="1408" customHeight="1" spans="3:10">
      <c r="C1408" s="7">
        <v>9083</v>
      </c>
      <c r="D1408" s="7" t="s">
        <v>1457</v>
      </c>
      <c r="E1408" s="7">
        <v>9</v>
      </c>
      <c r="F1408" s="7">
        <f t="shared" si="42"/>
        <v>830</v>
      </c>
      <c r="G1408" s="7">
        <v>1</v>
      </c>
      <c r="H1408" s="7">
        <v>20</v>
      </c>
      <c r="I1408" s="7">
        <v>250</v>
      </c>
      <c r="J1408" s="7" t="s">
        <v>1375</v>
      </c>
    </row>
    <row r="1409" customHeight="1" spans="3:10">
      <c r="C1409" s="7">
        <v>9084</v>
      </c>
      <c r="D1409" s="7" t="s">
        <v>1458</v>
      </c>
      <c r="E1409" s="7">
        <v>9</v>
      </c>
      <c r="F1409" s="7">
        <f t="shared" si="42"/>
        <v>840</v>
      </c>
      <c r="G1409" s="7">
        <v>1</v>
      </c>
      <c r="H1409" s="7">
        <v>24</v>
      </c>
      <c r="I1409" s="7">
        <v>250</v>
      </c>
      <c r="J1409" s="7" t="s">
        <v>1375</v>
      </c>
    </row>
    <row r="1410" customHeight="1" spans="3:10">
      <c r="C1410" s="7">
        <v>9085</v>
      </c>
      <c r="D1410" s="7" t="s">
        <v>1459</v>
      </c>
      <c r="E1410" s="7">
        <v>9</v>
      </c>
      <c r="F1410" s="7">
        <f t="shared" si="42"/>
        <v>850</v>
      </c>
      <c r="G1410" s="7">
        <v>1</v>
      </c>
      <c r="H1410" s="7">
        <v>18</v>
      </c>
      <c r="I1410" s="7">
        <v>260</v>
      </c>
      <c r="J1410" s="7" t="s">
        <v>1375</v>
      </c>
    </row>
    <row r="1411" customHeight="1" spans="3:10">
      <c r="C1411" s="7">
        <v>9086</v>
      </c>
      <c r="D1411" s="7" t="s">
        <v>1460</v>
      </c>
      <c r="E1411" s="7">
        <v>9</v>
      </c>
      <c r="F1411" s="7">
        <f t="shared" si="42"/>
        <v>860</v>
      </c>
      <c r="G1411" s="7">
        <v>1</v>
      </c>
      <c r="H1411" s="7">
        <v>19</v>
      </c>
      <c r="I1411" s="7">
        <v>260</v>
      </c>
      <c r="J1411" s="7" t="s">
        <v>1375</v>
      </c>
    </row>
    <row r="1412" customHeight="1" spans="3:10">
      <c r="C1412" s="7">
        <v>9087</v>
      </c>
      <c r="D1412" s="7" t="s">
        <v>1461</v>
      </c>
      <c r="E1412" s="7">
        <v>9</v>
      </c>
      <c r="F1412" s="7">
        <f t="shared" si="42"/>
        <v>870</v>
      </c>
      <c r="G1412" s="7">
        <v>1</v>
      </c>
      <c r="H1412" s="7">
        <v>20</v>
      </c>
      <c r="I1412" s="7">
        <v>260</v>
      </c>
      <c r="J1412" s="7" t="s">
        <v>1375</v>
      </c>
    </row>
    <row r="1413" customHeight="1" spans="3:10">
      <c r="C1413" s="7">
        <v>9088</v>
      </c>
      <c r="D1413" s="7" t="s">
        <v>1462</v>
      </c>
      <c r="E1413" s="7">
        <v>9</v>
      </c>
      <c r="F1413" s="7">
        <f t="shared" si="42"/>
        <v>880</v>
      </c>
      <c r="G1413" s="7">
        <v>1</v>
      </c>
      <c r="H1413" s="7">
        <v>24</v>
      </c>
      <c r="I1413" s="7">
        <v>260</v>
      </c>
      <c r="J1413" s="7" t="s">
        <v>1375</v>
      </c>
    </row>
    <row r="1414" customHeight="1" spans="3:10">
      <c r="C1414" s="7">
        <v>9089</v>
      </c>
      <c r="D1414" s="7" t="s">
        <v>1463</v>
      </c>
      <c r="E1414" s="7">
        <v>9</v>
      </c>
      <c r="F1414" s="7">
        <f t="shared" si="42"/>
        <v>890</v>
      </c>
      <c r="G1414" s="7">
        <v>1</v>
      </c>
      <c r="H1414" s="7">
        <v>18</v>
      </c>
      <c r="I1414" s="7">
        <v>270</v>
      </c>
      <c r="J1414" s="7" t="s">
        <v>1375</v>
      </c>
    </row>
    <row r="1415" customHeight="1" spans="3:10">
      <c r="C1415" s="7">
        <v>9090</v>
      </c>
      <c r="D1415" s="7" t="s">
        <v>1464</v>
      </c>
      <c r="E1415" s="7">
        <v>9</v>
      </c>
      <c r="F1415" s="7">
        <f t="shared" si="42"/>
        <v>900</v>
      </c>
      <c r="G1415" s="7">
        <v>1</v>
      </c>
      <c r="H1415" s="7">
        <v>19</v>
      </c>
      <c r="I1415" s="7">
        <v>270</v>
      </c>
      <c r="J1415" s="7" t="s">
        <v>1375</v>
      </c>
    </row>
    <row r="1416" customHeight="1" spans="3:10">
      <c r="C1416" s="7">
        <v>9091</v>
      </c>
      <c r="D1416" s="7" t="s">
        <v>1465</v>
      </c>
      <c r="E1416" s="7">
        <v>9</v>
      </c>
      <c r="F1416" s="7">
        <f t="shared" si="42"/>
        <v>910</v>
      </c>
      <c r="G1416" s="7">
        <v>1</v>
      </c>
      <c r="H1416" s="7">
        <v>20</v>
      </c>
      <c r="I1416" s="7">
        <v>270</v>
      </c>
      <c r="J1416" s="7" t="s">
        <v>1375</v>
      </c>
    </row>
    <row r="1417" customHeight="1" spans="3:10">
      <c r="C1417" s="7">
        <v>9092</v>
      </c>
      <c r="D1417" s="7" t="s">
        <v>1466</v>
      </c>
      <c r="E1417" s="7">
        <v>9</v>
      </c>
      <c r="F1417" s="7">
        <f t="shared" si="42"/>
        <v>920</v>
      </c>
      <c r="G1417" s="7">
        <v>1</v>
      </c>
      <c r="H1417" s="7">
        <v>24</v>
      </c>
      <c r="I1417" s="7">
        <v>270</v>
      </c>
      <c r="J1417" s="7" t="s">
        <v>1375</v>
      </c>
    </row>
    <row r="1418" customHeight="1" spans="3:10">
      <c r="C1418" s="7">
        <v>9093</v>
      </c>
      <c r="D1418" s="7" t="s">
        <v>1467</v>
      </c>
      <c r="E1418" s="7">
        <v>9</v>
      </c>
      <c r="F1418" s="7">
        <f t="shared" si="42"/>
        <v>930</v>
      </c>
      <c r="G1418" s="7">
        <v>1</v>
      </c>
      <c r="H1418" s="7">
        <v>18</v>
      </c>
      <c r="I1418" s="7">
        <v>280</v>
      </c>
      <c r="J1418" s="7" t="s">
        <v>1375</v>
      </c>
    </row>
    <row r="1419" customHeight="1" spans="3:10">
      <c r="C1419" s="7">
        <v>9094</v>
      </c>
      <c r="D1419" s="7" t="s">
        <v>1468</v>
      </c>
      <c r="E1419" s="7">
        <v>9</v>
      </c>
      <c r="F1419" s="7">
        <f t="shared" si="42"/>
        <v>940</v>
      </c>
      <c r="G1419" s="7">
        <v>1</v>
      </c>
      <c r="H1419" s="7">
        <v>19</v>
      </c>
      <c r="I1419" s="7">
        <v>280</v>
      </c>
      <c r="J1419" s="7" t="s">
        <v>1375</v>
      </c>
    </row>
    <row r="1420" customHeight="1" spans="3:10">
      <c r="C1420" s="7">
        <v>9095</v>
      </c>
      <c r="D1420" s="7" t="s">
        <v>1469</v>
      </c>
      <c r="E1420" s="7">
        <v>9</v>
      </c>
      <c r="F1420" s="7">
        <f t="shared" si="42"/>
        <v>950</v>
      </c>
      <c r="G1420" s="7">
        <v>1</v>
      </c>
      <c r="H1420" s="7">
        <v>20</v>
      </c>
      <c r="I1420" s="7">
        <v>280</v>
      </c>
      <c r="J1420" s="7" t="s">
        <v>1375</v>
      </c>
    </row>
    <row r="1421" customHeight="1" spans="3:10">
      <c r="C1421" s="7">
        <v>9096</v>
      </c>
      <c r="D1421" s="7" t="s">
        <v>1470</v>
      </c>
      <c r="E1421" s="7">
        <v>9</v>
      </c>
      <c r="F1421" s="7">
        <f t="shared" si="42"/>
        <v>960</v>
      </c>
      <c r="G1421" s="7">
        <v>1</v>
      </c>
      <c r="H1421" s="7">
        <v>24</v>
      </c>
      <c r="I1421" s="7">
        <v>280</v>
      </c>
      <c r="J1421" s="7" t="s">
        <v>1375</v>
      </c>
    </row>
    <row r="1422" customHeight="1" spans="3:10">
      <c r="C1422" s="7">
        <v>9097</v>
      </c>
      <c r="D1422" s="7" t="s">
        <v>1471</v>
      </c>
      <c r="E1422" s="7">
        <v>9</v>
      </c>
      <c r="F1422" s="7">
        <f t="shared" si="42"/>
        <v>970</v>
      </c>
      <c r="G1422" s="7">
        <v>1</v>
      </c>
      <c r="H1422" s="7">
        <v>18</v>
      </c>
      <c r="I1422" s="7">
        <v>290</v>
      </c>
      <c r="J1422" s="7" t="s">
        <v>1375</v>
      </c>
    </row>
    <row r="1423" customHeight="1" spans="3:10">
      <c r="C1423" s="7">
        <v>9098</v>
      </c>
      <c r="D1423" s="7" t="s">
        <v>1472</v>
      </c>
      <c r="E1423" s="7">
        <v>9</v>
      </c>
      <c r="F1423" s="7">
        <f t="shared" si="42"/>
        <v>980</v>
      </c>
      <c r="G1423" s="7">
        <v>1</v>
      </c>
      <c r="H1423" s="7">
        <v>19</v>
      </c>
      <c r="I1423" s="7">
        <v>290</v>
      </c>
      <c r="J1423" s="7" t="s">
        <v>1375</v>
      </c>
    </row>
    <row r="1424" customHeight="1" spans="3:10">
      <c r="C1424" s="7">
        <v>9099</v>
      </c>
      <c r="D1424" s="7" t="s">
        <v>1473</v>
      </c>
      <c r="E1424" s="7">
        <v>9</v>
      </c>
      <c r="F1424" s="7">
        <f t="shared" si="42"/>
        <v>990</v>
      </c>
      <c r="G1424" s="7">
        <v>1</v>
      </c>
      <c r="H1424" s="7">
        <v>20</v>
      </c>
      <c r="I1424" s="7">
        <v>290</v>
      </c>
      <c r="J1424" s="7" t="s">
        <v>1375</v>
      </c>
    </row>
    <row r="1425" customHeight="1" spans="3:10">
      <c r="C1425" s="7">
        <v>9100</v>
      </c>
      <c r="D1425" s="7" t="s">
        <v>1474</v>
      </c>
      <c r="E1425" s="7">
        <v>9</v>
      </c>
      <c r="F1425" s="7">
        <f t="shared" si="42"/>
        <v>1000</v>
      </c>
      <c r="G1425" s="7">
        <v>1</v>
      </c>
      <c r="H1425" s="7">
        <v>24</v>
      </c>
      <c r="I1425" s="7">
        <v>290</v>
      </c>
      <c r="J1425" s="7" t="s">
        <v>1375</v>
      </c>
    </row>
    <row r="1426" customHeight="1" spans="3:10">
      <c r="C1426" s="7">
        <v>9101</v>
      </c>
      <c r="D1426" s="7" t="s">
        <v>1475</v>
      </c>
      <c r="E1426" s="7">
        <v>9</v>
      </c>
      <c r="F1426" s="7">
        <f t="shared" ref="F1426:F1489" si="43">F1425+20</f>
        <v>1020</v>
      </c>
      <c r="G1426" s="7">
        <v>1</v>
      </c>
      <c r="H1426" s="7">
        <v>18</v>
      </c>
      <c r="I1426" s="7">
        <f t="shared" ref="I1426:I1489" si="44">I1422+10</f>
        <v>300</v>
      </c>
      <c r="J1426" s="7" t="s">
        <v>1375</v>
      </c>
    </row>
    <row r="1427" customHeight="1" spans="3:10">
      <c r="C1427" s="7">
        <v>9102</v>
      </c>
      <c r="D1427" s="7" t="s">
        <v>1476</v>
      </c>
      <c r="E1427" s="7">
        <v>9</v>
      </c>
      <c r="F1427" s="7">
        <f t="shared" si="43"/>
        <v>1040</v>
      </c>
      <c r="G1427" s="7">
        <v>1</v>
      </c>
      <c r="H1427" s="7">
        <v>19</v>
      </c>
      <c r="I1427" s="7">
        <f t="shared" si="44"/>
        <v>300</v>
      </c>
      <c r="J1427" s="7" t="s">
        <v>1375</v>
      </c>
    </row>
    <row r="1428" customHeight="1" spans="3:10">
      <c r="C1428" s="7">
        <v>9103</v>
      </c>
      <c r="D1428" s="7" t="s">
        <v>1477</v>
      </c>
      <c r="E1428" s="7">
        <v>9</v>
      </c>
      <c r="F1428" s="7">
        <f t="shared" si="43"/>
        <v>1060</v>
      </c>
      <c r="G1428" s="7">
        <v>1</v>
      </c>
      <c r="H1428" s="7">
        <v>20</v>
      </c>
      <c r="I1428" s="7">
        <f t="shared" si="44"/>
        <v>300</v>
      </c>
      <c r="J1428" s="7" t="s">
        <v>1375</v>
      </c>
    </row>
    <row r="1429" customHeight="1" spans="3:10">
      <c r="C1429" s="7">
        <v>9104</v>
      </c>
      <c r="D1429" s="7" t="s">
        <v>1478</v>
      </c>
      <c r="E1429" s="7">
        <v>9</v>
      </c>
      <c r="F1429" s="7">
        <f t="shared" si="43"/>
        <v>1080</v>
      </c>
      <c r="G1429" s="7">
        <v>1</v>
      </c>
      <c r="H1429" s="7">
        <v>24</v>
      </c>
      <c r="I1429" s="7">
        <f t="shared" si="44"/>
        <v>300</v>
      </c>
      <c r="J1429" s="7" t="s">
        <v>1375</v>
      </c>
    </row>
    <row r="1430" customHeight="1" spans="3:10">
      <c r="C1430" s="7">
        <v>9105</v>
      </c>
      <c r="D1430" s="7" t="s">
        <v>1479</v>
      </c>
      <c r="E1430" s="7">
        <v>9</v>
      </c>
      <c r="F1430" s="7">
        <f t="shared" si="43"/>
        <v>1100</v>
      </c>
      <c r="G1430" s="7">
        <v>1</v>
      </c>
      <c r="H1430" s="7">
        <v>18</v>
      </c>
      <c r="I1430" s="7">
        <f t="shared" si="44"/>
        <v>310</v>
      </c>
      <c r="J1430" s="7" t="s">
        <v>1375</v>
      </c>
    </row>
    <row r="1431" customHeight="1" spans="3:10">
      <c r="C1431" s="7">
        <v>9106</v>
      </c>
      <c r="D1431" s="7" t="s">
        <v>1480</v>
      </c>
      <c r="E1431" s="7">
        <v>9</v>
      </c>
      <c r="F1431" s="7">
        <f t="shared" si="43"/>
        <v>1120</v>
      </c>
      <c r="G1431" s="7">
        <v>1</v>
      </c>
      <c r="H1431" s="7">
        <v>19</v>
      </c>
      <c r="I1431" s="7">
        <f t="shared" si="44"/>
        <v>310</v>
      </c>
      <c r="J1431" s="7" t="s">
        <v>1375</v>
      </c>
    </row>
    <row r="1432" customHeight="1" spans="3:10">
      <c r="C1432" s="7">
        <v>9107</v>
      </c>
      <c r="D1432" s="7" t="s">
        <v>1481</v>
      </c>
      <c r="E1432" s="7">
        <v>9</v>
      </c>
      <c r="F1432" s="7">
        <f t="shared" si="43"/>
        <v>1140</v>
      </c>
      <c r="G1432" s="7">
        <v>1</v>
      </c>
      <c r="H1432" s="7">
        <v>20</v>
      </c>
      <c r="I1432" s="7">
        <f t="shared" si="44"/>
        <v>310</v>
      </c>
      <c r="J1432" s="7" t="s">
        <v>1375</v>
      </c>
    </row>
    <row r="1433" customHeight="1" spans="3:10">
      <c r="C1433" s="7">
        <v>9108</v>
      </c>
      <c r="D1433" s="7" t="s">
        <v>1482</v>
      </c>
      <c r="E1433" s="7">
        <v>9</v>
      </c>
      <c r="F1433" s="7">
        <f t="shared" si="43"/>
        <v>1160</v>
      </c>
      <c r="G1433" s="7">
        <v>1</v>
      </c>
      <c r="H1433" s="7">
        <v>24</v>
      </c>
      <c r="I1433" s="7">
        <f t="shared" si="44"/>
        <v>310</v>
      </c>
      <c r="J1433" s="7" t="s">
        <v>1375</v>
      </c>
    </row>
    <row r="1434" customHeight="1" spans="3:10">
      <c r="C1434" s="7">
        <v>9109</v>
      </c>
      <c r="D1434" s="7" t="s">
        <v>1483</v>
      </c>
      <c r="E1434" s="7">
        <v>9</v>
      </c>
      <c r="F1434" s="7">
        <f t="shared" si="43"/>
        <v>1180</v>
      </c>
      <c r="G1434" s="7">
        <v>1</v>
      </c>
      <c r="H1434" s="7">
        <v>18</v>
      </c>
      <c r="I1434" s="7">
        <f t="shared" si="44"/>
        <v>320</v>
      </c>
      <c r="J1434" s="7" t="s">
        <v>1375</v>
      </c>
    </row>
    <row r="1435" customHeight="1" spans="3:10">
      <c r="C1435" s="7">
        <v>9110</v>
      </c>
      <c r="D1435" s="7" t="s">
        <v>1484</v>
      </c>
      <c r="E1435" s="7">
        <v>9</v>
      </c>
      <c r="F1435" s="7">
        <f t="shared" si="43"/>
        <v>1200</v>
      </c>
      <c r="G1435" s="7">
        <v>1</v>
      </c>
      <c r="H1435" s="7">
        <v>19</v>
      </c>
      <c r="I1435" s="7">
        <f t="shared" si="44"/>
        <v>320</v>
      </c>
      <c r="J1435" s="7" t="s">
        <v>1375</v>
      </c>
    </row>
    <row r="1436" customHeight="1" spans="3:10">
      <c r="C1436" s="7">
        <v>9111</v>
      </c>
      <c r="D1436" s="7" t="s">
        <v>1485</v>
      </c>
      <c r="E1436" s="7">
        <v>9</v>
      </c>
      <c r="F1436" s="7">
        <f t="shared" si="43"/>
        <v>1220</v>
      </c>
      <c r="G1436" s="7">
        <v>1</v>
      </c>
      <c r="H1436" s="7">
        <v>20</v>
      </c>
      <c r="I1436" s="7">
        <f t="shared" si="44"/>
        <v>320</v>
      </c>
      <c r="J1436" s="7" t="s">
        <v>1375</v>
      </c>
    </row>
    <row r="1437" customHeight="1" spans="3:10">
      <c r="C1437" s="7">
        <v>9112</v>
      </c>
      <c r="D1437" s="7" t="s">
        <v>1486</v>
      </c>
      <c r="E1437" s="7">
        <v>9</v>
      </c>
      <c r="F1437" s="7">
        <f t="shared" si="43"/>
        <v>1240</v>
      </c>
      <c r="G1437" s="7">
        <v>1</v>
      </c>
      <c r="H1437" s="7">
        <v>24</v>
      </c>
      <c r="I1437" s="7">
        <f t="shared" si="44"/>
        <v>320</v>
      </c>
      <c r="J1437" s="7" t="s">
        <v>1375</v>
      </c>
    </row>
    <row r="1438" customHeight="1" spans="3:10">
      <c r="C1438" s="7">
        <v>9113</v>
      </c>
      <c r="D1438" s="7" t="s">
        <v>1487</v>
      </c>
      <c r="E1438" s="7">
        <v>9</v>
      </c>
      <c r="F1438" s="7">
        <f t="shared" si="43"/>
        <v>1260</v>
      </c>
      <c r="G1438" s="7">
        <v>1</v>
      </c>
      <c r="H1438" s="7">
        <v>18</v>
      </c>
      <c r="I1438" s="7">
        <f t="shared" si="44"/>
        <v>330</v>
      </c>
      <c r="J1438" s="7" t="s">
        <v>1375</v>
      </c>
    </row>
    <row r="1439" customHeight="1" spans="3:10">
      <c r="C1439" s="7">
        <v>9114</v>
      </c>
      <c r="D1439" s="7" t="s">
        <v>1488</v>
      </c>
      <c r="E1439" s="7">
        <v>9</v>
      </c>
      <c r="F1439" s="7">
        <f t="shared" si="43"/>
        <v>1280</v>
      </c>
      <c r="G1439" s="7">
        <v>1</v>
      </c>
      <c r="H1439" s="7">
        <v>19</v>
      </c>
      <c r="I1439" s="7">
        <f t="shared" si="44"/>
        <v>330</v>
      </c>
      <c r="J1439" s="7" t="s">
        <v>1375</v>
      </c>
    </row>
    <row r="1440" customHeight="1" spans="3:10">
      <c r="C1440" s="7">
        <v>9115</v>
      </c>
      <c r="D1440" s="7" t="s">
        <v>1489</v>
      </c>
      <c r="E1440" s="7">
        <v>9</v>
      </c>
      <c r="F1440" s="7">
        <f t="shared" si="43"/>
        <v>1300</v>
      </c>
      <c r="G1440" s="7">
        <v>1</v>
      </c>
      <c r="H1440" s="7">
        <v>20</v>
      </c>
      <c r="I1440" s="7">
        <f t="shared" si="44"/>
        <v>330</v>
      </c>
      <c r="J1440" s="7" t="s">
        <v>1375</v>
      </c>
    </row>
    <row r="1441" customHeight="1" spans="3:10">
      <c r="C1441" s="7">
        <v>9116</v>
      </c>
      <c r="D1441" s="7" t="s">
        <v>1490</v>
      </c>
      <c r="E1441" s="7">
        <v>9</v>
      </c>
      <c r="F1441" s="7">
        <f t="shared" si="43"/>
        <v>1320</v>
      </c>
      <c r="G1441" s="7">
        <v>1</v>
      </c>
      <c r="H1441" s="7">
        <v>24</v>
      </c>
      <c r="I1441" s="7">
        <f t="shared" si="44"/>
        <v>330</v>
      </c>
      <c r="J1441" s="7" t="s">
        <v>1375</v>
      </c>
    </row>
    <row r="1442" customHeight="1" spans="3:10">
      <c r="C1442" s="7">
        <v>9117</v>
      </c>
      <c r="D1442" s="7" t="s">
        <v>1491</v>
      </c>
      <c r="E1442" s="7">
        <v>9</v>
      </c>
      <c r="F1442" s="7">
        <f t="shared" si="43"/>
        <v>1340</v>
      </c>
      <c r="G1442" s="7">
        <v>1</v>
      </c>
      <c r="H1442" s="7">
        <v>18</v>
      </c>
      <c r="I1442" s="7">
        <f t="shared" si="44"/>
        <v>340</v>
      </c>
      <c r="J1442" s="7" t="s">
        <v>1375</v>
      </c>
    </row>
    <row r="1443" customHeight="1" spans="3:10">
      <c r="C1443" s="7">
        <v>9118</v>
      </c>
      <c r="D1443" s="7" t="s">
        <v>1492</v>
      </c>
      <c r="E1443" s="7">
        <v>9</v>
      </c>
      <c r="F1443" s="7">
        <f t="shared" si="43"/>
        <v>1360</v>
      </c>
      <c r="G1443" s="7">
        <v>1</v>
      </c>
      <c r="H1443" s="7">
        <v>19</v>
      </c>
      <c r="I1443" s="7">
        <f t="shared" si="44"/>
        <v>340</v>
      </c>
      <c r="J1443" s="7" t="s">
        <v>1375</v>
      </c>
    </row>
    <row r="1444" customHeight="1" spans="3:10">
      <c r="C1444" s="7">
        <v>9119</v>
      </c>
      <c r="D1444" s="7" t="s">
        <v>1493</v>
      </c>
      <c r="E1444" s="7">
        <v>9</v>
      </c>
      <c r="F1444" s="7">
        <f t="shared" si="43"/>
        <v>1380</v>
      </c>
      <c r="G1444" s="7">
        <v>1</v>
      </c>
      <c r="H1444" s="7">
        <v>20</v>
      </c>
      <c r="I1444" s="7">
        <f t="shared" si="44"/>
        <v>340</v>
      </c>
      <c r="J1444" s="7" t="s">
        <v>1375</v>
      </c>
    </row>
    <row r="1445" customHeight="1" spans="3:10">
      <c r="C1445" s="7">
        <v>9120</v>
      </c>
      <c r="D1445" s="7" t="s">
        <v>1494</v>
      </c>
      <c r="E1445" s="7">
        <v>9</v>
      </c>
      <c r="F1445" s="7">
        <f t="shared" si="43"/>
        <v>1400</v>
      </c>
      <c r="G1445" s="7">
        <v>1</v>
      </c>
      <c r="H1445" s="7">
        <v>24</v>
      </c>
      <c r="I1445" s="7">
        <f t="shared" si="44"/>
        <v>340</v>
      </c>
      <c r="J1445" s="7" t="s">
        <v>1375</v>
      </c>
    </row>
    <row r="1446" customHeight="1" spans="3:10">
      <c r="C1446" s="7">
        <v>9121</v>
      </c>
      <c r="D1446" s="7" t="s">
        <v>1495</v>
      </c>
      <c r="E1446" s="7">
        <v>9</v>
      </c>
      <c r="F1446" s="7">
        <f t="shared" si="43"/>
        <v>1420</v>
      </c>
      <c r="G1446" s="7">
        <v>1</v>
      </c>
      <c r="H1446" s="7">
        <v>18</v>
      </c>
      <c r="I1446" s="7">
        <f t="shared" si="44"/>
        <v>350</v>
      </c>
      <c r="J1446" s="7" t="s">
        <v>1375</v>
      </c>
    </row>
    <row r="1447" customHeight="1" spans="3:10">
      <c r="C1447" s="7">
        <v>9122</v>
      </c>
      <c r="D1447" s="7" t="s">
        <v>1496</v>
      </c>
      <c r="E1447" s="7">
        <v>9</v>
      </c>
      <c r="F1447" s="7">
        <f t="shared" si="43"/>
        <v>1440</v>
      </c>
      <c r="G1447" s="7">
        <v>1</v>
      </c>
      <c r="H1447" s="7">
        <v>19</v>
      </c>
      <c r="I1447" s="7">
        <f t="shared" si="44"/>
        <v>350</v>
      </c>
      <c r="J1447" s="7" t="s">
        <v>1375</v>
      </c>
    </row>
    <row r="1448" customHeight="1" spans="3:10">
      <c r="C1448" s="7">
        <v>9123</v>
      </c>
      <c r="D1448" s="7" t="s">
        <v>1497</v>
      </c>
      <c r="E1448" s="7">
        <v>9</v>
      </c>
      <c r="F1448" s="7">
        <f t="shared" si="43"/>
        <v>1460</v>
      </c>
      <c r="G1448" s="7">
        <v>1</v>
      </c>
      <c r="H1448" s="7">
        <v>20</v>
      </c>
      <c r="I1448" s="7">
        <f t="shared" si="44"/>
        <v>350</v>
      </c>
      <c r="J1448" s="7" t="s">
        <v>1375</v>
      </c>
    </row>
    <row r="1449" customHeight="1" spans="3:10">
      <c r="C1449" s="7">
        <v>9124</v>
      </c>
      <c r="D1449" s="7" t="s">
        <v>1498</v>
      </c>
      <c r="E1449" s="7">
        <v>9</v>
      </c>
      <c r="F1449" s="7">
        <f t="shared" si="43"/>
        <v>1480</v>
      </c>
      <c r="G1449" s="7">
        <v>1</v>
      </c>
      <c r="H1449" s="7">
        <v>24</v>
      </c>
      <c r="I1449" s="7">
        <f t="shared" si="44"/>
        <v>350</v>
      </c>
      <c r="J1449" s="7" t="s">
        <v>1375</v>
      </c>
    </row>
    <row r="1450" customHeight="1" spans="3:10">
      <c r="C1450" s="7">
        <v>9125</v>
      </c>
      <c r="D1450" s="7" t="s">
        <v>1499</v>
      </c>
      <c r="E1450" s="7">
        <v>9</v>
      </c>
      <c r="F1450" s="7">
        <f t="shared" si="43"/>
        <v>1500</v>
      </c>
      <c r="G1450" s="7">
        <v>1</v>
      </c>
      <c r="H1450" s="7">
        <v>18</v>
      </c>
      <c r="I1450" s="7">
        <f t="shared" si="44"/>
        <v>360</v>
      </c>
      <c r="J1450" s="7" t="s">
        <v>1375</v>
      </c>
    </row>
    <row r="1451" customHeight="1" spans="3:10">
      <c r="C1451" s="7">
        <v>9126</v>
      </c>
      <c r="D1451" s="7" t="s">
        <v>1500</v>
      </c>
      <c r="E1451" s="7">
        <v>9</v>
      </c>
      <c r="F1451" s="7">
        <f t="shared" si="43"/>
        <v>1520</v>
      </c>
      <c r="G1451" s="7">
        <v>1</v>
      </c>
      <c r="H1451" s="7">
        <v>19</v>
      </c>
      <c r="I1451" s="7">
        <f t="shared" si="44"/>
        <v>360</v>
      </c>
      <c r="J1451" s="7" t="s">
        <v>1375</v>
      </c>
    </row>
    <row r="1452" customHeight="1" spans="3:10">
      <c r="C1452" s="7">
        <v>9127</v>
      </c>
      <c r="D1452" s="7" t="s">
        <v>1501</v>
      </c>
      <c r="E1452" s="7">
        <v>9</v>
      </c>
      <c r="F1452" s="7">
        <f t="shared" si="43"/>
        <v>1540</v>
      </c>
      <c r="G1452" s="7">
        <v>1</v>
      </c>
      <c r="H1452" s="7">
        <v>20</v>
      </c>
      <c r="I1452" s="7">
        <f t="shared" si="44"/>
        <v>360</v>
      </c>
      <c r="J1452" s="7" t="s">
        <v>1375</v>
      </c>
    </row>
    <row r="1453" customHeight="1" spans="3:10">
      <c r="C1453" s="7">
        <v>9128</v>
      </c>
      <c r="D1453" s="7" t="s">
        <v>1502</v>
      </c>
      <c r="E1453" s="7">
        <v>9</v>
      </c>
      <c r="F1453" s="7">
        <f t="shared" si="43"/>
        <v>1560</v>
      </c>
      <c r="G1453" s="7">
        <v>1</v>
      </c>
      <c r="H1453" s="7">
        <v>24</v>
      </c>
      <c r="I1453" s="7">
        <f t="shared" si="44"/>
        <v>360</v>
      </c>
      <c r="J1453" s="7" t="s">
        <v>1375</v>
      </c>
    </row>
    <row r="1454" customHeight="1" spans="3:10">
      <c r="C1454" s="7">
        <v>9129</v>
      </c>
      <c r="D1454" s="7" t="s">
        <v>1503</v>
      </c>
      <c r="E1454" s="7">
        <v>9</v>
      </c>
      <c r="F1454" s="7">
        <f t="shared" si="43"/>
        <v>1580</v>
      </c>
      <c r="G1454" s="7">
        <v>1</v>
      </c>
      <c r="H1454" s="7">
        <v>18</v>
      </c>
      <c r="I1454" s="7">
        <f t="shared" si="44"/>
        <v>370</v>
      </c>
      <c r="J1454" s="7" t="s">
        <v>1375</v>
      </c>
    </row>
    <row r="1455" customHeight="1" spans="3:10">
      <c r="C1455" s="7">
        <v>9130</v>
      </c>
      <c r="D1455" s="7" t="s">
        <v>1504</v>
      </c>
      <c r="E1455" s="7">
        <v>9</v>
      </c>
      <c r="F1455" s="7">
        <f t="shared" si="43"/>
        <v>1600</v>
      </c>
      <c r="G1455" s="7">
        <v>1</v>
      </c>
      <c r="H1455" s="7">
        <v>19</v>
      </c>
      <c r="I1455" s="7">
        <f t="shared" si="44"/>
        <v>370</v>
      </c>
      <c r="J1455" s="7" t="s">
        <v>1375</v>
      </c>
    </row>
    <row r="1456" customHeight="1" spans="3:10">
      <c r="C1456" s="7">
        <v>9131</v>
      </c>
      <c r="D1456" s="7" t="s">
        <v>1505</v>
      </c>
      <c r="E1456" s="7">
        <v>9</v>
      </c>
      <c r="F1456" s="7">
        <f t="shared" si="43"/>
        <v>1620</v>
      </c>
      <c r="G1456" s="7">
        <v>1</v>
      </c>
      <c r="H1456" s="7">
        <v>20</v>
      </c>
      <c r="I1456" s="7">
        <f t="shared" si="44"/>
        <v>370</v>
      </c>
      <c r="J1456" s="7" t="s">
        <v>1375</v>
      </c>
    </row>
    <row r="1457" customHeight="1" spans="3:10">
      <c r="C1457" s="7">
        <v>9132</v>
      </c>
      <c r="D1457" s="7" t="s">
        <v>1506</v>
      </c>
      <c r="E1457" s="7">
        <v>9</v>
      </c>
      <c r="F1457" s="7">
        <f t="shared" si="43"/>
        <v>1640</v>
      </c>
      <c r="G1457" s="7">
        <v>1</v>
      </c>
      <c r="H1457" s="7">
        <v>24</v>
      </c>
      <c r="I1457" s="7">
        <f t="shared" si="44"/>
        <v>370</v>
      </c>
      <c r="J1457" s="7" t="s">
        <v>1375</v>
      </c>
    </row>
    <row r="1458" customHeight="1" spans="3:10">
      <c r="C1458" s="7">
        <v>9133</v>
      </c>
      <c r="D1458" s="7" t="s">
        <v>1507</v>
      </c>
      <c r="E1458" s="7">
        <v>9</v>
      </c>
      <c r="F1458" s="7">
        <f t="shared" si="43"/>
        <v>1660</v>
      </c>
      <c r="G1458" s="7">
        <v>1</v>
      </c>
      <c r="H1458" s="7">
        <v>18</v>
      </c>
      <c r="I1458" s="7">
        <f t="shared" si="44"/>
        <v>380</v>
      </c>
      <c r="J1458" s="7" t="s">
        <v>1375</v>
      </c>
    </row>
    <row r="1459" customHeight="1" spans="3:10">
      <c r="C1459" s="7">
        <v>9134</v>
      </c>
      <c r="D1459" s="7" t="s">
        <v>1508</v>
      </c>
      <c r="E1459" s="7">
        <v>9</v>
      </c>
      <c r="F1459" s="7">
        <f t="shared" si="43"/>
        <v>1680</v>
      </c>
      <c r="G1459" s="7">
        <v>1</v>
      </c>
      <c r="H1459" s="7">
        <v>19</v>
      </c>
      <c r="I1459" s="7">
        <f t="shared" si="44"/>
        <v>380</v>
      </c>
      <c r="J1459" s="7" t="s">
        <v>1375</v>
      </c>
    </row>
    <row r="1460" customHeight="1" spans="3:10">
      <c r="C1460" s="7">
        <v>9135</v>
      </c>
      <c r="D1460" s="7" t="s">
        <v>1509</v>
      </c>
      <c r="E1460" s="7">
        <v>9</v>
      </c>
      <c r="F1460" s="7">
        <f t="shared" si="43"/>
        <v>1700</v>
      </c>
      <c r="G1460" s="7">
        <v>1</v>
      </c>
      <c r="H1460" s="7">
        <v>20</v>
      </c>
      <c r="I1460" s="7">
        <f t="shared" si="44"/>
        <v>380</v>
      </c>
      <c r="J1460" s="7" t="s">
        <v>1375</v>
      </c>
    </row>
    <row r="1461" customHeight="1" spans="3:10">
      <c r="C1461" s="7">
        <v>9136</v>
      </c>
      <c r="D1461" s="7" t="s">
        <v>1510</v>
      </c>
      <c r="E1461" s="7">
        <v>9</v>
      </c>
      <c r="F1461" s="7">
        <f t="shared" si="43"/>
        <v>1720</v>
      </c>
      <c r="G1461" s="7">
        <v>1</v>
      </c>
      <c r="H1461" s="7">
        <v>24</v>
      </c>
      <c r="I1461" s="7">
        <f t="shared" si="44"/>
        <v>380</v>
      </c>
      <c r="J1461" s="7" t="s">
        <v>1375</v>
      </c>
    </row>
    <row r="1462" customHeight="1" spans="3:10">
      <c r="C1462" s="7">
        <v>9137</v>
      </c>
      <c r="D1462" s="7" t="s">
        <v>1511</v>
      </c>
      <c r="E1462" s="7">
        <v>9</v>
      </c>
      <c r="F1462" s="7">
        <f t="shared" si="43"/>
        <v>1740</v>
      </c>
      <c r="G1462" s="7">
        <v>1</v>
      </c>
      <c r="H1462" s="7">
        <v>18</v>
      </c>
      <c r="I1462" s="7">
        <f t="shared" si="44"/>
        <v>390</v>
      </c>
      <c r="J1462" s="7" t="s">
        <v>1375</v>
      </c>
    </row>
    <row r="1463" customHeight="1" spans="3:10">
      <c r="C1463" s="7">
        <v>9138</v>
      </c>
      <c r="D1463" s="7" t="s">
        <v>1512</v>
      </c>
      <c r="E1463" s="7">
        <v>9</v>
      </c>
      <c r="F1463" s="7">
        <f t="shared" si="43"/>
        <v>1760</v>
      </c>
      <c r="G1463" s="7">
        <v>1</v>
      </c>
      <c r="H1463" s="7">
        <v>19</v>
      </c>
      <c r="I1463" s="7">
        <f t="shared" si="44"/>
        <v>390</v>
      </c>
      <c r="J1463" s="7" t="s">
        <v>1375</v>
      </c>
    </row>
    <row r="1464" customHeight="1" spans="3:10">
      <c r="C1464" s="7">
        <v>9139</v>
      </c>
      <c r="D1464" s="7" t="s">
        <v>1513</v>
      </c>
      <c r="E1464" s="7">
        <v>9</v>
      </c>
      <c r="F1464" s="7">
        <f t="shared" si="43"/>
        <v>1780</v>
      </c>
      <c r="G1464" s="7">
        <v>1</v>
      </c>
      <c r="H1464" s="7">
        <v>20</v>
      </c>
      <c r="I1464" s="7">
        <f t="shared" si="44"/>
        <v>390</v>
      </c>
      <c r="J1464" s="7" t="s">
        <v>1375</v>
      </c>
    </row>
    <row r="1465" customHeight="1" spans="3:10">
      <c r="C1465" s="7">
        <v>9140</v>
      </c>
      <c r="D1465" s="7" t="s">
        <v>1514</v>
      </c>
      <c r="E1465" s="7">
        <v>9</v>
      </c>
      <c r="F1465" s="7">
        <f t="shared" si="43"/>
        <v>1800</v>
      </c>
      <c r="G1465" s="7">
        <v>1</v>
      </c>
      <c r="H1465" s="7">
        <v>24</v>
      </c>
      <c r="I1465" s="7">
        <f t="shared" si="44"/>
        <v>390</v>
      </c>
      <c r="J1465" s="7" t="s">
        <v>1375</v>
      </c>
    </row>
    <row r="1466" customHeight="1" spans="3:10">
      <c r="C1466" s="7">
        <v>9141</v>
      </c>
      <c r="D1466" s="7" t="s">
        <v>1515</v>
      </c>
      <c r="E1466" s="7">
        <v>9</v>
      </c>
      <c r="F1466" s="7">
        <f t="shared" si="43"/>
        <v>1820</v>
      </c>
      <c r="G1466" s="7">
        <v>1</v>
      </c>
      <c r="H1466" s="7">
        <v>18</v>
      </c>
      <c r="I1466" s="7">
        <f t="shared" si="44"/>
        <v>400</v>
      </c>
      <c r="J1466" s="7" t="s">
        <v>1375</v>
      </c>
    </row>
    <row r="1467" customHeight="1" spans="3:10">
      <c r="C1467" s="7">
        <v>9142</v>
      </c>
      <c r="D1467" s="7" t="s">
        <v>1516</v>
      </c>
      <c r="E1467" s="7">
        <v>9</v>
      </c>
      <c r="F1467" s="7">
        <f t="shared" si="43"/>
        <v>1840</v>
      </c>
      <c r="G1467" s="7">
        <v>1</v>
      </c>
      <c r="H1467" s="7">
        <v>19</v>
      </c>
      <c r="I1467" s="7">
        <f t="shared" si="44"/>
        <v>400</v>
      </c>
      <c r="J1467" s="7" t="s">
        <v>1375</v>
      </c>
    </row>
    <row r="1468" customHeight="1" spans="3:10">
      <c r="C1468" s="7">
        <v>9143</v>
      </c>
      <c r="D1468" s="7" t="s">
        <v>1517</v>
      </c>
      <c r="E1468" s="7">
        <v>9</v>
      </c>
      <c r="F1468" s="7">
        <f t="shared" si="43"/>
        <v>1860</v>
      </c>
      <c r="G1468" s="7">
        <v>1</v>
      </c>
      <c r="H1468" s="7">
        <v>20</v>
      </c>
      <c r="I1468" s="7">
        <f t="shared" si="44"/>
        <v>400</v>
      </c>
      <c r="J1468" s="7" t="s">
        <v>1375</v>
      </c>
    </row>
    <row r="1469" customHeight="1" spans="3:10">
      <c r="C1469" s="7">
        <v>9144</v>
      </c>
      <c r="D1469" s="7" t="s">
        <v>1518</v>
      </c>
      <c r="E1469" s="7">
        <v>9</v>
      </c>
      <c r="F1469" s="7">
        <f t="shared" si="43"/>
        <v>1880</v>
      </c>
      <c r="G1469" s="7">
        <v>1</v>
      </c>
      <c r="H1469" s="7">
        <v>24</v>
      </c>
      <c r="I1469" s="7">
        <f t="shared" si="44"/>
        <v>400</v>
      </c>
      <c r="J1469" s="7" t="s">
        <v>1375</v>
      </c>
    </row>
    <row r="1470" customHeight="1" spans="3:10">
      <c r="C1470" s="7">
        <v>9145</v>
      </c>
      <c r="D1470" s="7" t="s">
        <v>1519</v>
      </c>
      <c r="E1470" s="7">
        <v>9</v>
      </c>
      <c r="F1470" s="7">
        <f t="shared" si="43"/>
        <v>1900</v>
      </c>
      <c r="G1470" s="7">
        <v>1</v>
      </c>
      <c r="H1470" s="7">
        <v>18</v>
      </c>
      <c r="I1470" s="7">
        <f t="shared" si="44"/>
        <v>410</v>
      </c>
      <c r="J1470" s="7" t="s">
        <v>1375</v>
      </c>
    </row>
    <row r="1471" customHeight="1" spans="3:10">
      <c r="C1471" s="7">
        <v>9146</v>
      </c>
      <c r="D1471" s="7" t="s">
        <v>1520</v>
      </c>
      <c r="E1471" s="7">
        <v>9</v>
      </c>
      <c r="F1471" s="7">
        <f t="shared" si="43"/>
        <v>1920</v>
      </c>
      <c r="G1471" s="7">
        <v>1</v>
      </c>
      <c r="H1471" s="7">
        <v>19</v>
      </c>
      <c r="I1471" s="7">
        <f t="shared" si="44"/>
        <v>410</v>
      </c>
      <c r="J1471" s="7" t="s">
        <v>1375</v>
      </c>
    </row>
    <row r="1472" customHeight="1" spans="3:10">
      <c r="C1472" s="7">
        <v>9147</v>
      </c>
      <c r="D1472" s="7" t="s">
        <v>1521</v>
      </c>
      <c r="E1472" s="7">
        <v>9</v>
      </c>
      <c r="F1472" s="7">
        <f t="shared" si="43"/>
        <v>1940</v>
      </c>
      <c r="G1472" s="7">
        <v>1</v>
      </c>
      <c r="H1472" s="7">
        <v>20</v>
      </c>
      <c r="I1472" s="7">
        <f t="shared" si="44"/>
        <v>410</v>
      </c>
      <c r="J1472" s="7" t="s">
        <v>1375</v>
      </c>
    </row>
    <row r="1473" customHeight="1" spans="3:10">
      <c r="C1473" s="7">
        <v>9148</v>
      </c>
      <c r="D1473" s="7" t="s">
        <v>1522</v>
      </c>
      <c r="E1473" s="7">
        <v>9</v>
      </c>
      <c r="F1473" s="7">
        <f t="shared" si="43"/>
        <v>1960</v>
      </c>
      <c r="G1473" s="7">
        <v>1</v>
      </c>
      <c r="H1473" s="7">
        <v>24</v>
      </c>
      <c r="I1473" s="7">
        <f t="shared" si="44"/>
        <v>410</v>
      </c>
      <c r="J1473" s="7" t="s">
        <v>1375</v>
      </c>
    </row>
    <row r="1474" customHeight="1" spans="3:10">
      <c r="C1474" s="7">
        <v>9149</v>
      </c>
      <c r="D1474" s="7" t="s">
        <v>1523</v>
      </c>
      <c r="E1474" s="7">
        <v>9</v>
      </c>
      <c r="F1474" s="7">
        <f t="shared" si="43"/>
        <v>1980</v>
      </c>
      <c r="G1474" s="7">
        <v>1</v>
      </c>
      <c r="H1474" s="7">
        <v>18</v>
      </c>
      <c r="I1474" s="7">
        <f t="shared" si="44"/>
        <v>420</v>
      </c>
      <c r="J1474" s="7" t="s">
        <v>1375</v>
      </c>
    </row>
    <row r="1475" customHeight="1" spans="3:10">
      <c r="C1475" s="7">
        <v>9150</v>
      </c>
      <c r="D1475" s="7" t="s">
        <v>1524</v>
      </c>
      <c r="E1475" s="7">
        <v>9</v>
      </c>
      <c r="F1475" s="7">
        <f t="shared" si="43"/>
        <v>2000</v>
      </c>
      <c r="G1475" s="7">
        <v>1</v>
      </c>
      <c r="H1475" s="7">
        <v>19</v>
      </c>
      <c r="I1475" s="7">
        <f t="shared" si="44"/>
        <v>420</v>
      </c>
      <c r="J1475" s="7" t="s">
        <v>1375</v>
      </c>
    </row>
    <row r="1476" customHeight="1" spans="3:10">
      <c r="C1476" s="7">
        <v>9151</v>
      </c>
      <c r="D1476" s="7" t="s">
        <v>1525</v>
      </c>
      <c r="E1476" s="7">
        <v>9</v>
      </c>
      <c r="F1476" s="7">
        <f t="shared" si="43"/>
        <v>2020</v>
      </c>
      <c r="G1476" s="7">
        <v>1</v>
      </c>
      <c r="H1476" s="7">
        <v>20</v>
      </c>
      <c r="I1476" s="7">
        <f t="shared" si="44"/>
        <v>420</v>
      </c>
      <c r="J1476" s="7" t="s">
        <v>1375</v>
      </c>
    </row>
    <row r="1477" customHeight="1" spans="3:10">
      <c r="C1477" s="7">
        <v>9152</v>
      </c>
      <c r="D1477" s="7" t="s">
        <v>1526</v>
      </c>
      <c r="E1477" s="7">
        <v>9</v>
      </c>
      <c r="F1477" s="7">
        <f t="shared" si="43"/>
        <v>2040</v>
      </c>
      <c r="G1477" s="7">
        <v>1</v>
      </c>
      <c r="H1477" s="7">
        <v>24</v>
      </c>
      <c r="I1477" s="7">
        <f t="shared" si="44"/>
        <v>420</v>
      </c>
      <c r="J1477" s="7" t="s">
        <v>1375</v>
      </c>
    </row>
    <row r="1478" customHeight="1" spans="3:10">
      <c r="C1478" s="7">
        <v>9153</v>
      </c>
      <c r="D1478" s="7" t="s">
        <v>1527</v>
      </c>
      <c r="E1478" s="7">
        <v>9</v>
      </c>
      <c r="F1478" s="7">
        <f t="shared" si="43"/>
        <v>2060</v>
      </c>
      <c r="G1478" s="7">
        <v>1</v>
      </c>
      <c r="H1478" s="7">
        <v>18</v>
      </c>
      <c r="I1478" s="7">
        <f t="shared" si="44"/>
        <v>430</v>
      </c>
      <c r="J1478" s="7" t="s">
        <v>1375</v>
      </c>
    </row>
    <row r="1479" customHeight="1" spans="3:10">
      <c r="C1479" s="7">
        <v>9154</v>
      </c>
      <c r="D1479" s="7" t="s">
        <v>1528</v>
      </c>
      <c r="E1479" s="7">
        <v>9</v>
      </c>
      <c r="F1479" s="7">
        <f t="shared" si="43"/>
        <v>2080</v>
      </c>
      <c r="G1479" s="7">
        <v>1</v>
      </c>
      <c r="H1479" s="7">
        <v>19</v>
      </c>
      <c r="I1479" s="7">
        <f t="shared" si="44"/>
        <v>430</v>
      </c>
      <c r="J1479" s="7" t="s">
        <v>1375</v>
      </c>
    </row>
    <row r="1480" customHeight="1" spans="3:10">
      <c r="C1480" s="7">
        <v>9155</v>
      </c>
      <c r="D1480" s="7" t="s">
        <v>1529</v>
      </c>
      <c r="E1480" s="7">
        <v>9</v>
      </c>
      <c r="F1480" s="7">
        <f t="shared" si="43"/>
        <v>2100</v>
      </c>
      <c r="G1480" s="7">
        <v>1</v>
      </c>
      <c r="H1480" s="7">
        <v>20</v>
      </c>
      <c r="I1480" s="7">
        <f t="shared" si="44"/>
        <v>430</v>
      </c>
      <c r="J1480" s="7" t="s">
        <v>1375</v>
      </c>
    </row>
    <row r="1481" customHeight="1" spans="3:10">
      <c r="C1481" s="7">
        <v>9156</v>
      </c>
      <c r="D1481" s="7" t="s">
        <v>1530</v>
      </c>
      <c r="E1481" s="7">
        <v>9</v>
      </c>
      <c r="F1481" s="7">
        <f t="shared" si="43"/>
        <v>2120</v>
      </c>
      <c r="G1481" s="7">
        <v>1</v>
      </c>
      <c r="H1481" s="7">
        <v>24</v>
      </c>
      <c r="I1481" s="7">
        <f t="shared" si="44"/>
        <v>430</v>
      </c>
      <c r="J1481" s="7" t="s">
        <v>1375</v>
      </c>
    </row>
    <row r="1482" customHeight="1" spans="3:10">
      <c r="C1482" s="7">
        <v>9157</v>
      </c>
      <c r="D1482" s="7" t="s">
        <v>1531</v>
      </c>
      <c r="E1482" s="7">
        <v>9</v>
      </c>
      <c r="F1482" s="7">
        <f t="shared" si="43"/>
        <v>2140</v>
      </c>
      <c r="G1482" s="7">
        <v>1</v>
      </c>
      <c r="H1482" s="7">
        <v>18</v>
      </c>
      <c r="I1482" s="7">
        <f t="shared" si="44"/>
        <v>440</v>
      </c>
      <c r="J1482" s="7" t="s">
        <v>1375</v>
      </c>
    </row>
    <row r="1483" customHeight="1" spans="3:10">
      <c r="C1483" s="7">
        <v>9158</v>
      </c>
      <c r="D1483" s="7" t="s">
        <v>1532</v>
      </c>
      <c r="E1483" s="7">
        <v>9</v>
      </c>
      <c r="F1483" s="7">
        <f t="shared" si="43"/>
        <v>2160</v>
      </c>
      <c r="G1483" s="7">
        <v>1</v>
      </c>
      <c r="H1483" s="7">
        <v>19</v>
      </c>
      <c r="I1483" s="7">
        <f t="shared" si="44"/>
        <v>440</v>
      </c>
      <c r="J1483" s="7" t="s">
        <v>1375</v>
      </c>
    </row>
    <row r="1484" customHeight="1" spans="3:10">
      <c r="C1484" s="7">
        <v>9159</v>
      </c>
      <c r="D1484" s="7" t="s">
        <v>1533</v>
      </c>
      <c r="E1484" s="7">
        <v>9</v>
      </c>
      <c r="F1484" s="7">
        <f t="shared" si="43"/>
        <v>2180</v>
      </c>
      <c r="G1484" s="7">
        <v>1</v>
      </c>
      <c r="H1484" s="7">
        <v>20</v>
      </c>
      <c r="I1484" s="7">
        <f t="shared" si="44"/>
        <v>440</v>
      </c>
      <c r="J1484" s="7" t="s">
        <v>1375</v>
      </c>
    </row>
    <row r="1485" customHeight="1" spans="3:10">
      <c r="C1485" s="7">
        <v>9160</v>
      </c>
      <c r="D1485" s="7" t="s">
        <v>1534</v>
      </c>
      <c r="E1485" s="7">
        <v>9</v>
      </c>
      <c r="F1485" s="7">
        <f t="shared" si="43"/>
        <v>2200</v>
      </c>
      <c r="G1485" s="7">
        <v>1</v>
      </c>
      <c r="H1485" s="7">
        <v>24</v>
      </c>
      <c r="I1485" s="7">
        <f t="shared" si="44"/>
        <v>440</v>
      </c>
      <c r="J1485" s="7" t="s">
        <v>1375</v>
      </c>
    </row>
    <row r="1486" customHeight="1" spans="3:10">
      <c r="C1486" s="7">
        <v>9161</v>
      </c>
      <c r="D1486" s="7" t="s">
        <v>1535</v>
      </c>
      <c r="E1486" s="7">
        <v>9</v>
      </c>
      <c r="F1486" s="7">
        <f t="shared" si="43"/>
        <v>2220</v>
      </c>
      <c r="G1486" s="7">
        <v>1</v>
      </c>
      <c r="H1486" s="7">
        <v>18</v>
      </c>
      <c r="I1486" s="7">
        <f t="shared" si="44"/>
        <v>450</v>
      </c>
      <c r="J1486" s="7" t="s">
        <v>1375</v>
      </c>
    </row>
    <row r="1487" customHeight="1" spans="3:10">
      <c r="C1487" s="7">
        <v>9162</v>
      </c>
      <c r="D1487" s="7" t="s">
        <v>1536</v>
      </c>
      <c r="E1487" s="7">
        <v>9</v>
      </c>
      <c r="F1487" s="7">
        <f t="shared" si="43"/>
        <v>2240</v>
      </c>
      <c r="G1487" s="7">
        <v>1</v>
      </c>
      <c r="H1487" s="7">
        <v>19</v>
      </c>
      <c r="I1487" s="7">
        <f t="shared" si="44"/>
        <v>450</v>
      </c>
      <c r="J1487" s="7" t="s">
        <v>1375</v>
      </c>
    </row>
    <row r="1488" customHeight="1" spans="3:10">
      <c r="C1488" s="7">
        <v>9163</v>
      </c>
      <c r="D1488" s="7" t="s">
        <v>1537</v>
      </c>
      <c r="E1488" s="7">
        <v>9</v>
      </c>
      <c r="F1488" s="7">
        <f t="shared" si="43"/>
        <v>2260</v>
      </c>
      <c r="G1488" s="7">
        <v>1</v>
      </c>
      <c r="H1488" s="7">
        <v>20</v>
      </c>
      <c r="I1488" s="7">
        <f t="shared" si="44"/>
        <v>450</v>
      </c>
      <c r="J1488" s="7" t="s">
        <v>1375</v>
      </c>
    </row>
    <row r="1489" customHeight="1" spans="3:10">
      <c r="C1489" s="7">
        <v>9164</v>
      </c>
      <c r="D1489" s="7" t="s">
        <v>1538</v>
      </c>
      <c r="E1489" s="7">
        <v>9</v>
      </c>
      <c r="F1489" s="7">
        <f t="shared" si="43"/>
        <v>2280</v>
      </c>
      <c r="G1489" s="7">
        <v>1</v>
      </c>
      <c r="H1489" s="7">
        <v>24</v>
      </c>
      <c r="I1489" s="7">
        <f t="shared" si="44"/>
        <v>450</v>
      </c>
      <c r="J1489" s="7" t="s">
        <v>1375</v>
      </c>
    </row>
    <row r="1490" customHeight="1" spans="3:10">
      <c r="C1490" s="7">
        <v>9165</v>
      </c>
      <c r="D1490" s="7" t="s">
        <v>1539</v>
      </c>
      <c r="E1490" s="7">
        <v>9</v>
      </c>
      <c r="F1490" s="7">
        <f t="shared" ref="F1490:F1495" si="45">F1489+20</f>
        <v>2300</v>
      </c>
      <c r="G1490" s="7">
        <v>1</v>
      </c>
      <c r="H1490" s="7">
        <v>18</v>
      </c>
      <c r="I1490" s="7">
        <f t="shared" ref="I1490:I1505" si="46">I1486+10</f>
        <v>460</v>
      </c>
      <c r="J1490" s="7" t="s">
        <v>1375</v>
      </c>
    </row>
    <row r="1491" customHeight="1" spans="3:10">
      <c r="C1491" s="7">
        <v>9166</v>
      </c>
      <c r="D1491" s="7" t="s">
        <v>1540</v>
      </c>
      <c r="E1491" s="7">
        <v>9</v>
      </c>
      <c r="F1491" s="7">
        <f t="shared" si="45"/>
        <v>2320</v>
      </c>
      <c r="G1491" s="7">
        <v>1</v>
      </c>
      <c r="H1491" s="7">
        <v>19</v>
      </c>
      <c r="I1491" s="7">
        <f t="shared" si="46"/>
        <v>460</v>
      </c>
      <c r="J1491" s="7" t="s">
        <v>1375</v>
      </c>
    </row>
    <row r="1492" customHeight="1" spans="3:10">
      <c r="C1492" s="7">
        <v>9167</v>
      </c>
      <c r="D1492" s="7" t="s">
        <v>1541</v>
      </c>
      <c r="E1492" s="7">
        <v>9</v>
      </c>
      <c r="F1492" s="7">
        <f t="shared" si="45"/>
        <v>2340</v>
      </c>
      <c r="G1492" s="7">
        <v>1</v>
      </c>
      <c r="H1492" s="7">
        <v>20</v>
      </c>
      <c r="I1492" s="7">
        <f t="shared" si="46"/>
        <v>460</v>
      </c>
      <c r="J1492" s="7" t="s">
        <v>1375</v>
      </c>
    </row>
    <row r="1493" customHeight="1" spans="3:10">
      <c r="C1493" s="7">
        <v>9168</v>
      </c>
      <c r="D1493" s="7" t="s">
        <v>1542</v>
      </c>
      <c r="E1493" s="7">
        <v>9</v>
      </c>
      <c r="F1493" s="7">
        <f t="shared" si="45"/>
        <v>2360</v>
      </c>
      <c r="G1493" s="7">
        <v>1</v>
      </c>
      <c r="H1493" s="7">
        <v>24</v>
      </c>
      <c r="I1493" s="7">
        <f t="shared" si="46"/>
        <v>460</v>
      </c>
      <c r="J1493" s="7" t="s">
        <v>1375</v>
      </c>
    </row>
    <row r="1494" customHeight="1" spans="3:10">
      <c r="C1494" s="7">
        <v>9169</v>
      </c>
      <c r="D1494" s="7" t="s">
        <v>1543</v>
      </c>
      <c r="E1494" s="7">
        <v>9</v>
      </c>
      <c r="F1494" s="7">
        <f t="shared" si="45"/>
        <v>2380</v>
      </c>
      <c r="G1494" s="7">
        <v>1</v>
      </c>
      <c r="H1494" s="7">
        <v>18</v>
      </c>
      <c r="I1494" s="7">
        <f t="shared" si="46"/>
        <v>470</v>
      </c>
      <c r="J1494" s="7" t="s">
        <v>1375</v>
      </c>
    </row>
    <row r="1495" customHeight="1" spans="3:10">
      <c r="C1495" s="7">
        <v>9170</v>
      </c>
      <c r="D1495" s="7" t="s">
        <v>1544</v>
      </c>
      <c r="E1495" s="7">
        <v>9</v>
      </c>
      <c r="F1495" s="7">
        <f t="shared" si="45"/>
        <v>2400</v>
      </c>
      <c r="G1495" s="7">
        <v>1</v>
      </c>
      <c r="H1495" s="7">
        <v>19</v>
      </c>
      <c r="I1495" s="7">
        <f t="shared" si="46"/>
        <v>470</v>
      </c>
      <c r="J1495" s="7" t="s">
        <v>1375</v>
      </c>
    </row>
    <row r="1496" customHeight="1" spans="3:10">
      <c r="C1496" s="7">
        <v>9171</v>
      </c>
      <c r="D1496" s="7" t="s">
        <v>1545</v>
      </c>
      <c r="E1496" s="7">
        <v>9</v>
      </c>
      <c r="F1496" s="7">
        <f t="shared" ref="F1496:F1517" si="47">F1495+30</f>
        <v>2430</v>
      </c>
      <c r="G1496" s="7">
        <v>1</v>
      </c>
      <c r="H1496" s="7">
        <v>20</v>
      </c>
      <c r="I1496" s="7">
        <f t="shared" si="46"/>
        <v>470</v>
      </c>
      <c r="J1496" s="7" t="s">
        <v>1375</v>
      </c>
    </row>
    <row r="1497" customHeight="1" spans="3:10">
      <c r="C1497" s="7">
        <v>9172</v>
      </c>
      <c r="D1497" s="7" t="s">
        <v>1546</v>
      </c>
      <c r="E1497" s="7">
        <v>9</v>
      </c>
      <c r="F1497" s="7">
        <f t="shared" si="47"/>
        <v>2460</v>
      </c>
      <c r="G1497" s="7">
        <v>1</v>
      </c>
      <c r="H1497" s="7">
        <v>24</v>
      </c>
      <c r="I1497" s="7">
        <f t="shared" si="46"/>
        <v>470</v>
      </c>
      <c r="J1497" s="7" t="s">
        <v>1375</v>
      </c>
    </row>
    <row r="1498" customHeight="1" spans="3:10">
      <c r="C1498" s="7">
        <v>9173</v>
      </c>
      <c r="D1498" s="7" t="s">
        <v>1547</v>
      </c>
      <c r="E1498" s="7">
        <v>9</v>
      </c>
      <c r="F1498" s="7">
        <f t="shared" si="47"/>
        <v>2490</v>
      </c>
      <c r="G1498" s="7">
        <v>1</v>
      </c>
      <c r="H1498" s="7">
        <v>18</v>
      </c>
      <c r="I1498" s="7">
        <f t="shared" si="46"/>
        <v>480</v>
      </c>
      <c r="J1498" s="7" t="s">
        <v>1375</v>
      </c>
    </row>
    <row r="1499" customHeight="1" spans="3:10">
      <c r="C1499" s="7">
        <v>9174</v>
      </c>
      <c r="D1499" s="7" t="s">
        <v>1548</v>
      </c>
      <c r="E1499" s="7">
        <v>9</v>
      </c>
      <c r="F1499" s="7">
        <f t="shared" si="47"/>
        <v>2520</v>
      </c>
      <c r="G1499" s="7">
        <v>1</v>
      </c>
      <c r="H1499" s="7">
        <v>19</v>
      </c>
      <c r="I1499" s="7">
        <f t="shared" si="46"/>
        <v>480</v>
      </c>
      <c r="J1499" s="7" t="s">
        <v>1375</v>
      </c>
    </row>
    <row r="1500" customHeight="1" spans="3:10">
      <c r="C1500" s="7">
        <v>9175</v>
      </c>
      <c r="D1500" s="7" t="s">
        <v>1549</v>
      </c>
      <c r="E1500" s="7">
        <v>9</v>
      </c>
      <c r="F1500" s="7">
        <f t="shared" si="47"/>
        <v>2550</v>
      </c>
      <c r="G1500" s="7">
        <v>1</v>
      </c>
      <c r="H1500" s="7">
        <v>20</v>
      </c>
      <c r="I1500" s="7">
        <f t="shared" si="46"/>
        <v>480</v>
      </c>
      <c r="J1500" s="7" t="s">
        <v>1375</v>
      </c>
    </row>
    <row r="1501" customHeight="1" spans="3:10">
      <c r="C1501" s="7">
        <v>9176</v>
      </c>
      <c r="D1501" s="7" t="s">
        <v>1550</v>
      </c>
      <c r="E1501" s="7">
        <v>9</v>
      </c>
      <c r="F1501" s="7">
        <f t="shared" si="47"/>
        <v>2580</v>
      </c>
      <c r="G1501" s="7">
        <v>1</v>
      </c>
      <c r="H1501" s="7">
        <v>24</v>
      </c>
      <c r="I1501" s="7">
        <f t="shared" si="46"/>
        <v>480</v>
      </c>
      <c r="J1501" s="7" t="s">
        <v>1375</v>
      </c>
    </row>
    <row r="1502" customHeight="1" spans="3:10">
      <c r="C1502" s="7">
        <v>9177</v>
      </c>
      <c r="D1502" s="7" t="s">
        <v>1551</v>
      </c>
      <c r="E1502" s="7">
        <v>9</v>
      </c>
      <c r="F1502" s="7">
        <f t="shared" si="47"/>
        <v>2610</v>
      </c>
      <c r="G1502" s="7">
        <v>1</v>
      </c>
      <c r="H1502" s="7">
        <v>18</v>
      </c>
      <c r="I1502" s="7">
        <f t="shared" si="46"/>
        <v>490</v>
      </c>
      <c r="J1502" s="7" t="s">
        <v>1375</v>
      </c>
    </row>
    <row r="1503" customHeight="1" spans="3:10">
      <c r="C1503" s="7">
        <v>9178</v>
      </c>
      <c r="D1503" s="7" t="s">
        <v>1552</v>
      </c>
      <c r="E1503" s="7">
        <v>9</v>
      </c>
      <c r="F1503" s="7">
        <f t="shared" si="47"/>
        <v>2640</v>
      </c>
      <c r="G1503" s="7">
        <v>1</v>
      </c>
      <c r="H1503" s="7">
        <v>19</v>
      </c>
      <c r="I1503" s="7">
        <f t="shared" si="46"/>
        <v>490</v>
      </c>
      <c r="J1503" s="7" t="s">
        <v>1375</v>
      </c>
    </row>
    <row r="1504" customHeight="1" spans="3:10">
      <c r="C1504" s="7">
        <v>9179</v>
      </c>
      <c r="D1504" s="7" t="s">
        <v>1553</v>
      </c>
      <c r="E1504" s="7">
        <v>9</v>
      </c>
      <c r="F1504" s="7">
        <f t="shared" si="47"/>
        <v>2670</v>
      </c>
      <c r="G1504" s="7">
        <v>1</v>
      </c>
      <c r="H1504" s="7">
        <v>20</v>
      </c>
      <c r="I1504" s="7">
        <f t="shared" si="46"/>
        <v>490</v>
      </c>
      <c r="J1504" s="7" t="s">
        <v>1375</v>
      </c>
    </row>
    <row r="1505" customHeight="1" spans="3:10">
      <c r="C1505" s="7">
        <v>9180</v>
      </c>
      <c r="D1505" s="7" t="s">
        <v>1554</v>
      </c>
      <c r="E1505" s="7">
        <v>9</v>
      </c>
      <c r="F1505" s="7">
        <f t="shared" si="47"/>
        <v>2700</v>
      </c>
      <c r="G1505" s="7">
        <v>1</v>
      </c>
      <c r="H1505" s="7">
        <v>24</v>
      </c>
      <c r="I1505" s="7">
        <f t="shared" si="46"/>
        <v>490</v>
      </c>
      <c r="J1505" s="7" t="s">
        <v>1375</v>
      </c>
    </row>
    <row r="1506" customHeight="1" spans="3:10">
      <c r="C1506" s="7">
        <v>9181</v>
      </c>
      <c r="D1506" s="7" t="s">
        <v>1555</v>
      </c>
      <c r="E1506" s="7">
        <v>9</v>
      </c>
      <c r="F1506" s="7">
        <f t="shared" si="47"/>
        <v>2730</v>
      </c>
      <c r="G1506" s="7">
        <v>1</v>
      </c>
      <c r="H1506" s="7">
        <v>18</v>
      </c>
      <c r="I1506" s="7">
        <f t="shared" ref="I1506:I1517" si="48">I1502+10</f>
        <v>500</v>
      </c>
      <c r="J1506" s="7" t="s">
        <v>1375</v>
      </c>
    </row>
    <row r="1507" customHeight="1" spans="3:10">
      <c r="C1507" s="7">
        <v>9182</v>
      </c>
      <c r="D1507" s="7" t="s">
        <v>1556</v>
      </c>
      <c r="E1507" s="7">
        <v>9</v>
      </c>
      <c r="F1507" s="7">
        <f t="shared" si="47"/>
        <v>2760</v>
      </c>
      <c r="G1507" s="7">
        <v>1</v>
      </c>
      <c r="H1507" s="7">
        <v>19</v>
      </c>
      <c r="I1507" s="7">
        <f t="shared" si="48"/>
        <v>500</v>
      </c>
      <c r="J1507" s="7" t="s">
        <v>1375</v>
      </c>
    </row>
    <row r="1508" customHeight="1" spans="3:10">
      <c r="C1508" s="7">
        <v>9183</v>
      </c>
      <c r="D1508" s="7" t="s">
        <v>1557</v>
      </c>
      <c r="E1508" s="7">
        <v>9</v>
      </c>
      <c r="F1508" s="7">
        <f t="shared" si="47"/>
        <v>2790</v>
      </c>
      <c r="G1508" s="7">
        <v>1</v>
      </c>
      <c r="H1508" s="7">
        <v>20</v>
      </c>
      <c r="I1508" s="7">
        <f t="shared" si="48"/>
        <v>500</v>
      </c>
      <c r="J1508" s="7" t="s">
        <v>1375</v>
      </c>
    </row>
    <row r="1509" customHeight="1" spans="3:10">
      <c r="C1509" s="7">
        <v>9184</v>
      </c>
      <c r="D1509" s="7" t="s">
        <v>1558</v>
      </c>
      <c r="E1509" s="7">
        <v>9</v>
      </c>
      <c r="F1509" s="7">
        <f t="shared" si="47"/>
        <v>2820</v>
      </c>
      <c r="G1509" s="7">
        <v>1</v>
      </c>
      <c r="H1509" s="7">
        <v>24</v>
      </c>
      <c r="I1509" s="7">
        <f t="shared" si="48"/>
        <v>500</v>
      </c>
      <c r="J1509" s="7" t="s">
        <v>1375</v>
      </c>
    </row>
    <row r="1510" customHeight="1" spans="3:10">
      <c r="C1510" s="7">
        <v>9185</v>
      </c>
      <c r="D1510" s="7" t="s">
        <v>1559</v>
      </c>
      <c r="E1510" s="7">
        <v>9</v>
      </c>
      <c r="F1510" s="7">
        <f t="shared" si="47"/>
        <v>2850</v>
      </c>
      <c r="G1510" s="7">
        <v>1</v>
      </c>
      <c r="H1510" s="7">
        <v>18</v>
      </c>
      <c r="I1510" s="7">
        <f t="shared" si="48"/>
        <v>510</v>
      </c>
      <c r="J1510" s="7" t="s">
        <v>1375</v>
      </c>
    </row>
    <row r="1511" customHeight="1" spans="3:10">
      <c r="C1511" s="7">
        <v>9186</v>
      </c>
      <c r="D1511" s="7" t="s">
        <v>1560</v>
      </c>
      <c r="E1511" s="7">
        <v>9</v>
      </c>
      <c r="F1511" s="7">
        <f t="shared" si="47"/>
        <v>2880</v>
      </c>
      <c r="G1511" s="7">
        <v>1</v>
      </c>
      <c r="H1511" s="7">
        <v>19</v>
      </c>
      <c r="I1511" s="7">
        <f t="shared" si="48"/>
        <v>510</v>
      </c>
      <c r="J1511" s="7" t="s">
        <v>1375</v>
      </c>
    </row>
    <row r="1512" customHeight="1" spans="3:10">
      <c r="C1512" s="7">
        <v>9187</v>
      </c>
      <c r="D1512" s="7" t="s">
        <v>1561</v>
      </c>
      <c r="E1512" s="7">
        <v>9</v>
      </c>
      <c r="F1512" s="7">
        <f t="shared" si="47"/>
        <v>2910</v>
      </c>
      <c r="G1512" s="7">
        <v>1</v>
      </c>
      <c r="H1512" s="7">
        <v>20</v>
      </c>
      <c r="I1512" s="7">
        <f t="shared" si="48"/>
        <v>510</v>
      </c>
      <c r="J1512" s="7" t="s">
        <v>1375</v>
      </c>
    </row>
    <row r="1513" customHeight="1" spans="3:10">
      <c r="C1513" s="7">
        <v>9188</v>
      </c>
      <c r="D1513" s="7" t="s">
        <v>1562</v>
      </c>
      <c r="E1513" s="7">
        <v>9</v>
      </c>
      <c r="F1513" s="7">
        <f t="shared" si="47"/>
        <v>2940</v>
      </c>
      <c r="G1513" s="7">
        <v>1</v>
      </c>
      <c r="H1513" s="7">
        <v>24</v>
      </c>
      <c r="I1513" s="7">
        <f t="shared" si="48"/>
        <v>510</v>
      </c>
      <c r="J1513" s="7" t="s">
        <v>1375</v>
      </c>
    </row>
    <row r="1514" customHeight="1" spans="3:10">
      <c r="C1514" s="7">
        <v>9189</v>
      </c>
      <c r="D1514" s="7" t="s">
        <v>1563</v>
      </c>
      <c r="E1514" s="7">
        <v>9</v>
      </c>
      <c r="F1514" s="7">
        <f t="shared" si="47"/>
        <v>2970</v>
      </c>
      <c r="G1514" s="7">
        <v>1</v>
      </c>
      <c r="H1514" s="7">
        <v>18</v>
      </c>
      <c r="I1514" s="7">
        <f t="shared" si="48"/>
        <v>520</v>
      </c>
      <c r="J1514" s="7" t="s">
        <v>1375</v>
      </c>
    </row>
    <row r="1515" customHeight="1" spans="3:10">
      <c r="C1515" s="7">
        <v>9190</v>
      </c>
      <c r="D1515" s="7" t="s">
        <v>1564</v>
      </c>
      <c r="E1515" s="7">
        <v>9</v>
      </c>
      <c r="F1515" s="7">
        <f t="shared" si="47"/>
        <v>3000</v>
      </c>
      <c r="G1515" s="7">
        <v>1</v>
      </c>
      <c r="H1515" s="7">
        <v>19</v>
      </c>
      <c r="I1515" s="7">
        <f t="shared" si="48"/>
        <v>520</v>
      </c>
      <c r="J1515" s="7" t="s">
        <v>1375</v>
      </c>
    </row>
    <row r="1516" customHeight="1" spans="3:10">
      <c r="C1516" s="7">
        <v>9191</v>
      </c>
      <c r="D1516" s="7" t="s">
        <v>1565</v>
      </c>
      <c r="E1516" s="7">
        <v>9</v>
      </c>
      <c r="F1516" s="7">
        <f>F1515+40</f>
        <v>3040</v>
      </c>
      <c r="G1516" s="7">
        <v>1</v>
      </c>
      <c r="H1516" s="7">
        <v>20</v>
      </c>
      <c r="I1516" s="7">
        <f t="shared" si="48"/>
        <v>520</v>
      </c>
      <c r="J1516" s="7" t="s">
        <v>1375</v>
      </c>
    </row>
    <row r="1517" customHeight="1" spans="3:10">
      <c r="C1517" s="7">
        <v>9192</v>
      </c>
      <c r="D1517" s="7" t="s">
        <v>1566</v>
      </c>
      <c r="E1517" s="7">
        <v>9</v>
      </c>
      <c r="F1517" s="7">
        <f>F1516+40</f>
        <v>3080</v>
      </c>
      <c r="G1517" s="7">
        <v>1</v>
      </c>
      <c r="H1517" s="7">
        <v>24</v>
      </c>
      <c r="I1517" s="7">
        <f t="shared" si="48"/>
        <v>520</v>
      </c>
      <c r="J1517" s="7" t="s">
        <v>1375</v>
      </c>
    </row>
  </sheetData>
  <dataValidations count="1">
    <dataValidation type="custom" allowBlank="1" showErrorMessage="1" errorTitle="拒绝重复输入" error="当前输入的内容，与本区域的其他单元格内容重复。" sqref="C3:K5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2025-01-22T09:44:47Z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C013224887774FB8BA41070C817F6F50</vt:lpwstr>
  </property>
</Properties>
</file>
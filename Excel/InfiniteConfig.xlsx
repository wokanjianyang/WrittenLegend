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<sst xmlns="http://schemas.openxmlformats.org/spreadsheetml/2006/main" count="217" uniqueCount="168">
  <si>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</si>
  <si>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</si>
  <si>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</si>
  <si>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</si>
  <si>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</si>
  <si>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</si>
  <si>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</si>
  <si>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</si>
  <si>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</si>
  <si>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</si>
  <si>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</si>
  <si>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</si>
  <si>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</si>
  <si>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</si>
  <si>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</si>
  <si>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</si>
  <si>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</si>
  <si>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</si>
  <si>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</si>
  <si>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</si>
  <si>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</si>
  <si>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</si>
  <si>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</si>
  <si>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</si>
  <si>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</si>
  <si>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</si>
  <si>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</si>
  <si>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</si>
  <si>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</si>
  <si>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</si>
  <si>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</si>
  <si>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</si>
  <si>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</si>
  <si>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</si>
  <si>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</si>
  <si>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</si>
  <si>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</si>
  <si>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</si>
  <si>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</si>
  <si>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</si>
  <si>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</si>
  <si>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</si>
  <si>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</si>
  <si>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</si>
  <si>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</si>
  <si>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</si>
  <si>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</si>
  <si>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</si>
  <si>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</si>
  <si>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</si>
  <si>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</si>
  <si>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</si>
  <si>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</si>
  <si>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</si>
  <si>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</si>
  <si>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</si>
  <si>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</si>
  <si>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</si>
  <si>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</si>
  <si>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</si>
  <si>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</si>
  <si>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</si>
  <si>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</si>
  <si>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</si>
  <si>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</si>
  <si>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</si>
  <si>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</si>
  <si>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</si>
  <si>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</si>
  <si>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</si>
  <si>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</si>
  <si>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</si>
  <si>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</si>
  <si>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</si>
  <si>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</si>
  <si>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</si>
  <si>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</si>
  <si>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</si>
  <si>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</si>
  <si>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</si>
  <si>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</si>
  <si>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</si>
  <si>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</si>
  <si>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</si>
  <si>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</si>
  <si>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</si>
  <si>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</si>
  <si>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</si>
  <si>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</si>
  <si>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</si>
  <si>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</si>
  <si>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</si>
  <si>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</si>
  <si>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</si>
  <si>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</si>
  <si>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</si>
  <si>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</si>
  <si>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</si>
  <si>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</si>
  <si>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</si>
  <si>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</si>
  <si>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</si>
  <si>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</si>
  <si>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</si>
  <si>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</si>
  <si>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</si>
  <si>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</si>
  <si>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</si>
  <si>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</si>
  <si>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</si>
  <si>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</si>
  <si>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</si>
  <si>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</si>
  <si>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</si>
  <si>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</si>
  <si>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</si>
  <si>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</si>
  <si>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</si>
  <si>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</si>
  <si>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</si>
  <si>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</si>
  <si>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</si>
  <si>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</si>
  <si>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</si>
  <si>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</si>
  <si>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</si>
  <si>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</si>
  <si>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</si>
  <si>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</si>
  <si>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</si>
  <si>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</si>
  <si>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</si>
  <si>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</si>
  <si>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</si>
  <si>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</si>
  <si>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</si>
  <si>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</si>
  <si>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</si>
  <si>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</si>
  <si>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</si>
  <si>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</si>
  <si>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</si>
  <si>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</si>
  <si>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</si>
  <si>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</si>
  <si>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</si>
  <si>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</si>
  <si>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</si>
  <si>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</si>
  <si>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</si>
  <si>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</si>
  <si>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</si>
  <si>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</si>
  <si>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</si>
  <si>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</si>
  <si>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</si>
  <si>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</si>
  <si>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</si>
  <si>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</si>
  <si>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</si>
  <si>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</si>
  <si>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</si>
  <si>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</si>
  <si>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1000僧</t>
  </si>
  <si>
    <t>9999议</t>
  </si>
  <si>
    <t>99000戈</t>
  </si>
  <si>
    <t>99极</t>
  </si>
  <si>
    <t>10京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</si>
</sst>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5"/>
  <sheetViews>
    <sheetView tabSelected="1" workbookViewId="0">
      <pane ySplit="5" topLeftCell="A15" activePane="bottomLeft" state="frozen"/>
      <selection/>
      <selection pane="bottomLeft" activeCell="G49" sqref="G49"/>
    </sheetView>
  </sheetViews>
  <sheetFormatPr defaultColWidth="9" defaultRowHeight="14" customHeight="1"/>
  <cols>
    <col min="1" max="1" width="3" style="3" customWidth="1"/>
    <col min="2" max="2" width="3.3716814159292" style="3" customWidth="1"/>
    <col min="3" max="3" width="3.12389380530973" style="1" customWidth="1"/>
    <col min="4" max="4" width="7.87610619469027" style="1" customWidth="1"/>
    <col min="5" max="5" width="7.24778761061947" style="1" customWidth="1"/>
    <col min="6" max="6" width="26.0796460176991" style="4" customWidth="1"/>
    <col min="7" max="7" width="15.2477876106195" style="5" customWidth="1"/>
    <col min="8" max="8" width="34.0796460176991" style="4" customWidth="1"/>
    <col min="9" max="9" width="9.75221238938053" style="5" customWidth="1"/>
    <col min="10" max="10" width="26.0796460176991" style="4" customWidth="1"/>
    <col min="11" max="11" width="9.75221238938053" style="5" customWidth="1"/>
    <col min="12" max="12" width="13.6637168141593" style="5" customWidth="1"/>
    <col min="13" max="14" width="10" style="5" customWidth="1"/>
    <col min="15" max="15" width="8.83185840707965" style="5" customWidth="1"/>
    <col min="16" max="16" width="12.5840707964602" style="3" customWidth="1"/>
    <col min="17" max="18" width="6.3716814159292" style="3" customWidth="1"/>
    <col min="19" max="19" width="8" style="3" customWidth="1"/>
    <col min="20" max="20" width="5.87610619469027" style="3" customWidth="1"/>
    <col min="21" max="22" width="7.3716814159292" style="3" customWidth="1"/>
    <col min="23" max="23" width="10.2477876106195" style="3" customWidth="1"/>
    <col min="24" max="24" width="19.787610619469" style="3" customWidth="1"/>
    <col min="25" max="25" width="17.6548672566372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45" si="0">E6+1</f>
        <v>101</v>
      </c>
      <c r="E7" s="1">
        <f t="shared" ref="E7:E45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>
        <v>100</v>
      </c>
      <c r="M21" s="12">
        <v>0.2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72</v>
      </c>
      <c r="G22" s="12">
        <v>0.1</v>
      </c>
      <c r="H22" s="11" t="s">
        <v>74</v>
      </c>
      <c r="I22" s="12">
        <v>1</v>
      </c>
      <c r="J22" s="11" t="s">
        <v>75</v>
      </c>
      <c r="K22" s="12">
        <v>10</v>
      </c>
      <c r="L22" s="12">
        <v>2000</v>
      </c>
      <c r="M22" s="12">
        <v>0.2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76</v>
      </c>
      <c r="G23" s="12">
        <v>0.1</v>
      </c>
      <c r="H23" s="11" t="s">
        <v>77</v>
      </c>
      <c r="I23" s="12">
        <v>1</v>
      </c>
      <c r="J23" s="11" t="s">
        <v>78</v>
      </c>
      <c r="K23" s="12">
        <v>10</v>
      </c>
      <c r="L23" s="12" t="s">
        <v>79</v>
      </c>
      <c r="M23" s="12">
        <v>0.2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74</v>
      </c>
      <c r="G24" s="12">
        <v>0.1</v>
      </c>
      <c r="H24" s="11" t="s">
        <v>80</v>
      </c>
      <c r="I24" s="12">
        <v>1</v>
      </c>
      <c r="J24" s="11" t="s">
        <v>81</v>
      </c>
      <c r="K24" s="12">
        <v>10</v>
      </c>
      <c r="L24" s="12" t="s">
        <v>82</v>
      </c>
      <c r="M24" s="12">
        <v>0.2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83</v>
      </c>
      <c r="G25" s="12">
        <v>0.1</v>
      </c>
      <c r="H25" s="11" t="s">
        <v>84</v>
      </c>
      <c r="I25" s="12">
        <v>1</v>
      </c>
      <c r="J25" s="11" t="s">
        <v>85</v>
      </c>
      <c r="K25" s="12">
        <v>10</v>
      </c>
      <c r="L25" s="12" t="s">
        <v>86</v>
      </c>
      <c r="M25" s="12">
        <v>0.2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77</v>
      </c>
      <c r="G26" s="12">
        <v>0.1</v>
      </c>
      <c r="H26" s="14" t="s">
        <v>87</v>
      </c>
      <c r="I26" s="16">
        <v>1</v>
      </c>
      <c r="J26" s="14" t="s">
        <v>88</v>
      </c>
      <c r="K26" s="16">
        <v>10</v>
      </c>
      <c r="L26" s="12" t="s">
        <v>89</v>
      </c>
      <c r="M26" s="12">
        <v>0.2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90</v>
      </c>
      <c r="G27" s="12">
        <v>0.1</v>
      </c>
      <c r="H27" s="11" t="s">
        <v>91</v>
      </c>
      <c r="I27" s="12">
        <v>1</v>
      </c>
      <c r="J27" s="11" t="s">
        <v>92</v>
      </c>
      <c r="K27" s="12">
        <v>10</v>
      </c>
      <c r="L27" s="12" t="s">
        <v>93</v>
      </c>
      <c r="M27" s="12">
        <v>0.2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80</v>
      </c>
      <c r="G28" s="12">
        <v>0.1</v>
      </c>
      <c r="H28" s="11" t="s">
        <v>94</v>
      </c>
      <c r="I28" s="12">
        <v>1</v>
      </c>
      <c r="J28" s="11" t="s">
        <v>95</v>
      </c>
      <c r="K28" s="12">
        <v>10</v>
      </c>
      <c r="L28" s="12" t="s">
        <v>96</v>
      </c>
      <c r="M28" s="12">
        <v>0.2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97</v>
      </c>
      <c r="G29" s="12">
        <v>0.1</v>
      </c>
      <c r="H29" s="11" t="s">
        <v>98</v>
      </c>
      <c r="I29" s="12">
        <v>1</v>
      </c>
      <c r="J29" s="11" t="s">
        <v>99</v>
      </c>
      <c r="K29" s="12">
        <v>10</v>
      </c>
      <c r="L29" s="12" t="s">
        <v>100</v>
      </c>
      <c r="M29" s="12">
        <v>0.2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84</v>
      </c>
      <c r="G30" s="12">
        <v>0.1</v>
      </c>
      <c r="H30" s="11" t="s">
        <v>101</v>
      </c>
      <c r="I30" s="12">
        <v>1</v>
      </c>
      <c r="J30" s="11" t="s">
        <v>102</v>
      </c>
      <c r="K30" s="12">
        <v>10</v>
      </c>
      <c r="L30" s="12" t="s">
        <v>103</v>
      </c>
      <c r="M30" s="12">
        <v>0.2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104</v>
      </c>
      <c r="G31" s="12">
        <v>0.1</v>
      </c>
      <c r="H31" s="11" t="s">
        <v>105</v>
      </c>
      <c r="I31" s="12">
        <v>1</v>
      </c>
      <c r="J31" s="11" t="s">
        <v>106</v>
      </c>
      <c r="K31" s="12">
        <v>10</v>
      </c>
      <c r="L31" s="12" t="s">
        <v>107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108</v>
      </c>
      <c r="G32" s="12">
        <v>0.1</v>
      </c>
      <c r="H32" s="11" t="s">
        <v>109</v>
      </c>
      <c r="I32" s="12">
        <v>1</v>
      </c>
      <c r="J32" s="11" t="s">
        <v>110</v>
      </c>
      <c r="K32" s="12">
        <v>10</v>
      </c>
      <c r="L32" s="12" t="s">
        <v>111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112</v>
      </c>
      <c r="G33" s="12">
        <v>0.1</v>
      </c>
      <c r="H33" s="11" t="s">
        <v>113</v>
      </c>
      <c r="I33" s="12">
        <v>1</v>
      </c>
      <c r="J33" s="11" t="s">
        <v>114</v>
      </c>
      <c r="K33" s="12">
        <v>10</v>
      </c>
      <c r="L33" s="12" t="s">
        <v>115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116</v>
      </c>
      <c r="G34" s="12">
        <v>0.1</v>
      </c>
      <c r="H34" s="11" t="s">
        <v>117</v>
      </c>
      <c r="I34" s="12">
        <v>1</v>
      </c>
      <c r="J34" s="11" t="s">
        <v>118</v>
      </c>
      <c r="K34" s="12">
        <v>10</v>
      </c>
      <c r="L34" s="12" t="s">
        <v>119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120</v>
      </c>
      <c r="G35" s="12">
        <v>0.1</v>
      </c>
      <c r="H35" s="11" t="s">
        <v>121</v>
      </c>
      <c r="I35" s="12">
        <v>1</v>
      </c>
      <c r="J35" s="11" t="s">
        <v>122</v>
      </c>
      <c r="K35" s="12">
        <v>10</v>
      </c>
      <c r="L35" s="12" t="s">
        <v>123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124</v>
      </c>
      <c r="G36" s="12">
        <v>0.1</v>
      </c>
      <c r="H36" s="11" t="s">
        <v>125</v>
      </c>
      <c r="I36" s="12">
        <v>10</v>
      </c>
      <c r="J36" s="11" t="s">
        <v>126</v>
      </c>
      <c r="K36" s="12">
        <v>10</v>
      </c>
      <c r="L36" s="12" t="s">
        <v>127</v>
      </c>
      <c r="M36" s="12">
        <v>10</v>
      </c>
      <c r="N36" s="12">
        <v>10</v>
      </c>
      <c r="O36" s="12">
        <v>0.1</v>
      </c>
      <c r="P36" s="15">
        <f t="shared" ref="P36:P45" si="15">P35+3000</f>
        <v>22000</v>
      </c>
      <c r="Q36" s="15">
        <f t="shared" ref="Q36:Q45" si="16">Q35+3000</f>
        <v>22000</v>
      </c>
      <c r="R36" s="15">
        <f t="shared" ref="R36:R45" si="17">R35+2000</f>
        <v>14000</v>
      </c>
      <c r="S36" s="15">
        <f t="shared" ref="S36:S45" si="18">S35+2000</f>
        <v>14000</v>
      </c>
      <c r="T36" s="15">
        <f>T35+15</f>
        <v>165</v>
      </c>
      <c r="U36" s="15">
        <f t="shared" ref="U36:U45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128</v>
      </c>
      <c r="G37" s="12">
        <v>0.1</v>
      </c>
      <c r="H37" s="11" t="s">
        <v>129</v>
      </c>
      <c r="I37" s="12">
        <v>10</v>
      </c>
      <c r="J37" s="11" t="s">
        <v>130</v>
      </c>
      <c r="K37" s="12">
        <v>10</v>
      </c>
      <c r="L37" s="12" t="s">
        <v>131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45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132</v>
      </c>
      <c r="G38" s="12">
        <v>0.1</v>
      </c>
      <c r="H38" s="11" t="s">
        <v>133</v>
      </c>
      <c r="I38" s="12">
        <v>10</v>
      </c>
      <c r="J38" s="11" t="s">
        <v>134</v>
      </c>
      <c r="K38" s="12">
        <v>10</v>
      </c>
      <c r="L38" s="12" t="s">
        <v>135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136</v>
      </c>
      <c r="G39" s="12">
        <v>0.1</v>
      </c>
      <c r="H39" s="11" t="s">
        <v>137</v>
      </c>
      <c r="I39" s="12">
        <v>10</v>
      </c>
      <c r="J39" s="11" t="s">
        <v>138</v>
      </c>
      <c r="K39" s="12">
        <v>10</v>
      </c>
      <c r="L39" s="12" t="s">
        <v>139</v>
      </c>
      <c r="M39" s="12">
        <v>10</v>
      </c>
      <c r="N39" s="12">
        <v>100000</v>
      </c>
      <c r="O39" s="12">
        <v>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140</v>
      </c>
      <c r="G40" s="12">
        <v>0.1</v>
      </c>
      <c r="H40" s="11" t="s">
        <v>141</v>
      </c>
      <c r="I40" s="12">
        <v>10</v>
      </c>
      <c r="J40" s="11" t="s">
        <v>142</v>
      </c>
      <c r="K40" s="12">
        <v>10</v>
      </c>
      <c r="L40" s="12" t="s">
        <v>143</v>
      </c>
      <c r="M40" s="12">
        <v>10</v>
      </c>
      <c r="N40" s="12">
        <v>10000000</v>
      </c>
      <c r="O40" s="12">
        <v>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</v>
      </c>
      <c r="X40" s="11">
        <v>2.6e+17</v>
      </c>
      <c r="Y40" s="11">
        <v>2.6e+17</v>
      </c>
    </row>
    <row r="41" customHeight="1" spans="3:25">
      <c r="C41" s="1">
        <v>36</v>
      </c>
      <c r="D41" s="1">
        <f t="shared" si="0"/>
        <v>3501</v>
      </c>
      <c r="E41" s="1">
        <f t="shared" si="1"/>
        <v>3600</v>
      </c>
      <c r="F41" s="11" t="s">
        <v>144</v>
      </c>
      <c r="G41" s="12">
        <v>10</v>
      </c>
      <c r="H41" s="11" t="s">
        <v>145</v>
      </c>
      <c r="I41" s="12">
        <v>100</v>
      </c>
      <c r="J41" s="11" t="s">
        <v>146</v>
      </c>
      <c r="K41" s="12">
        <v>100</v>
      </c>
      <c r="L41" s="12" t="s">
        <v>147</v>
      </c>
      <c r="M41" s="12">
        <v>10</v>
      </c>
      <c r="N41" s="12" t="s">
        <v>148</v>
      </c>
      <c r="O41" s="12">
        <v>1</v>
      </c>
      <c r="P41" s="15">
        <f t="shared" si="15"/>
        <v>37000</v>
      </c>
      <c r="Q41" s="15">
        <f t="shared" si="16"/>
        <v>37000</v>
      </c>
      <c r="R41" s="15">
        <f t="shared" si="17"/>
        <v>24000</v>
      </c>
      <c r="S41" s="15">
        <f t="shared" si="18"/>
        <v>24000</v>
      </c>
      <c r="T41" s="15">
        <f t="shared" si="20"/>
        <v>265</v>
      </c>
      <c r="U41" s="15">
        <f t="shared" si="19"/>
        <v>205</v>
      </c>
      <c r="V41" s="15">
        <v>99.4</v>
      </c>
      <c r="W41" s="15">
        <v>99.99999</v>
      </c>
      <c r="X41" s="11">
        <v>2.8e+17</v>
      </c>
      <c r="Y41" s="11">
        <v>2.8e+17</v>
      </c>
    </row>
    <row r="42" customHeight="1" spans="3:25">
      <c r="C42" s="1">
        <v>37</v>
      </c>
      <c r="D42" s="1">
        <f t="shared" si="0"/>
        <v>3601</v>
      </c>
      <c r="E42" s="1">
        <f t="shared" si="1"/>
        <v>3700</v>
      </c>
      <c r="F42" s="11" t="s">
        <v>149</v>
      </c>
      <c r="G42" s="12">
        <v>10</v>
      </c>
      <c r="H42" s="11" t="s">
        <v>150</v>
      </c>
      <c r="I42" s="12">
        <v>100</v>
      </c>
      <c r="J42" s="11" t="s">
        <v>151</v>
      </c>
      <c r="K42" s="12">
        <v>100</v>
      </c>
      <c r="L42" s="12" t="s">
        <v>76</v>
      </c>
      <c r="M42" s="12">
        <v>10</v>
      </c>
      <c r="N42" s="12" t="s">
        <v>152</v>
      </c>
      <c r="O42" s="12">
        <v>1</v>
      </c>
      <c r="P42" s="15">
        <f t="shared" si="15"/>
        <v>40000</v>
      </c>
      <c r="Q42" s="15">
        <f t="shared" si="16"/>
        <v>40000</v>
      </c>
      <c r="R42" s="15">
        <f t="shared" si="17"/>
        <v>26000</v>
      </c>
      <c r="S42" s="15">
        <f t="shared" si="18"/>
        <v>26000</v>
      </c>
      <c r="T42" s="15">
        <f t="shared" si="20"/>
        <v>285</v>
      </c>
      <c r="U42" s="15">
        <f t="shared" si="19"/>
        <v>220</v>
      </c>
      <c r="V42" s="15">
        <v>99.4</v>
      </c>
      <c r="W42" s="15">
        <v>99.99999</v>
      </c>
      <c r="X42" s="11">
        <v>3e+17</v>
      </c>
      <c r="Y42" s="11">
        <v>3e+17</v>
      </c>
    </row>
    <row r="43" customHeight="1" spans="3:25">
      <c r="C43" s="1">
        <v>38</v>
      </c>
      <c r="D43" s="1">
        <f t="shared" si="0"/>
        <v>3701</v>
      </c>
      <c r="E43" s="1">
        <f t="shared" si="1"/>
        <v>3800</v>
      </c>
      <c r="F43" s="11" t="s">
        <v>153</v>
      </c>
      <c r="G43" s="12">
        <v>10</v>
      </c>
      <c r="H43" s="11" t="s">
        <v>154</v>
      </c>
      <c r="I43" s="12">
        <v>100</v>
      </c>
      <c r="J43" s="11" t="s">
        <v>155</v>
      </c>
      <c r="K43" s="12">
        <v>100</v>
      </c>
      <c r="L43" s="12" t="s">
        <v>156</v>
      </c>
      <c r="M43" s="12">
        <v>10</v>
      </c>
      <c r="N43" s="12" t="s">
        <v>157</v>
      </c>
      <c r="O43" s="12">
        <v>1</v>
      </c>
      <c r="P43" s="15">
        <f t="shared" si="15"/>
        <v>43000</v>
      </c>
      <c r="Q43" s="15">
        <f t="shared" si="16"/>
        <v>43000</v>
      </c>
      <c r="R43" s="15">
        <f t="shared" si="17"/>
        <v>28000</v>
      </c>
      <c r="S43" s="15">
        <f t="shared" si="18"/>
        <v>28000</v>
      </c>
      <c r="T43" s="15">
        <f t="shared" si="20"/>
        <v>305</v>
      </c>
      <c r="U43" s="15">
        <f t="shared" si="19"/>
        <v>235</v>
      </c>
      <c r="V43" s="15">
        <v>99.4</v>
      </c>
      <c r="W43" s="15">
        <v>99.99999</v>
      </c>
      <c r="X43" s="11">
        <v>3.2e+17</v>
      </c>
      <c r="Y43" s="11">
        <v>3.2e+17</v>
      </c>
    </row>
    <row r="44" customHeight="1" spans="3:25">
      <c r="C44" s="1">
        <v>39</v>
      </c>
      <c r="D44" s="1">
        <f t="shared" si="0"/>
        <v>3801</v>
      </c>
      <c r="E44" s="1">
        <f t="shared" si="1"/>
        <v>3900</v>
      </c>
      <c r="F44" s="11" t="s">
        <v>158</v>
      </c>
      <c r="G44" s="12">
        <v>10</v>
      </c>
      <c r="H44" s="11" t="s">
        <v>159</v>
      </c>
      <c r="I44" s="12">
        <v>100</v>
      </c>
      <c r="J44" s="11" t="s">
        <v>160</v>
      </c>
      <c r="K44" s="12">
        <v>100</v>
      </c>
      <c r="L44" s="12" t="s">
        <v>161</v>
      </c>
      <c r="M44" s="12">
        <v>10</v>
      </c>
      <c r="N44" s="12" t="s">
        <v>162</v>
      </c>
      <c r="O44" s="12">
        <v>1</v>
      </c>
      <c r="P44" s="15">
        <f t="shared" si="15"/>
        <v>46000</v>
      </c>
      <c r="Q44" s="15">
        <f t="shared" si="16"/>
        <v>46000</v>
      </c>
      <c r="R44" s="15">
        <f t="shared" si="17"/>
        <v>30000</v>
      </c>
      <c r="S44" s="15">
        <f t="shared" si="18"/>
        <v>30000</v>
      </c>
      <c r="T44" s="15">
        <f t="shared" si="20"/>
        <v>325</v>
      </c>
      <c r="U44" s="15">
        <f t="shared" si="19"/>
        <v>250</v>
      </c>
      <c r="V44" s="15">
        <v>99.4</v>
      </c>
      <c r="W44" s="15">
        <v>99.99999</v>
      </c>
      <c r="X44" s="11">
        <v>3.4e+17</v>
      </c>
      <c r="Y44" s="11">
        <v>3.4e+17</v>
      </c>
    </row>
    <row r="45" customHeight="1" spans="3:25">
      <c r="C45" s="1">
        <v>40</v>
      </c>
      <c r="D45" s="1">
        <f t="shared" si="0"/>
        <v>3901</v>
      </c>
      <c r="E45" s="1">
        <f t="shared" si="1"/>
        <v>4000</v>
      </c>
      <c r="F45" s="11" t="s">
        <v>163</v>
      </c>
      <c r="G45" s="12">
        <v>10</v>
      </c>
      <c r="H45" s="11" t="s">
        <v>164</v>
      </c>
      <c r="I45" s="12">
        <v>100</v>
      </c>
      <c r="J45" s="11" t="s">
        <v>165</v>
      </c>
      <c r="K45" s="12">
        <v>100</v>
      </c>
      <c r="L45" s="12" t="s">
        <v>166</v>
      </c>
      <c r="M45" s="12">
        <v>10</v>
      </c>
      <c r="N45" s="12" t="s">
        <v>167</v>
      </c>
      <c r="O45" s="12">
        <v>1</v>
      </c>
      <c r="P45" s="15">
        <f t="shared" si="15"/>
        <v>49000</v>
      </c>
      <c r="Q45" s="15">
        <f t="shared" si="16"/>
        <v>49000</v>
      </c>
      <c r="R45" s="15">
        <f t="shared" si="17"/>
        <v>32000</v>
      </c>
      <c r="S45" s="15">
        <f t="shared" si="18"/>
        <v>32000</v>
      </c>
      <c r="T45" s="15">
        <f t="shared" si="20"/>
        <v>345</v>
      </c>
      <c r="U45" s="15">
        <f t="shared" si="19"/>
        <v>265</v>
      </c>
      <c r="V45" s="15">
        <v>99.4</v>
      </c>
      <c r="W45" s="15">
        <v>99.99999</v>
      </c>
      <c r="X45" s="11">
        <v>3.6e+17</v>
      </c>
      <c r="Y45" s="11">
        <v>3.6e+17</v>
      </c>
    </row>
  </sheetData>
  <dataValidations count="1">
    <dataValidation type="custom" allowBlank="1" showErrorMessage="1" errorTitle="拒绝重复输入" error="当前输入的内容，与本区域的其他单元格内容重复。" sqref="M3:O3 N4:O4 N5:T5 M4:M5 C3:L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2025-05-08T03:58:31Z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
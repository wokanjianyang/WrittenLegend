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WrittenLegend\Excel\"/>
    </mc:Choice>
  </mc:AlternateContent>
  <bookViews>
    <workbookView windowHeight="17680"/>
  </bookViews>
  <sheets>
    <sheet name="生成配置" sheetId="2" r:id="rId1"/>
  </sheets>
  <definedNames>
    <definedName name="_xlnm._FilterDatabase" localSheetId="0" hidden="1">生成配置!#REF!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<sst xmlns="http://schemas.openxmlformats.org/spreadsheetml/2006/main" count="553" uniqueCount="336">
  <si>
    <t>ID</t>
  </si>
  <si>
    <t>StartLevel</t>
  </si>
  <si>
    <t>EndLevel</t>
  </si>
  <si>
    <t>Attr</t>
  </si>
  <si>
    <t>AttrRise</t>
  </si>
  <si>
    <t>Def</t>
  </si>
  <si>
    <t>DefRise</t>
  </si>
  <si>
    <t>HP</t>
  </si>
  <si>
    <t>HpRise</t>
  </si>
  <si>
    <t>DamageMul</t>
  </si>
  <si>
    <t>MulRise</t>
  </si>
  <si>
    <t>Strong</t>
  </si>
  <si>
    <t>StrongRise</t>
  </si>
  <si>
    <t>Parry</t>
  </si>
  <si>
    <t>ParrayRise</t>
  </si>
  <si>
    <t>Speed</t>
  </si>
  <si>
    <t>DamageIncrea</t>
  </si>
  <si>
    <t>DamageResist</t>
  </si>
  <si>
    <t>CritRate</t>
  </si>
  <si>
    <t>CritDamage</t>
  </si>
  <si>
    <t>Accuracy</t>
  </si>
  <si>
    <t>Miss</t>
  </si>
  <si>
    <t>MulDamageResist</t>
  </si>
  <si>
    <t>Protect</t>
  </si>
  <si>
    <t>Exp</t>
  </si>
  <si>
    <t>Gold</t>
  </si>
  <si>
    <t>Id</t>
  </si>
  <si>
    <t>int</t>
  </si>
  <si>
    <t>string</t>
  </si>
  <si>
    <t>double</t>
  </si>
  <si>
    <t>10000000</t>
  </si>
  <si>
    <t>100000000000000</t>
  </si>
  <si>
    <t>1000000000</t>
  </si>
  <si>
    <t>2000000000</t>
  </si>
  <si>
    <t>20000000000000000</t>
  </si>
  <si>
    <t>100000000000</t>
  </si>
  <si>
    <t>400000000000</t>
  </si>
  <si>
    <t>4000000000000000000</t>
  </si>
  <si>
    <t>10000000000000</t>
  </si>
  <si>
    <t>80000000000000</t>
  </si>
  <si>
    <t>800000000000000000000</t>
  </si>
  <si>
    <t>1000000000000000</t>
  </si>
  <si>
    <t>16000000000000000</t>
  </si>
  <si>
    <t>160000000000000000000000</t>
  </si>
  <si>
    <t>100000000000000000</t>
  </si>
  <si>
    <t>3200000000000000000</t>
  </si>
  <si>
    <t>32000000000000000000000000</t>
  </si>
  <si>
    <t>20000000000000000000</t>
  </si>
  <si>
    <t>640000000000000000000</t>
  </si>
  <si>
    <t>6400000000000000000000000000</t>
  </si>
  <si>
    <t>4000000000000000000000</t>
  </si>
  <si>
    <t>128000000000000000000000</t>
  </si>
  <si>
    <t>1280000000000000000000000000000</t>
  </si>
  <si>
    <t>800000000000000000000000</t>
  </si>
  <si>
    <t>25600000000000000000000000</t>
  </si>
  <si>
    <t>256000000000000000000000000000000</t>
  </si>
  <si>
    <t>80000000000000000000000000</t>
  </si>
  <si>
    <t>5120000000000000000000000000</t>
  </si>
  <si>
    <t>512000000000000000000000000000000000</t>
  </si>
  <si>
    <t>8000000000000000000000000000</t>
  </si>
  <si>
    <t>512000000000000000000000000000</t>
  </si>
  <si>
    <t>999000000000000000000000000000000000000</t>
  </si>
  <si>
    <t>160000000000000000000000000000</t>
  </si>
  <si>
    <t>5120000000000000000000000000000</t>
  </si>
  <si>
    <t>999000000000000000000000000000000000000000</t>
  </si>
  <si>
    <t>3200000000000000000000000000000</t>
  </si>
  <si>
    <t>51200000000000000000000000000000</t>
  </si>
  <si>
    <t>999000000000000000000000000000000000000000000</t>
  </si>
  <si>
    <t>64000000000000000000000000000000</t>
  </si>
  <si>
    <t>512000000000000000000000000000000</t>
  </si>
  <si>
    <t>999000000000000000000000000000000000000000000000</t>
  </si>
  <si>
    <t>1200000000000000000000000000000000</t>
  </si>
  <si>
    <t>5120000000000000000000000000000000</t>
  </si>
  <si>
    <t>999000000000000000000000000000000000000000000000000</t>
  </si>
  <si>
    <t>900涧</t>
  </si>
  <si>
    <t>9000涧</t>
  </si>
  <si>
    <t>99恒</t>
  </si>
  <si>
    <t>90正</t>
  </si>
  <si>
    <t>99900恒</t>
  </si>
  <si>
    <t>9正</t>
  </si>
  <si>
    <t>9000正</t>
  </si>
  <si>
    <t>9990河</t>
  </si>
  <si>
    <t>4万</t>
  </si>
  <si>
    <t>90载</t>
  </si>
  <si>
    <t>999沙</t>
  </si>
  <si>
    <t>80万</t>
  </si>
  <si>
    <t>900正</t>
  </si>
  <si>
    <t>9000载</t>
  </si>
  <si>
    <t>99阿</t>
  </si>
  <si>
    <t>1600万</t>
  </si>
  <si>
    <t>90极</t>
  </si>
  <si>
    <t>9990阿</t>
  </si>
  <si>
    <t>3亿</t>
  </si>
  <si>
    <t>9载</t>
  </si>
  <si>
    <t>9000极</t>
  </si>
  <si>
    <t>99僧</t>
  </si>
  <si>
    <t>60亿</t>
  </si>
  <si>
    <t>90恒</t>
  </si>
  <si>
    <t>9990僧</t>
  </si>
  <si>
    <t>1200亿</t>
  </si>
  <si>
    <t>900载</t>
  </si>
  <si>
    <t>9000恒</t>
  </si>
  <si>
    <t>999祇</t>
  </si>
  <si>
    <t>2兆</t>
  </si>
  <si>
    <t>90河</t>
  </si>
  <si>
    <t>99那</t>
  </si>
  <si>
    <t>40兆</t>
  </si>
  <si>
    <t>10极</t>
  </si>
  <si>
    <t>9000河</t>
  </si>
  <si>
    <t>99900那</t>
  </si>
  <si>
    <t>800兆</t>
  </si>
  <si>
    <t>100极</t>
  </si>
  <si>
    <t>90沙</t>
  </si>
  <si>
    <t>9990由</t>
  </si>
  <si>
    <t>16000兆</t>
  </si>
  <si>
    <t>1000极</t>
  </si>
  <si>
    <t>9000沙</t>
  </si>
  <si>
    <t>999他</t>
  </si>
  <si>
    <t>32京</t>
  </si>
  <si>
    <t>10000极</t>
  </si>
  <si>
    <t>90阿</t>
  </si>
  <si>
    <t>999不</t>
  </si>
  <si>
    <t>640京</t>
  </si>
  <si>
    <t>1恒</t>
  </si>
  <si>
    <t>9000阿</t>
  </si>
  <si>
    <t>99可</t>
  </si>
  <si>
    <t>12800京</t>
  </si>
  <si>
    <t>10恒</t>
  </si>
  <si>
    <t>9999阿</t>
  </si>
  <si>
    <t>99000可</t>
  </si>
  <si>
    <t>900垓</t>
  </si>
  <si>
    <t>100恒</t>
  </si>
  <si>
    <t>9999僧</t>
  </si>
  <si>
    <t>9900思</t>
  </si>
  <si>
    <t>90秭</t>
  </si>
  <si>
    <t>1000恒</t>
  </si>
  <si>
    <t>9999祇</t>
  </si>
  <si>
    <t>990议</t>
  </si>
  <si>
    <t>9穰</t>
  </si>
  <si>
    <t>1河</t>
  </si>
  <si>
    <t>9999那</t>
  </si>
  <si>
    <t>99无</t>
  </si>
  <si>
    <t>9990穰</t>
  </si>
  <si>
    <t>10河</t>
  </si>
  <si>
    <t>9999由</t>
  </si>
  <si>
    <t>99000无</t>
  </si>
  <si>
    <t>999沟</t>
  </si>
  <si>
    <t>1000河</t>
  </si>
  <si>
    <t>9999他</t>
  </si>
  <si>
    <t>99000量</t>
  </si>
  <si>
    <t>99涧</t>
  </si>
  <si>
    <t>10亿</t>
  </si>
  <si>
    <t>100沙</t>
  </si>
  <si>
    <t>9999不</t>
  </si>
  <si>
    <t>99000大</t>
  </si>
  <si>
    <t>1000亿</t>
  </si>
  <si>
    <t>10阿</t>
  </si>
  <si>
    <t>9999可</t>
  </si>
  <si>
    <t>99000数</t>
  </si>
  <si>
    <t>9999正</t>
  </si>
  <si>
    <t>10兆</t>
  </si>
  <si>
    <t>1僧</t>
  </si>
  <si>
    <t>9999思</t>
  </si>
  <si>
    <t>99000古</t>
  </si>
  <si>
    <t>999载</t>
  </si>
  <si>
    <t>1000兆</t>
  </si>
  <si>
    <t>1E+71</t>
  </si>
  <si>
    <t>1E+104</t>
  </si>
  <si>
    <t>1E+129</t>
  </si>
  <si>
    <t>1E+50</t>
  </si>
  <si>
    <t>1E+17</t>
  </si>
  <si>
    <t>1E+74</t>
  </si>
  <si>
    <t>1E+108</t>
  </si>
  <si>
    <t>1E+133</t>
  </si>
  <si>
    <t>1E+53</t>
  </si>
  <si>
    <t>1E+19</t>
  </si>
  <si>
    <t>1E+77</t>
  </si>
  <si>
    <t>1E+112</t>
  </si>
  <si>
    <t>1E+137</t>
  </si>
  <si>
    <t>1E+56</t>
  </si>
  <si>
    <t>1E+21</t>
  </si>
  <si>
    <t>1E+81</t>
  </si>
  <si>
    <t>1E+116</t>
  </si>
  <si>
    <t>1E+141</t>
  </si>
  <si>
    <t>1E+59</t>
  </si>
  <si>
    <t>1E+23</t>
  </si>
  <si>
    <t>1E+85</t>
  </si>
  <si>
    <t>1E+120</t>
  </si>
  <si>
    <t>1E+145</t>
  </si>
  <si>
    <t>1E+62</t>
  </si>
  <si>
    <t>1E+25</t>
  </si>
  <si>
    <t>1E+89</t>
  </si>
  <si>
    <t>1E+125</t>
  </si>
  <si>
    <t>1E+149</t>
  </si>
  <si>
    <t>1E+65</t>
  </si>
  <si>
    <t>1E+27</t>
  </si>
  <si>
    <t>1E+95</t>
  </si>
  <si>
    <t>1E+130</t>
  </si>
  <si>
    <t>1E+154</t>
  </si>
  <si>
    <t>1E+70</t>
  </si>
  <si>
    <t>1E+30</t>
  </si>
  <si>
    <t>1E+100</t>
  </si>
  <si>
    <t>1E+135</t>
  </si>
  <si>
    <t>1E+159</t>
  </si>
  <si>
    <t>1E+75</t>
  </si>
  <si>
    <t>1E+33</t>
  </si>
  <si>
    <t>1E+105</t>
  </si>
  <si>
    <t>1E+140</t>
  </si>
  <si>
    <t>1E+164</t>
  </si>
  <si>
    <t>1E+80</t>
  </si>
  <si>
    <t>1E+37</t>
  </si>
  <si>
    <t>1E+110</t>
  </si>
  <si>
    <t>1E+169</t>
  </si>
  <si>
    <t>1E+41</t>
  </si>
  <si>
    <t>1E+4</t>
  </si>
  <si>
    <t>1E+115</t>
  </si>
  <si>
    <t>1E+150</t>
  </si>
  <si>
    <t>1E+174</t>
  </si>
  <si>
    <t>1E+90</t>
  </si>
  <si>
    <t>1E+45</t>
  </si>
  <si>
    <t>1E+5</t>
  </si>
  <si>
    <t>1E+155</t>
  </si>
  <si>
    <t>1E+179</t>
  </si>
  <si>
    <t>1E+49</t>
  </si>
  <si>
    <t>1E+8</t>
  </si>
  <si>
    <t>1E+160</t>
  </si>
  <si>
    <t>1E+184</t>
  </si>
  <si>
    <t>1E+51</t>
  </si>
  <si>
    <t>1E+11</t>
  </si>
  <si>
    <t>1E+165</t>
  </si>
  <si>
    <t>1E+189</t>
  </si>
  <si>
    <t>1E+14</t>
  </si>
  <si>
    <t>1E+170</t>
  </si>
  <si>
    <t>1E+194</t>
  </si>
  <si>
    <t>1E+55</t>
  </si>
  <si>
    <t>1E+175</t>
  </si>
  <si>
    <t>1E+199</t>
  </si>
  <si>
    <t>1E+57</t>
  </si>
  <si>
    <t>1E+20</t>
  </si>
  <si>
    <t>1E+180</t>
  </si>
  <si>
    <t>1E+204</t>
  </si>
  <si>
    <t>1E+209</t>
  </si>
  <si>
    <t>1E+60</t>
  </si>
  <si>
    <t>1E+214</t>
  </si>
  <si>
    <t>1E+61</t>
  </si>
  <si>
    <t>1E+31</t>
  </si>
  <si>
    <t>1E+219</t>
  </si>
  <si>
    <t>1E+35</t>
  </si>
  <si>
    <t>1E+224</t>
  </si>
  <si>
    <t>1E+63</t>
  </si>
  <si>
    <t>1E+39</t>
  </si>
  <si>
    <t>1E+229</t>
  </si>
  <si>
    <t>1E+64</t>
  </si>
  <si>
    <t>1E+43</t>
  </si>
  <si>
    <t>1E+234</t>
  </si>
  <si>
    <t>1E+47</t>
  </si>
  <si>
    <t>1E+239</t>
  </si>
  <si>
    <t>1E+66</t>
  </si>
  <si>
    <t>1E+185</t>
  </si>
  <si>
    <t>1E+244</t>
  </si>
  <si>
    <t>1E+67</t>
  </si>
  <si>
    <t>1E+190</t>
  </si>
  <si>
    <t>1E+249</t>
  </si>
  <si>
    <t>1E+68</t>
  </si>
  <si>
    <t>1E+196</t>
  </si>
  <si>
    <t>1E+255</t>
  </si>
  <si>
    <t>1E+202</t>
  </si>
  <si>
    <t>1E+261</t>
  </si>
  <si>
    <t>1E+208</t>
  </si>
  <si>
    <t>1E+267</t>
  </si>
  <si>
    <t>1E+79</t>
  </si>
  <si>
    <t>1E+273</t>
  </si>
  <si>
    <t>1E+83</t>
  </si>
  <si>
    <t>1E+220</t>
  </si>
  <si>
    <t>1E+279</t>
  </si>
  <si>
    <t>1E+87</t>
  </si>
  <si>
    <t>1E+226</t>
  </si>
  <si>
    <t>1E+285</t>
  </si>
  <si>
    <t>1E+195</t>
  </si>
  <si>
    <t>1E+91</t>
  </si>
  <si>
    <t>1E+232</t>
  </si>
  <si>
    <t>1E+291</t>
  </si>
  <si>
    <t>1E+200</t>
  </si>
  <si>
    <t>1E+238</t>
  </si>
  <si>
    <t>1E+297</t>
  </si>
  <si>
    <t>1E+205</t>
  </si>
  <si>
    <t>1E+303</t>
  </si>
  <si>
    <t>1E+210</t>
  </si>
  <si>
    <t>1E+250</t>
  </si>
  <si>
    <t>1E+309</t>
  </si>
  <si>
    <t>1E+215</t>
  </si>
  <si>
    <t>1E+256</t>
  </si>
  <si>
    <t>1E+315</t>
  </si>
  <si>
    <t>1E+262</t>
  </si>
  <si>
    <t>1E+321</t>
  </si>
  <si>
    <t>1E+225</t>
  </si>
  <si>
    <t>1E+268</t>
  </si>
  <si>
    <t>1E+327</t>
  </si>
  <si>
    <t>1E+230</t>
  </si>
  <si>
    <t>1E+274</t>
  </si>
  <si>
    <t>1E+333</t>
  </si>
  <si>
    <t>1E+235</t>
  </si>
  <si>
    <t>1E+280</t>
  </si>
  <si>
    <t>1E+339</t>
  </si>
  <si>
    <t>1E+240</t>
  </si>
  <si>
    <t>1E+345</t>
  </si>
  <si>
    <t>1E+245</t>
  </si>
  <si>
    <t>1E+290</t>
  </si>
  <si>
    <t>1E+351</t>
  </si>
  <si>
    <t>1E+295</t>
  </si>
  <si>
    <t>1E+357</t>
  </si>
  <si>
    <t>1E+300</t>
  </si>
  <si>
    <t>1E+363</t>
  </si>
  <si>
    <t>1E+260</t>
  </si>
  <si>
    <t>1E+369</t>
  </si>
  <si>
    <t>1E+265</t>
  </si>
  <si>
    <t>1E+375</t>
  </si>
  <si>
    <t>1E+270</t>
  </si>
  <si>
    <t>1E+381</t>
  </si>
  <si>
    <t>1E+387</t>
  </si>
  <si>
    <t>1E+393</t>
  </si>
  <si>
    <t>1E+399</t>
  </si>
  <si>
    <t>1E+310</t>
  </si>
  <si>
    <t>1E+405</t>
  </si>
  <si>
    <t>1E+320</t>
  </si>
  <si>
    <t>1E+411</t>
  </si>
  <si>
    <t>1E+330</t>
  </si>
  <si>
    <t>1E+417</t>
  </si>
  <si>
    <t>1E+340</t>
  </si>
  <si>
    <t>1E+423</t>
  </si>
  <si>
    <t>1E+350</t>
  </si>
  <si>
    <t>1E+429</t>
  </si>
  <si>
    <t>1E+360</t>
  </si>
  <si>
    <t>1E+1</t>
  </si>
  <si>
    <t>1E+2</t>
  </si>
  <si>
    <t>1E+3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</si>
</sst>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4">
    <font>
      <sz val="11"/>
      <color theme="1"/>
      <name val="等线"/>
      <charset val="134"/>
      <scheme val="minor"/>
    </font>
    <font>
      <sz val="9"/>
      <color theme="1"/>
      <name val="等线"/>
      <charset val="134"/>
    </font>
    <font>
      <sz val="9"/>
      <name val="等线"/>
      <charset val="134"/>
    </font>
    <font>
      <b/>
      <sz val="9"/>
      <color theme="1"/>
      <name val="等线"/>
      <charset val="134"/>
    </font>
    <font>
      <sz val="9"/>
      <color theme="3" tint="0.6"/>
      <name val="等线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4" tint="0.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6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7" borderId="4" applyNumberFormat="0" applyAlignment="0" applyProtection="0">
      <alignment vertical="center"/>
    </xf>
    <xf numFmtId="0" fontId="14" fillId="8" borderId="5" applyNumberFormat="0" applyAlignment="0" applyProtection="0">
      <alignment vertical="center"/>
    </xf>
    <xf numFmtId="0" fontId="15" fillId="8" borderId="4" applyNumberFormat="0" applyAlignment="0" applyProtection="0">
      <alignment vertical="center"/>
    </xf>
    <xf numFmtId="0" fontId="16" fillId="9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26">
    <xf numFmtId="0" fontId="0" fillId="0" borderId="0" xfId="0"/>
    <xf numFmtId="0" fontId="1" fillId="0" borderId="0" xfId="0" applyFont="1"/>
    <xf numFmtId="0" fontId="2" fillId="2" borderId="0" xfId="0" applyNumberFormat="1" applyFont="1" applyFill="1"/>
    <xf numFmtId="0" fontId="1" fillId="3" borderId="0" xfId="0" applyNumberFormat="1" applyFont="1" applyFill="1"/>
    <xf numFmtId="0" fontId="1" fillId="4" borderId="0" xfId="0" applyNumberFormat="1" applyFont="1" applyFill="1"/>
    <xf numFmtId="0" fontId="1" fillId="0" borderId="0" xfId="0" applyNumberFormat="1" applyFont="1"/>
    <xf numFmtId="176" fontId="1" fillId="0" borderId="0" xfId="0" applyNumberFormat="1" applyFont="1" applyAlignment="1">
      <alignment horizontal="left"/>
    </xf>
    <xf numFmtId="0" fontId="1" fillId="0" borderId="0" xfId="0" applyNumberFormat="1" applyFont="1" applyAlignment="1">
      <alignment horizontal="left"/>
    </xf>
    <xf numFmtId="176" fontId="1" fillId="0" borderId="0" xfId="0" applyNumberFormat="1" applyFont="1"/>
    <xf numFmtId="0" fontId="3" fillId="5" borderId="0" xfId="0" applyFont="1" applyFill="1" applyAlignment="1">
      <alignment horizontal="center"/>
    </xf>
    <xf numFmtId="176" fontId="3" fillId="5" borderId="0" xfId="0" applyNumberFormat="1" applyFont="1" applyFill="1" applyAlignment="1">
      <alignment horizontal="center"/>
    </xf>
    <xf numFmtId="0" fontId="3" fillId="5" borderId="0" xfId="0" applyNumberFormat="1" applyFont="1" applyFill="1" applyAlignment="1">
      <alignment horizontal="center"/>
    </xf>
    <xf numFmtId="0" fontId="1" fillId="0" borderId="0" xfId="0" applyFont="1" applyFill="1"/>
    <xf numFmtId="176" fontId="1" fillId="0" borderId="0" xfId="0" applyNumberFormat="1" applyFont="1" applyFill="1" applyAlignment="1">
      <alignment horizontal="left"/>
    </xf>
    <xf numFmtId="0" fontId="1" fillId="0" borderId="0" xfId="0" applyNumberFormat="1" applyFont="1" applyFill="1" applyAlignment="1">
      <alignment horizontal="left"/>
    </xf>
    <xf numFmtId="0" fontId="1" fillId="0" borderId="0" xfId="0" applyNumberFormat="1" applyFont="1" applyFill="1"/>
    <xf numFmtId="0" fontId="2" fillId="2" borderId="0" xfId="0" applyFont="1" applyFill="1"/>
    <xf numFmtId="176" fontId="2" fillId="2" borderId="0" xfId="0" applyNumberFormat="1" applyFont="1" applyFill="1" applyAlignment="1">
      <alignment horizontal="left"/>
    </xf>
    <xf numFmtId="0" fontId="2" fillId="2" borderId="0" xfId="0" applyNumberFormat="1" applyFont="1" applyFill="1" applyAlignment="1">
      <alignment horizontal="left"/>
    </xf>
    <xf numFmtId="0" fontId="1" fillId="3" borderId="0" xfId="0" applyFont="1" applyFill="1"/>
    <xf numFmtId="176" fontId="1" fillId="3" borderId="0" xfId="0" applyNumberFormat="1" applyFont="1" applyFill="1" applyAlignment="1">
      <alignment horizontal="left"/>
    </xf>
    <xf numFmtId="0" fontId="1" fillId="3" borderId="0" xfId="0" applyNumberFormat="1" applyFont="1" applyFill="1" applyAlignment="1">
      <alignment horizontal="left"/>
    </xf>
    <xf numFmtId="0" fontId="1" fillId="4" borderId="0" xfId="0" applyFont="1" applyFill="1"/>
    <xf numFmtId="176" fontId="1" fillId="4" borderId="0" xfId="0" applyNumberFormat="1" applyFont="1" applyFill="1" applyAlignment="1">
      <alignment horizontal="left"/>
    </xf>
    <xf numFmtId="0" fontId="1" fillId="4" borderId="0" xfId="0" applyNumberFormat="1" applyFont="1" applyFill="1" applyAlignment="1">
      <alignment horizontal="left"/>
    </xf>
    <xf numFmtId="0" fontId="4" fillId="0" borderId="0" xfId="0" applyFont="1"/>
    <xf numFmtId="176" fontId="1" fillId="0" borderId="0" xfId="0" applyNumberFormat="1" applyFont="1" applyFill="1" applyAlignment="1" quotePrefix="1">
      <alignment horizontal="left"/>
    </xf>
    <xf numFmtId="176" fontId="1" fillId="3" borderId="0" xfId="0" applyNumberFormat="1" applyFont="1" applyFill="1" applyAlignment="1" quotePrefix="1">
      <alignment horizontal="left"/>
    </xf>
    <xf numFmtId="0" fontId="1" fillId="0" borderId="0" xfId="0" applyFont="1" quotePrefix="1"/>
    <xf numFmtId="176" fontId="1" fillId="4" borderId="0" xfId="0" applyNumberFormat="1" applyFont="1" applyFill="1" applyAlignment="1" quotePrefix="1">
      <alignment horizontal="left"/>
    </xf>
    <xf numFmtId="0" fontId="1" fillId="4" borderId="0" xfId="0" applyFont="1" applyFill="1" quotePrefix="1"/>
    <xf numFmtId="0" fontId="1" fillId="3" borderId="0" xfId="0" applyFont="1" applyFill="1" quotePrefix="1"/>
    <xf numFmtId="0" fontId="1" fillId="0" borderId="0" xfId="0" applyFont="1" applyFill="1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215"/>
  <sheetViews>
    <sheetView tabSelected="1" topLeftCell="F1" workbookViewId="0">
      <pane ySplit="5" topLeftCell="A66" activePane="bottomLeft" state="frozen"/>
      <selection/>
      <selection pane="bottomLeft" activeCell="W108" sqref="W108"/>
    </sheetView>
  </sheetViews>
  <sheetFormatPr defaultColWidth="9" defaultRowHeight="16" customHeight="1"/>
  <cols>
    <col min="1" max="1" width="3" style="5" customWidth="1"/>
    <col min="2" max="2" width="3.375" style="5" customWidth="1"/>
    <col min="3" max="3" width="3.125" style="1" customWidth="1"/>
    <col min="4" max="4" width="7.875" style="1" customWidth="1"/>
    <col min="5" max="5" width="7.25" style="1" customWidth="1"/>
    <col min="6" max="6" width="28.5833333333333" style="6" customWidth="1"/>
    <col min="7" max="7" width="15.25" style="7" customWidth="1"/>
    <col min="8" max="8" width="34.0833333333333" style="6" customWidth="1"/>
    <col min="9" max="9" width="9.75" style="7" customWidth="1"/>
    <col min="10" max="10" width="26.0833333333333" style="6" customWidth="1"/>
    <col min="11" max="11" width="9.75" style="7" customWidth="1"/>
    <col min="12" max="12" width="13.6666666666667" style="7" customWidth="1"/>
    <col min="13" max="14" width="10" style="7" customWidth="1"/>
    <col min="15" max="15" width="8.83333333333333" style="7" customWidth="1"/>
    <col min="16" max="18" width="12.125" style="5" customWidth="1"/>
    <col min="19" max="19" width="12.5833333333333" style="5" customWidth="1"/>
    <col min="20" max="21" width="6.375" style="5" customWidth="1"/>
    <col min="22" max="22" width="8" style="5" customWidth="1"/>
    <col min="23" max="23" width="5.875" style="5" customWidth="1"/>
    <col min="24" max="25" width="7.375" style="5" customWidth="1"/>
    <col min="26" max="26" width="10.25" style="5" customWidth="1"/>
    <col min="27" max="27" width="19.7916666666667" style="5" customWidth="1"/>
    <col min="28" max="28" width="17.6583333333333" style="5" customWidth="1"/>
    <col min="29" max="16384" width="9" style="5"/>
  </cols>
  <sheetData>
    <row r="1" s="1" customFormat="1" customHeight="1" spans="1:28">
      <c r="A1" s="5"/>
      <c r="B1" s="5"/>
      <c r="F1" s="8"/>
      <c r="G1" s="5"/>
      <c r="H1" s="8"/>
      <c r="I1" s="5"/>
      <c r="J1" s="8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</row>
    <row r="2" s="1" customFormat="1" customHeight="1" spans="1:28">
      <c r="A2" s="5"/>
      <c r="B2" s="5"/>
      <c r="F2" s="8"/>
      <c r="G2" s="5"/>
      <c r="H2" s="8"/>
      <c r="I2" s="5"/>
      <c r="J2" s="8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</row>
    <row r="3" s="1" customFormat="1" customHeight="1" spans="1:28">
      <c r="A3" s="5"/>
      <c r="B3" s="5"/>
      <c r="C3" s="9" t="s">
        <v>0</v>
      </c>
      <c r="D3" s="9" t="s">
        <v>1</v>
      </c>
      <c r="E3" s="9" t="s">
        <v>2</v>
      </c>
      <c r="F3" s="10" t="s">
        <v>3</v>
      </c>
      <c r="G3" s="11" t="s">
        <v>4</v>
      </c>
      <c r="H3" s="10" t="s">
        <v>5</v>
      </c>
      <c r="I3" s="11" t="s">
        <v>6</v>
      </c>
      <c r="J3" s="10" t="s">
        <v>7</v>
      </c>
      <c r="K3" s="11" t="s">
        <v>8</v>
      </c>
      <c r="L3" s="9" t="s">
        <v>9</v>
      </c>
      <c r="M3" s="9" t="s">
        <v>10</v>
      </c>
      <c r="N3" s="9" t="s">
        <v>11</v>
      </c>
      <c r="O3" s="9" t="s">
        <v>12</v>
      </c>
      <c r="P3" s="9" t="s">
        <v>13</v>
      </c>
      <c r="Q3" s="9" t="s">
        <v>14</v>
      </c>
      <c r="R3" s="9" t="s">
        <v>15</v>
      </c>
      <c r="S3" s="9" t="s">
        <v>16</v>
      </c>
      <c r="T3" s="9" t="s">
        <v>17</v>
      </c>
      <c r="U3" s="9" t="s">
        <v>18</v>
      </c>
      <c r="V3" s="9" t="s">
        <v>19</v>
      </c>
      <c r="W3" s="9" t="s">
        <v>20</v>
      </c>
      <c r="X3" s="9" t="s">
        <v>21</v>
      </c>
      <c r="Y3" s="9" t="s">
        <v>22</v>
      </c>
      <c r="Z3" s="9" t="s">
        <v>23</v>
      </c>
      <c r="AA3" s="11" t="s">
        <v>24</v>
      </c>
      <c r="AB3" s="11" t="s">
        <v>25</v>
      </c>
    </row>
    <row r="4" s="1" customFormat="1" customHeight="1" spans="1:28">
      <c r="A4" s="5"/>
      <c r="B4" s="5"/>
      <c r="C4" s="9" t="s">
        <v>26</v>
      </c>
      <c r="D4" s="9" t="s">
        <v>1</v>
      </c>
      <c r="E4" s="9" t="s">
        <v>2</v>
      </c>
      <c r="F4" s="10" t="s">
        <v>3</v>
      </c>
      <c r="G4" s="11" t="s">
        <v>4</v>
      </c>
      <c r="H4" s="10" t="s">
        <v>5</v>
      </c>
      <c r="I4" s="11" t="s">
        <v>6</v>
      </c>
      <c r="J4" s="10" t="s">
        <v>7</v>
      </c>
      <c r="K4" s="11" t="s">
        <v>8</v>
      </c>
      <c r="L4" s="9" t="s">
        <v>9</v>
      </c>
      <c r="M4" s="9" t="s">
        <v>10</v>
      </c>
      <c r="N4" s="9" t="s">
        <v>11</v>
      </c>
      <c r="O4" s="9" t="s">
        <v>12</v>
      </c>
      <c r="P4" s="9" t="s">
        <v>13</v>
      </c>
      <c r="Q4" s="9" t="s">
        <v>14</v>
      </c>
      <c r="R4" s="9" t="s">
        <v>15</v>
      </c>
      <c r="S4" s="9" t="s">
        <v>16</v>
      </c>
      <c r="T4" s="9" t="s">
        <v>17</v>
      </c>
      <c r="U4" s="9" t="s">
        <v>18</v>
      </c>
      <c r="V4" s="9" t="s">
        <v>19</v>
      </c>
      <c r="W4" s="9" t="s">
        <v>20</v>
      </c>
      <c r="X4" s="9" t="s">
        <v>21</v>
      </c>
      <c r="Y4" s="9" t="s">
        <v>22</v>
      </c>
      <c r="Z4" s="9" t="s">
        <v>23</v>
      </c>
      <c r="AA4" s="11" t="s">
        <v>24</v>
      </c>
      <c r="AB4" s="11" t="s">
        <v>25</v>
      </c>
    </row>
    <row r="5" s="1" customFormat="1" customHeight="1" spans="1:28">
      <c r="A5" s="5"/>
      <c r="B5" s="5"/>
      <c r="C5" s="9" t="s">
        <v>27</v>
      </c>
      <c r="D5" s="9" t="s">
        <v>27</v>
      </c>
      <c r="E5" s="9" t="s">
        <v>27</v>
      </c>
      <c r="F5" s="10" t="s">
        <v>28</v>
      </c>
      <c r="G5" s="11" t="s">
        <v>29</v>
      </c>
      <c r="H5" s="10" t="s">
        <v>28</v>
      </c>
      <c r="I5" s="11" t="s">
        <v>29</v>
      </c>
      <c r="J5" s="10" t="s">
        <v>28</v>
      </c>
      <c r="K5" s="11" t="s">
        <v>29</v>
      </c>
      <c r="L5" s="9" t="s">
        <v>28</v>
      </c>
      <c r="M5" s="11" t="s">
        <v>29</v>
      </c>
      <c r="N5" s="11" t="s">
        <v>28</v>
      </c>
      <c r="O5" s="11" t="s">
        <v>29</v>
      </c>
      <c r="P5" s="9" t="s">
        <v>28</v>
      </c>
      <c r="Q5" s="11" t="s">
        <v>29</v>
      </c>
      <c r="R5" s="9" t="s">
        <v>27</v>
      </c>
      <c r="S5" s="9" t="s">
        <v>27</v>
      </c>
      <c r="T5" s="9" t="s">
        <v>27</v>
      </c>
      <c r="U5" s="9" t="s">
        <v>27</v>
      </c>
      <c r="V5" s="9" t="s">
        <v>27</v>
      </c>
      <c r="W5" s="9" t="s">
        <v>27</v>
      </c>
      <c r="X5" s="9" t="s">
        <v>27</v>
      </c>
      <c r="Y5" s="9" t="s">
        <v>29</v>
      </c>
      <c r="Z5" s="9" t="s">
        <v>29</v>
      </c>
      <c r="AA5" s="11" t="s">
        <v>29</v>
      </c>
      <c r="AB5" s="11" t="s">
        <v>29</v>
      </c>
    </row>
    <row r="6" customHeight="1" spans="1:28">
      <c r="C6" s="1">
        <v>1</v>
      </c>
      <c r="D6" s="12">
        <v>1</v>
      </c>
      <c r="E6" s="12">
        <v>100</v>
      </c>
      <c r="F6" s="26" t="s">
        <v>30</v>
      </c>
      <c r="G6" s="14">
        <v>1</v>
      </c>
      <c r="H6" s="26" t="s">
        <v>30</v>
      </c>
      <c r="I6" s="14">
        <v>1</v>
      </c>
      <c r="J6" s="26" t="s">
        <v>31</v>
      </c>
      <c r="K6" s="14">
        <v>1</v>
      </c>
      <c r="L6" s="14">
        <v>0</v>
      </c>
      <c r="M6" s="14">
        <v>0</v>
      </c>
      <c r="N6" s="14">
        <v>0</v>
      </c>
      <c r="O6" s="14">
        <v>0</v>
      </c>
      <c r="P6" s="1">
        <v>0</v>
      </c>
      <c r="Q6" s="1">
        <v>0</v>
      </c>
      <c r="R6" s="1">
        <v>0</v>
      </c>
      <c r="S6" s="15">
        <v>100</v>
      </c>
      <c r="T6" s="15">
        <v>100</v>
      </c>
      <c r="U6" s="15">
        <v>100</v>
      </c>
      <c r="V6" s="15">
        <v>100</v>
      </c>
      <c r="W6" s="15">
        <v>0</v>
      </c>
      <c r="X6" s="15">
        <v>0</v>
      </c>
      <c r="Y6" s="15">
        <v>70</v>
      </c>
      <c r="Z6" s="15">
        <v>0</v>
      </c>
      <c r="AA6" s="13">
        <v>10000000000</v>
      </c>
      <c r="AB6" s="13">
        <v>10000000000</v>
      </c>
    </row>
    <row r="7" customHeight="1" spans="1:28">
      <c r="C7" s="1">
        <v>2</v>
      </c>
      <c r="D7" s="1">
        <f t="shared" ref="D7:D70" si="0">E6+1</f>
        <v>101</v>
      </c>
      <c r="E7" s="1">
        <f t="shared" ref="E7:E70" si="1">E6+100</f>
        <v>200</v>
      </c>
      <c r="F7" s="26" t="s">
        <v>32</v>
      </c>
      <c r="G7" s="14">
        <v>1</v>
      </c>
      <c r="H7" s="26" t="s">
        <v>33</v>
      </c>
      <c r="I7" s="14">
        <v>1</v>
      </c>
      <c r="J7" s="26" t="s">
        <v>34</v>
      </c>
      <c r="K7" s="14">
        <v>1</v>
      </c>
      <c r="L7" s="14">
        <v>0</v>
      </c>
      <c r="M7" s="14">
        <v>0</v>
      </c>
      <c r="N7" s="14">
        <v>0</v>
      </c>
      <c r="O7" s="14">
        <v>0</v>
      </c>
      <c r="P7" s="1">
        <v>0</v>
      </c>
      <c r="Q7" s="1">
        <v>0</v>
      </c>
      <c r="R7" s="1">
        <v>0</v>
      </c>
      <c r="S7" s="15">
        <v>200</v>
      </c>
      <c r="T7" s="15">
        <v>200</v>
      </c>
      <c r="U7" s="15">
        <v>200</v>
      </c>
      <c r="V7" s="15">
        <v>200</v>
      </c>
      <c r="W7" s="15">
        <v>0</v>
      </c>
      <c r="X7" s="15">
        <v>0</v>
      </c>
      <c r="Y7" s="15">
        <v>70</v>
      </c>
      <c r="Z7" s="15">
        <v>0</v>
      </c>
      <c r="AA7" s="13">
        <v>500000000000</v>
      </c>
      <c r="AB7" s="13">
        <v>500000000000</v>
      </c>
    </row>
    <row r="8" customHeight="1" spans="1:28">
      <c r="C8" s="1">
        <v>3</v>
      </c>
      <c r="D8" s="1">
        <f t="shared" si="0"/>
        <v>201</v>
      </c>
      <c r="E8" s="1">
        <f t="shared" si="1"/>
        <v>300</v>
      </c>
      <c r="F8" s="26" t="s">
        <v>35</v>
      </c>
      <c r="G8" s="14">
        <v>1</v>
      </c>
      <c r="H8" s="26" t="s">
        <v>36</v>
      </c>
      <c r="I8" s="14">
        <v>1</v>
      </c>
      <c r="J8" s="26" t="s">
        <v>37</v>
      </c>
      <c r="K8" s="14">
        <v>1</v>
      </c>
      <c r="L8" s="14">
        <v>0</v>
      </c>
      <c r="M8" s="14">
        <v>0</v>
      </c>
      <c r="N8" s="14">
        <v>0</v>
      </c>
      <c r="O8" s="14">
        <v>0</v>
      </c>
      <c r="P8" s="1">
        <v>0</v>
      </c>
      <c r="Q8" s="1">
        <v>0</v>
      </c>
      <c r="R8" s="1">
        <v>0</v>
      </c>
      <c r="S8" s="15">
        <v>300</v>
      </c>
      <c r="T8" s="15">
        <v>300</v>
      </c>
      <c r="U8" s="15">
        <v>300</v>
      </c>
      <c r="V8" s="15">
        <v>300</v>
      </c>
      <c r="W8" s="15">
        <v>0</v>
      </c>
      <c r="X8" s="15">
        <v>0</v>
      </c>
      <c r="Y8" s="15">
        <v>70</v>
      </c>
      <c r="Z8" s="15">
        <v>0</v>
      </c>
      <c r="AA8" s="13">
        <v>1000000000000</v>
      </c>
      <c r="AB8" s="13">
        <v>1000000000000</v>
      </c>
    </row>
    <row r="9" customHeight="1" spans="1:28">
      <c r="C9" s="1">
        <v>4</v>
      </c>
      <c r="D9" s="1">
        <f t="shared" si="0"/>
        <v>301</v>
      </c>
      <c r="E9" s="1">
        <f t="shared" si="1"/>
        <v>400</v>
      </c>
      <c r="F9" s="26" t="s">
        <v>38</v>
      </c>
      <c r="G9" s="14">
        <v>1</v>
      </c>
      <c r="H9" s="26" t="s">
        <v>39</v>
      </c>
      <c r="I9" s="14">
        <v>1</v>
      </c>
      <c r="J9" s="26" t="s">
        <v>40</v>
      </c>
      <c r="K9" s="14">
        <v>1</v>
      </c>
      <c r="L9" s="14">
        <v>0</v>
      </c>
      <c r="M9" s="14">
        <v>0</v>
      </c>
      <c r="N9" s="14">
        <v>0</v>
      </c>
      <c r="O9" s="14">
        <v>0</v>
      </c>
      <c r="P9" s="1">
        <v>0</v>
      </c>
      <c r="Q9" s="1">
        <v>0</v>
      </c>
      <c r="R9" s="1">
        <v>0</v>
      </c>
      <c r="S9" s="15">
        <v>400</v>
      </c>
      <c r="T9" s="15">
        <v>400</v>
      </c>
      <c r="U9" s="15">
        <v>400</v>
      </c>
      <c r="V9" s="15">
        <v>400</v>
      </c>
      <c r="W9" s="15">
        <v>0</v>
      </c>
      <c r="X9" s="15">
        <v>0</v>
      </c>
      <c r="Y9" s="15">
        <v>70</v>
      </c>
      <c r="Z9" s="15">
        <v>0</v>
      </c>
      <c r="AA9" s="13">
        <v>5000000000000</v>
      </c>
      <c r="AB9" s="13">
        <v>5000000000000</v>
      </c>
    </row>
    <row r="10" customHeight="1" spans="1:28">
      <c r="C10" s="1">
        <v>5</v>
      </c>
      <c r="D10" s="1">
        <f t="shared" si="0"/>
        <v>401</v>
      </c>
      <c r="E10" s="1">
        <f t="shared" si="1"/>
        <v>500</v>
      </c>
      <c r="F10" s="26" t="s">
        <v>41</v>
      </c>
      <c r="G10" s="14">
        <v>1</v>
      </c>
      <c r="H10" s="26" t="s">
        <v>42</v>
      </c>
      <c r="I10" s="14">
        <v>1</v>
      </c>
      <c r="J10" s="26" t="s">
        <v>43</v>
      </c>
      <c r="K10" s="14">
        <v>1</v>
      </c>
      <c r="L10" s="14">
        <v>0</v>
      </c>
      <c r="M10" s="14">
        <v>0</v>
      </c>
      <c r="N10" s="14">
        <v>0</v>
      </c>
      <c r="O10" s="14">
        <v>0</v>
      </c>
      <c r="P10" s="1">
        <v>0</v>
      </c>
      <c r="Q10" s="1">
        <v>0</v>
      </c>
      <c r="R10" s="1">
        <v>0</v>
      </c>
      <c r="S10" s="15">
        <v>500</v>
      </c>
      <c r="T10" s="15">
        <v>500</v>
      </c>
      <c r="U10" s="15">
        <v>500</v>
      </c>
      <c r="V10" s="15">
        <v>500</v>
      </c>
      <c r="W10" s="15">
        <v>0</v>
      </c>
      <c r="X10" s="15">
        <v>0</v>
      </c>
      <c r="Y10" s="15">
        <v>70</v>
      </c>
      <c r="Z10" s="15">
        <v>0</v>
      </c>
      <c r="AA10" s="13">
        <v>10000000000000</v>
      </c>
      <c r="AB10" s="13">
        <v>10000000000000</v>
      </c>
    </row>
    <row r="11" customHeight="1" spans="1:28">
      <c r="C11" s="1">
        <v>6</v>
      </c>
      <c r="D11" s="1">
        <f t="shared" si="0"/>
        <v>501</v>
      </c>
      <c r="E11" s="1">
        <f t="shared" si="1"/>
        <v>600</v>
      </c>
      <c r="F11" s="26" t="s">
        <v>44</v>
      </c>
      <c r="G11" s="14">
        <v>1</v>
      </c>
      <c r="H11" s="26" t="s">
        <v>45</v>
      </c>
      <c r="I11" s="14">
        <v>1</v>
      </c>
      <c r="J11" s="26" t="s">
        <v>46</v>
      </c>
      <c r="K11" s="14">
        <v>1</v>
      </c>
      <c r="L11" s="14">
        <v>0</v>
      </c>
      <c r="M11" s="14">
        <v>0</v>
      </c>
      <c r="N11" s="14">
        <v>0</v>
      </c>
      <c r="O11" s="14">
        <v>0</v>
      </c>
      <c r="P11" s="1">
        <v>0</v>
      </c>
      <c r="Q11" s="1">
        <v>0</v>
      </c>
      <c r="R11" s="1">
        <v>0</v>
      </c>
      <c r="S11" s="15">
        <v>600</v>
      </c>
      <c r="T11" s="15">
        <v>600</v>
      </c>
      <c r="U11" s="15">
        <v>600</v>
      </c>
      <c r="V11" s="15">
        <v>600</v>
      </c>
      <c r="W11" s="15">
        <v>10</v>
      </c>
      <c r="X11" s="15">
        <v>0</v>
      </c>
      <c r="Y11" s="15">
        <v>70</v>
      </c>
      <c r="Z11" s="15">
        <v>0</v>
      </c>
      <c r="AA11" s="13">
        <v>100000000000000</v>
      </c>
      <c r="AB11" s="13">
        <v>100000000000000</v>
      </c>
    </row>
    <row r="12" customHeight="1" spans="1:28">
      <c r="C12" s="1">
        <v>7</v>
      </c>
      <c r="D12" s="1">
        <f t="shared" si="0"/>
        <v>601</v>
      </c>
      <c r="E12" s="1">
        <f t="shared" si="1"/>
        <v>700</v>
      </c>
      <c r="F12" s="26" t="s">
        <v>47</v>
      </c>
      <c r="G12" s="14">
        <v>1</v>
      </c>
      <c r="H12" s="26" t="s">
        <v>48</v>
      </c>
      <c r="I12" s="14">
        <v>1</v>
      </c>
      <c r="J12" s="26" t="s">
        <v>49</v>
      </c>
      <c r="K12" s="14">
        <v>1</v>
      </c>
      <c r="L12" s="14">
        <v>0</v>
      </c>
      <c r="M12" s="14">
        <v>0</v>
      </c>
      <c r="N12" s="14">
        <v>0</v>
      </c>
      <c r="O12" s="14">
        <v>0</v>
      </c>
      <c r="P12" s="1">
        <v>0</v>
      </c>
      <c r="Q12" s="1">
        <v>0</v>
      </c>
      <c r="R12" s="1">
        <v>0</v>
      </c>
      <c r="S12" s="15">
        <v>700</v>
      </c>
      <c r="T12" s="15">
        <v>700</v>
      </c>
      <c r="U12" s="15">
        <v>700</v>
      </c>
      <c r="V12" s="15">
        <v>700</v>
      </c>
      <c r="W12" s="15">
        <v>20</v>
      </c>
      <c r="X12" s="15">
        <v>0</v>
      </c>
      <c r="Y12" s="15">
        <v>70</v>
      </c>
      <c r="Z12" s="15">
        <v>30</v>
      </c>
      <c r="AA12" s="13">
        <v>200000000000000</v>
      </c>
      <c r="AB12" s="13">
        <v>200000000000000</v>
      </c>
    </row>
    <row r="13" customHeight="1" spans="1:28">
      <c r="C13" s="1">
        <v>8</v>
      </c>
      <c r="D13" s="1">
        <f t="shared" si="0"/>
        <v>701</v>
      </c>
      <c r="E13" s="1">
        <f t="shared" si="1"/>
        <v>800</v>
      </c>
      <c r="F13" s="26" t="s">
        <v>50</v>
      </c>
      <c r="G13" s="14">
        <v>1</v>
      </c>
      <c r="H13" s="26" t="s">
        <v>51</v>
      </c>
      <c r="I13" s="14">
        <v>1</v>
      </c>
      <c r="J13" s="26" t="s">
        <v>52</v>
      </c>
      <c r="K13" s="14">
        <v>1</v>
      </c>
      <c r="L13" s="14">
        <v>0</v>
      </c>
      <c r="M13" s="14">
        <v>0</v>
      </c>
      <c r="N13" s="14">
        <v>0</v>
      </c>
      <c r="O13" s="14">
        <v>0</v>
      </c>
      <c r="P13" s="1">
        <v>0</v>
      </c>
      <c r="Q13" s="1">
        <v>0</v>
      </c>
      <c r="R13" s="1">
        <v>0</v>
      </c>
      <c r="S13" s="15">
        <v>800</v>
      </c>
      <c r="T13" s="15">
        <v>800</v>
      </c>
      <c r="U13" s="15">
        <v>800</v>
      </c>
      <c r="V13" s="15">
        <v>800</v>
      </c>
      <c r="W13" s="15">
        <v>30</v>
      </c>
      <c r="X13" s="15">
        <v>0</v>
      </c>
      <c r="Y13" s="15">
        <v>80</v>
      </c>
      <c r="Z13" s="15">
        <v>50</v>
      </c>
      <c r="AA13" s="13">
        <v>400000000000000</v>
      </c>
      <c r="AB13" s="13">
        <v>400000000000000</v>
      </c>
    </row>
    <row r="14" customHeight="1" spans="1:28">
      <c r="C14" s="1">
        <v>9</v>
      </c>
      <c r="D14" s="1">
        <f t="shared" si="0"/>
        <v>801</v>
      </c>
      <c r="E14" s="1">
        <f t="shared" si="1"/>
        <v>900</v>
      </c>
      <c r="F14" s="26" t="s">
        <v>53</v>
      </c>
      <c r="G14" s="14">
        <v>1</v>
      </c>
      <c r="H14" s="26" t="s">
        <v>54</v>
      </c>
      <c r="I14" s="14">
        <v>1</v>
      </c>
      <c r="J14" s="26" t="s">
        <v>55</v>
      </c>
      <c r="K14" s="14">
        <v>1</v>
      </c>
      <c r="L14" s="14">
        <v>0</v>
      </c>
      <c r="M14" s="14">
        <v>0</v>
      </c>
      <c r="N14" s="14">
        <v>0</v>
      </c>
      <c r="O14" s="14">
        <v>0</v>
      </c>
      <c r="P14" s="1">
        <v>0</v>
      </c>
      <c r="Q14" s="1">
        <v>0</v>
      </c>
      <c r="R14" s="1">
        <v>0</v>
      </c>
      <c r="S14" s="15">
        <v>900</v>
      </c>
      <c r="T14" s="15">
        <v>900</v>
      </c>
      <c r="U14" s="15">
        <v>900</v>
      </c>
      <c r="V14" s="15">
        <v>900</v>
      </c>
      <c r="W14" s="15">
        <v>40</v>
      </c>
      <c r="X14" s="15">
        <v>0</v>
      </c>
      <c r="Y14" s="15">
        <v>90</v>
      </c>
      <c r="Z14" s="15">
        <v>70</v>
      </c>
      <c r="AA14" s="13">
        <v>800000000000000</v>
      </c>
      <c r="AB14" s="13">
        <v>800000000000000</v>
      </c>
    </row>
    <row r="15" customHeight="1" spans="1:28">
      <c r="C15" s="1">
        <v>10</v>
      </c>
      <c r="D15" s="1">
        <f t="shared" si="0"/>
        <v>901</v>
      </c>
      <c r="E15" s="1">
        <f t="shared" si="1"/>
        <v>1000</v>
      </c>
      <c r="F15" s="26" t="s">
        <v>56</v>
      </c>
      <c r="G15" s="14">
        <v>1</v>
      </c>
      <c r="H15" s="26" t="s">
        <v>57</v>
      </c>
      <c r="I15" s="14">
        <v>1</v>
      </c>
      <c r="J15" s="26" t="s">
        <v>58</v>
      </c>
      <c r="K15" s="14">
        <v>1</v>
      </c>
      <c r="L15" s="14">
        <v>0</v>
      </c>
      <c r="M15" s="14">
        <v>0</v>
      </c>
      <c r="N15" s="14">
        <v>0</v>
      </c>
      <c r="O15" s="14">
        <v>0</v>
      </c>
      <c r="P15" s="1">
        <v>0</v>
      </c>
      <c r="Q15" s="1">
        <v>0</v>
      </c>
      <c r="R15" s="1">
        <v>0</v>
      </c>
      <c r="S15" s="15">
        <v>1000</v>
      </c>
      <c r="T15" s="15">
        <v>1000</v>
      </c>
      <c r="U15" s="15">
        <v>1000</v>
      </c>
      <c r="V15" s="15">
        <v>1000</v>
      </c>
      <c r="W15" s="15">
        <v>50</v>
      </c>
      <c r="X15" s="15">
        <v>0</v>
      </c>
      <c r="Y15" s="15">
        <v>95</v>
      </c>
      <c r="Z15" s="15">
        <v>90</v>
      </c>
      <c r="AA15" s="13">
        <v>1600000000000000</v>
      </c>
      <c r="AB15" s="13">
        <v>1600000000000000</v>
      </c>
    </row>
    <row r="16" customHeight="1" spans="1:28">
      <c r="C16" s="1">
        <v>11</v>
      </c>
      <c r="D16" s="1">
        <f t="shared" si="0"/>
        <v>1001</v>
      </c>
      <c r="E16" s="1">
        <f t="shared" si="1"/>
        <v>1100</v>
      </c>
      <c r="F16" s="26" t="s">
        <v>59</v>
      </c>
      <c r="G16" s="14">
        <v>0.2</v>
      </c>
      <c r="H16" s="26" t="s">
        <v>60</v>
      </c>
      <c r="I16" s="14">
        <v>0.1</v>
      </c>
      <c r="J16" s="26" t="s">
        <v>61</v>
      </c>
      <c r="K16" s="14">
        <v>1</v>
      </c>
      <c r="L16" s="14">
        <v>0</v>
      </c>
      <c r="M16" s="14">
        <v>0</v>
      </c>
      <c r="N16" s="14">
        <v>0</v>
      </c>
      <c r="O16" s="14">
        <v>0</v>
      </c>
      <c r="P16" s="1">
        <v>0</v>
      </c>
      <c r="Q16" s="1">
        <v>0</v>
      </c>
      <c r="R16" s="1">
        <v>0</v>
      </c>
      <c r="S16" s="15">
        <f>S15+200</f>
        <v>1200</v>
      </c>
      <c r="T16" s="15">
        <f t="shared" ref="T16:T25" si="2">T15+200</f>
        <v>1200</v>
      </c>
      <c r="U16" s="15">
        <f t="shared" ref="U16:U25" si="3">U15+200</f>
        <v>1200</v>
      </c>
      <c r="V16" s="15">
        <f t="shared" ref="V16:V25" si="4">V15+200</f>
        <v>1200</v>
      </c>
      <c r="W16" s="15">
        <v>55</v>
      </c>
      <c r="X16" s="15">
        <v>20</v>
      </c>
      <c r="Y16" s="15">
        <v>95</v>
      </c>
      <c r="Z16" s="15">
        <v>90</v>
      </c>
      <c r="AA16" s="13">
        <v>3200000000000000</v>
      </c>
      <c r="AB16" s="13">
        <v>3200000000000000</v>
      </c>
    </row>
    <row r="17" customHeight="1" spans="3:28">
      <c r="C17" s="1">
        <v>12</v>
      </c>
      <c r="D17" s="1">
        <f t="shared" si="0"/>
        <v>1101</v>
      </c>
      <c r="E17" s="1">
        <f t="shared" si="1"/>
        <v>1200</v>
      </c>
      <c r="F17" s="26" t="s">
        <v>62</v>
      </c>
      <c r="G17" s="14">
        <v>0.2</v>
      </c>
      <c r="H17" s="26" t="s">
        <v>63</v>
      </c>
      <c r="I17" s="14">
        <v>0.1</v>
      </c>
      <c r="J17" s="26" t="s">
        <v>64</v>
      </c>
      <c r="K17" s="14">
        <v>1</v>
      </c>
      <c r="L17" s="14">
        <v>0</v>
      </c>
      <c r="M17" s="14">
        <v>0</v>
      </c>
      <c r="N17" s="14">
        <v>0</v>
      </c>
      <c r="O17" s="14">
        <v>0</v>
      </c>
      <c r="P17" s="1">
        <v>0</v>
      </c>
      <c r="Q17" s="1">
        <v>0</v>
      </c>
      <c r="R17" s="1">
        <v>0</v>
      </c>
      <c r="S17" s="15">
        <f>S16+200</f>
        <v>1400</v>
      </c>
      <c r="T17" s="15">
        <f t="shared" si="2"/>
        <v>1400</v>
      </c>
      <c r="U17" s="15">
        <f t="shared" si="3"/>
        <v>1400</v>
      </c>
      <c r="V17" s="15">
        <f t="shared" si="4"/>
        <v>1400</v>
      </c>
      <c r="W17" s="15">
        <v>60</v>
      </c>
      <c r="X17" s="15">
        <f t="shared" ref="X17:X40" si="5">X16+5</f>
        <v>25</v>
      </c>
      <c r="Y17" s="15">
        <v>95</v>
      </c>
      <c r="Z17" s="15">
        <v>90</v>
      </c>
      <c r="AA17" s="13">
        <v>6400000000000000</v>
      </c>
      <c r="AB17" s="13">
        <v>6400000000000000</v>
      </c>
    </row>
    <row r="18" customHeight="1" spans="3:28">
      <c r="C18" s="1">
        <v>13</v>
      </c>
      <c r="D18" s="1">
        <f t="shared" si="0"/>
        <v>1201</v>
      </c>
      <c r="E18" s="1">
        <f t="shared" si="1"/>
        <v>1300</v>
      </c>
      <c r="F18" s="26" t="s">
        <v>65</v>
      </c>
      <c r="G18" s="14">
        <v>0.2</v>
      </c>
      <c r="H18" s="26" t="s">
        <v>66</v>
      </c>
      <c r="I18" s="14">
        <v>0.1</v>
      </c>
      <c r="J18" s="26" t="s">
        <v>67</v>
      </c>
      <c r="K18" s="14">
        <v>1</v>
      </c>
      <c r="L18" s="14">
        <v>0</v>
      </c>
      <c r="M18" s="14">
        <v>0</v>
      </c>
      <c r="N18" s="14">
        <v>0</v>
      </c>
      <c r="O18" s="14">
        <v>0</v>
      </c>
      <c r="P18" s="1">
        <v>0</v>
      </c>
      <c r="Q18" s="1">
        <v>0</v>
      </c>
      <c r="R18" s="1">
        <v>0</v>
      </c>
      <c r="S18" s="15">
        <f>S17+200</f>
        <v>1600</v>
      </c>
      <c r="T18" s="15">
        <f t="shared" si="2"/>
        <v>1600</v>
      </c>
      <c r="U18" s="15">
        <f t="shared" si="3"/>
        <v>1600</v>
      </c>
      <c r="V18" s="15">
        <f t="shared" si="4"/>
        <v>1600</v>
      </c>
      <c r="W18" s="15">
        <v>65</v>
      </c>
      <c r="X18" s="15">
        <f t="shared" si="5"/>
        <v>30</v>
      </c>
      <c r="Y18" s="15">
        <v>95</v>
      </c>
      <c r="Z18" s="15">
        <v>90</v>
      </c>
      <c r="AA18" s="13">
        <v>1e+16</v>
      </c>
      <c r="AB18" s="13">
        <v>1e+16</v>
      </c>
    </row>
    <row r="19" customHeight="1" spans="3:28">
      <c r="C19" s="1">
        <v>14</v>
      </c>
      <c r="D19" s="1">
        <f t="shared" si="0"/>
        <v>1301</v>
      </c>
      <c r="E19" s="1">
        <f t="shared" si="1"/>
        <v>1400</v>
      </c>
      <c r="F19" s="26" t="s">
        <v>68</v>
      </c>
      <c r="G19" s="14">
        <v>0.2</v>
      </c>
      <c r="H19" s="26" t="s">
        <v>69</v>
      </c>
      <c r="I19" s="14">
        <v>0.1</v>
      </c>
      <c r="J19" s="26" t="s">
        <v>70</v>
      </c>
      <c r="K19" s="14">
        <v>1</v>
      </c>
      <c r="L19" s="14">
        <v>0</v>
      </c>
      <c r="M19" s="14">
        <v>0</v>
      </c>
      <c r="N19" s="14">
        <v>0</v>
      </c>
      <c r="O19" s="14">
        <v>0</v>
      </c>
      <c r="P19" s="1">
        <v>0</v>
      </c>
      <c r="Q19" s="1">
        <v>0</v>
      </c>
      <c r="R19" s="1">
        <v>0</v>
      </c>
      <c r="S19" s="15">
        <f>S18+200</f>
        <v>1800</v>
      </c>
      <c r="T19" s="15">
        <f t="shared" si="2"/>
        <v>1800</v>
      </c>
      <c r="U19" s="15">
        <f t="shared" si="3"/>
        <v>1800</v>
      </c>
      <c r="V19" s="15">
        <f t="shared" si="4"/>
        <v>1800</v>
      </c>
      <c r="W19" s="15">
        <v>70</v>
      </c>
      <c r="X19" s="15">
        <f t="shared" si="5"/>
        <v>35</v>
      </c>
      <c r="Y19" s="15">
        <v>95</v>
      </c>
      <c r="Z19" s="15">
        <v>90</v>
      </c>
      <c r="AA19" s="13">
        <v>2e+16</v>
      </c>
      <c r="AB19" s="13">
        <v>2e+16</v>
      </c>
    </row>
    <row r="20" customHeight="1" spans="3:28">
      <c r="C20" s="1">
        <v>15</v>
      </c>
      <c r="D20" s="1">
        <f t="shared" si="0"/>
        <v>1401</v>
      </c>
      <c r="E20" s="1">
        <f t="shared" si="1"/>
        <v>1500</v>
      </c>
      <c r="F20" s="26" t="s">
        <v>71</v>
      </c>
      <c r="G20" s="14">
        <v>0.2</v>
      </c>
      <c r="H20" s="26" t="s">
        <v>72</v>
      </c>
      <c r="I20" s="14">
        <v>0.1</v>
      </c>
      <c r="J20" s="26" t="s">
        <v>73</v>
      </c>
      <c r="K20" s="14">
        <v>1</v>
      </c>
      <c r="L20" s="14">
        <v>0</v>
      </c>
      <c r="M20" s="14">
        <v>0</v>
      </c>
      <c r="N20" s="14">
        <v>0</v>
      </c>
      <c r="O20" s="14">
        <v>0</v>
      </c>
      <c r="P20" s="1">
        <v>0</v>
      </c>
      <c r="Q20" s="1">
        <v>0</v>
      </c>
      <c r="R20" s="1">
        <v>0</v>
      </c>
      <c r="S20" s="15">
        <f>S19+200</f>
        <v>2000</v>
      </c>
      <c r="T20" s="15">
        <f t="shared" si="2"/>
        <v>2000</v>
      </c>
      <c r="U20" s="15">
        <f t="shared" si="3"/>
        <v>2000</v>
      </c>
      <c r="V20" s="15">
        <f t="shared" si="4"/>
        <v>2000</v>
      </c>
      <c r="W20" s="15">
        <v>75</v>
      </c>
      <c r="X20" s="15">
        <f t="shared" si="5"/>
        <v>40</v>
      </c>
      <c r="Y20" s="15">
        <v>95</v>
      </c>
      <c r="Z20" s="15">
        <v>90</v>
      </c>
      <c r="AA20" s="13">
        <v>3e+16</v>
      </c>
      <c r="AB20" s="13">
        <v>3e+16</v>
      </c>
    </row>
    <row r="21" customHeight="1" spans="3:28">
      <c r="C21" s="1">
        <v>16</v>
      </c>
      <c r="D21" s="1">
        <f t="shared" si="0"/>
        <v>1501</v>
      </c>
      <c r="E21" s="1">
        <f t="shared" si="1"/>
        <v>1600</v>
      </c>
      <c r="F21" s="13" t="s">
        <v>74</v>
      </c>
      <c r="G21" s="14">
        <v>0.1</v>
      </c>
      <c r="H21" s="13" t="s">
        <v>75</v>
      </c>
      <c r="I21" s="14">
        <v>1</v>
      </c>
      <c r="J21" s="13" t="s">
        <v>76</v>
      </c>
      <c r="K21" s="14">
        <v>10</v>
      </c>
      <c r="L21" s="14">
        <v>100</v>
      </c>
      <c r="M21" s="14">
        <v>0.2</v>
      </c>
      <c r="N21" s="14">
        <v>0</v>
      </c>
      <c r="O21" s="14">
        <v>0</v>
      </c>
      <c r="P21" s="1">
        <v>0</v>
      </c>
      <c r="Q21" s="1">
        <v>0</v>
      </c>
      <c r="R21" s="1">
        <v>0</v>
      </c>
      <c r="S21" s="15">
        <f>S20+500</f>
        <v>2500</v>
      </c>
      <c r="T21" s="15">
        <f>T20+500</f>
        <v>2500</v>
      </c>
      <c r="U21" s="15">
        <f t="shared" ref="U21:U35" si="6">U20+500</f>
        <v>2500</v>
      </c>
      <c r="V21" s="15">
        <f t="shared" ref="V21:V35" si="7">V20+500</f>
        <v>2500</v>
      </c>
      <c r="W21" s="15">
        <f t="shared" ref="W21:W40" si="8">W20+5</f>
        <v>80</v>
      </c>
      <c r="X21" s="15">
        <f t="shared" si="5"/>
        <v>45</v>
      </c>
      <c r="Y21" s="15">
        <v>95</v>
      </c>
      <c r="Z21" s="15">
        <v>95</v>
      </c>
      <c r="AA21" s="13">
        <v>4e+16</v>
      </c>
      <c r="AB21" s="13">
        <v>4e+16</v>
      </c>
    </row>
    <row r="22" customHeight="1" spans="3:28">
      <c r="C22" s="1">
        <v>17</v>
      </c>
      <c r="D22" s="1">
        <f t="shared" si="0"/>
        <v>1601</v>
      </c>
      <c r="E22" s="1">
        <f t="shared" si="1"/>
        <v>1700</v>
      </c>
      <c r="F22" s="13" t="s">
        <v>75</v>
      </c>
      <c r="G22" s="14">
        <v>0.1</v>
      </c>
      <c r="H22" s="13" t="s">
        <v>77</v>
      </c>
      <c r="I22" s="14">
        <v>1</v>
      </c>
      <c r="J22" s="13" t="s">
        <v>78</v>
      </c>
      <c r="K22" s="14">
        <v>10</v>
      </c>
      <c r="L22" s="14">
        <v>2000</v>
      </c>
      <c r="M22" s="14">
        <v>0.2</v>
      </c>
      <c r="N22" s="14">
        <v>0</v>
      </c>
      <c r="O22" s="14">
        <v>0</v>
      </c>
      <c r="P22" s="1">
        <v>0</v>
      </c>
      <c r="Q22" s="1">
        <v>0</v>
      </c>
      <c r="R22" s="1">
        <v>0</v>
      </c>
      <c r="S22" s="15">
        <f t="shared" ref="S22:S35" si="9">S21+1000</f>
        <v>3500</v>
      </c>
      <c r="T22" s="15">
        <f t="shared" ref="T22:T35" si="10">T21+1000</f>
        <v>3500</v>
      </c>
      <c r="U22" s="15">
        <f t="shared" si="6"/>
        <v>3000</v>
      </c>
      <c r="V22" s="15">
        <f t="shared" si="7"/>
        <v>3000</v>
      </c>
      <c r="W22" s="15">
        <f t="shared" si="8"/>
        <v>85</v>
      </c>
      <c r="X22" s="15">
        <f t="shared" si="5"/>
        <v>50</v>
      </c>
      <c r="Y22" s="15">
        <v>95</v>
      </c>
      <c r="Z22" s="15">
        <v>95</v>
      </c>
      <c r="AA22" s="13">
        <v>5e+16</v>
      </c>
      <c r="AB22" s="13">
        <v>5e+16</v>
      </c>
    </row>
    <row r="23" customHeight="1" spans="3:28">
      <c r="C23" s="1">
        <v>18</v>
      </c>
      <c r="D23" s="1">
        <f t="shared" si="0"/>
        <v>1701</v>
      </c>
      <c r="E23" s="1">
        <f t="shared" si="1"/>
        <v>1800</v>
      </c>
      <c r="F23" s="13" t="s">
        <v>79</v>
      </c>
      <c r="G23" s="14">
        <v>0.1</v>
      </c>
      <c r="H23" s="13" t="s">
        <v>80</v>
      </c>
      <c r="I23" s="14">
        <v>1</v>
      </c>
      <c r="J23" s="13" t="s">
        <v>81</v>
      </c>
      <c r="K23" s="14">
        <v>10</v>
      </c>
      <c r="L23" s="14" t="s">
        <v>82</v>
      </c>
      <c r="M23" s="14">
        <v>0.2</v>
      </c>
      <c r="N23" s="14">
        <v>0</v>
      </c>
      <c r="O23" s="14">
        <v>0</v>
      </c>
      <c r="P23" s="1">
        <v>0</v>
      </c>
      <c r="Q23" s="1">
        <v>0</v>
      </c>
      <c r="R23" s="1">
        <v>0</v>
      </c>
      <c r="S23" s="15">
        <f t="shared" si="9"/>
        <v>4500</v>
      </c>
      <c r="T23" s="15">
        <f t="shared" si="10"/>
        <v>4500</v>
      </c>
      <c r="U23" s="15">
        <f t="shared" si="6"/>
        <v>3500</v>
      </c>
      <c r="V23" s="15">
        <f t="shared" si="7"/>
        <v>3500</v>
      </c>
      <c r="W23" s="15">
        <f t="shared" si="8"/>
        <v>90</v>
      </c>
      <c r="X23" s="15">
        <f t="shared" si="5"/>
        <v>55</v>
      </c>
      <c r="Y23" s="15">
        <v>95</v>
      </c>
      <c r="Z23" s="15">
        <v>95</v>
      </c>
      <c r="AA23" s="13">
        <v>6e+16</v>
      </c>
      <c r="AB23" s="13">
        <v>6e+16</v>
      </c>
    </row>
    <row r="24" customHeight="1" spans="3:28">
      <c r="C24" s="1">
        <v>19</v>
      </c>
      <c r="D24" s="1">
        <f t="shared" si="0"/>
        <v>1801</v>
      </c>
      <c r="E24" s="1">
        <f t="shared" si="1"/>
        <v>1900</v>
      </c>
      <c r="F24" s="13" t="s">
        <v>77</v>
      </c>
      <c r="G24" s="14">
        <v>0.1</v>
      </c>
      <c r="H24" s="13" t="s">
        <v>83</v>
      </c>
      <c r="I24" s="14">
        <v>1</v>
      </c>
      <c r="J24" s="13" t="s">
        <v>84</v>
      </c>
      <c r="K24" s="14">
        <v>10</v>
      </c>
      <c r="L24" s="14" t="s">
        <v>85</v>
      </c>
      <c r="M24" s="14">
        <v>0.2</v>
      </c>
      <c r="N24" s="14">
        <v>0</v>
      </c>
      <c r="O24" s="14">
        <v>0</v>
      </c>
      <c r="P24" s="1">
        <v>0</v>
      </c>
      <c r="Q24" s="1">
        <v>0</v>
      </c>
      <c r="R24" s="1">
        <v>0</v>
      </c>
      <c r="S24" s="15">
        <f t="shared" si="9"/>
        <v>5500</v>
      </c>
      <c r="T24" s="15">
        <f t="shared" si="10"/>
        <v>5500</v>
      </c>
      <c r="U24" s="15">
        <f t="shared" si="6"/>
        <v>4000</v>
      </c>
      <c r="V24" s="15">
        <f t="shared" si="7"/>
        <v>4000</v>
      </c>
      <c r="W24" s="15">
        <f t="shared" si="8"/>
        <v>95</v>
      </c>
      <c r="X24" s="15">
        <f t="shared" si="5"/>
        <v>60</v>
      </c>
      <c r="Y24" s="15">
        <v>95</v>
      </c>
      <c r="Z24" s="15">
        <v>95</v>
      </c>
      <c r="AA24" s="13">
        <v>7e+16</v>
      </c>
      <c r="AB24" s="13">
        <v>7e+16</v>
      </c>
    </row>
    <row r="25" customHeight="1" spans="3:28">
      <c r="C25" s="1">
        <v>20</v>
      </c>
      <c r="D25" s="1">
        <f t="shared" si="0"/>
        <v>1901</v>
      </c>
      <c r="E25" s="1">
        <f t="shared" si="1"/>
        <v>2000</v>
      </c>
      <c r="F25" s="13" t="s">
        <v>86</v>
      </c>
      <c r="G25" s="14">
        <v>0.1</v>
      </c>
      <c r="H25" s="13" t="s">
        <v>87</v>
      </c>
      <c r="I25" s="14">
        <v>1</v>
      </c>
      <c r="J25" s="13" t="s">
        <v>88</v>
      </c>
      <c r="K25" s="14">
        <v>10</v>
      </c>
      <c r="L25" s="14" t="s">
        <v>89</v>
      </c>
      <c r="M25" s="14">
        <v>0.2</v>
      </c>
      <c r="N25" s="14">
        <v>0</v>
      </c>
      <c r="O25" s="14">
        <v>0</v>
      </c>
      <c r="P25" s="1">
        <v>0</v>
      </c>
      <c r="Q25" s="1">
        <v>0</v>
      </c>
      <c r="R25" s="1">
        <v>0</v>
      </c>
      <c r="S25" s="15">
        <f t="shared" si="9"/>
        <v>6500</v>
      </c>
      <c r="T25" s="15">
        <f t="shared" si="10"/>
        <v>6500</v>
      </c>
      <c r="U25" s="15">
        <f t="shared" si="6"/>
        <v>4500</v>
      </c>
      <c r="V25" s="15">
        <f t="shared" si="7"/>
        <v>4500</v>
      </c>
      <c r="W25" s="15">
        <f t="shared" si="8"/>
        <v>100</v>
      </c>
      <c r="X25" s="15">
        <f t="shared" si="5"/>
        <v>65</v>
      </c>
      <c r="Y25" s="15">
        <v>95</v>
      </c>
      <c r="Z25" s="15">
        <v>95</v>
      </c>
      <c r="AA25" s="13">
        <v>8e+16</v>
      </c>
      <c r="AB25" s="13">
        <v>8e+16</v>
      </c>
    </row>
    <row r="26" s="2" customFormat="1" customHeight="1" spans="3:28">
      <c r="C26" s="16">
        <v>21</v>
      </c>
      <c r="D26" s="16">
        <f t="shared" si="0"/>
        <v>2001</v>
      </c>
      <c r="E26" s="16">
        <f t="shared" si="1"/>
        <v>2100</v>
      </c>
      <c r="F26" s="13" t="s">
        <v>80</v>
      </c>
      <c r="G26" s="14">
        <v>0.1</v>
      </c>
      <c r="H26" s="17" t="s">
        <v>90</v>
      </c>
      <c r="I26" s="18">
        <v>1</v>
      </c>
      <c r="J26" s="17" t="s">
        <v>91</v>
      </c>
      <c r="K26" s="18">
        <v>10</v>
      </c>
      <c r="L26" s="14" t="s">
        <v>92</v>
      </c>
      <c r="M26" s="14">
        <v>0.2</v>
      </c>
      <c r="N26" s="14">
        <v>0</v>
      </c>
      <c r="O26" s="14">
        <v>0</v>
      </c>
      <c r="P26" s="1">
        <v>0</v>
      </c>
      <c r="Q26" s="1">
        <v>0</v>
      </c>
      <c r="R26" s="1">
        <v>0</v>
      </c>
      <c r="S26" s="2">
        <f t="shared" si="9"/>
        <v>7500</v>
      </c>
      <c r="T26" s="2">
        <f t="shared" si="10"/>
        <v>7500</v>
      </c>
      <c r="U26" s="2">
        <f t="shared" si="6"/>
        <v>5000</v>
      </c>
      <c r="V26" s="2">
        <f t="shared" si="7"/>
        <v>5000</v>
      </c>
      <c r="W26" s="2">
        <f t="shared" si="8"/>
        <v>105</v>
      </c>
      <c r="X26" s="2">
        <f t="shared" si="5"/>
        <v>70</v>
      </c>
      <c r="Y26" s="2">
        <v>95</v>
      </c>
      <c r="Z26" s="15">
        <v>99</v>
      </c>
      <c r="AA26" s="17">
        <v>9e+16</v>
      </c>
      <c r="AB26" s="17">
        <v>9e+16</v>
      </c>
    </row>
    <row r="27" customHeight="1" spans="3:28">
      <c r="C27" s="1">
        <v>22</v>
      </c>
      <c r="D27" s="1">
        <f t="shared" si="0"/>
        <v>2101</v>
      </c>
      <c r="E27" s="1">
        <f t="shared" si="1"/>
        <v>2200</v>
      </c>
      <c r="F27" s="13" t="s">
        <v>93</v>
      </c>
      <c r="G27" s="14">
        <v>0.1</v>
      </c>
      <c r="H27" s="13" t="s">
        <v>94</v>
      </c>
      <c r="I27" s="14">
        <v>1</v>
      </c>
      <c r="J27" s="13" t="s">
        <v>95</v>
      </c>
      <c r="K27" s="14">
        <v>10</v>
      </c>
      <c r="L27" s="14" t="s">
        <v>96</v>
      </c>
      <c r="M27" s="14">
        <v>0.2</v>
      </c>
      <c r="N27" s="14">
        <v>0</v>
      </c>
      <c r="O27" s="14">
        <v>0</v>
      </c>
      <c r="P27" s="1">
        <v>0</v>
      </c>
      <c r="Q27" s="1">
        <v>0</v>
      </c>
      <c r="R27" s="1">
        <v>0</v>
      </c>
      <c r="S27" s="15">
        <f t="shared" si="9"/>
        <v>8500</v>
      </c>
      <c r="T27" s="15">
        <f t="shared" si="10"/>
        <v>8500</v>
      </c>
      <c r="U27" s="15">
        <f t="shared" si="6"/>
        <v>5500</v>
      </c>
      <c r="V27" s="15">
        <f t="shared" si="7"/>
        <v>5500</v>
      </c>
      <c r="W27" s="15">
        <f t="shared" si="8"/>
        <v>110</v>
      </c>
      <c r="X27" s="15">
        <f t="shared" si="5"/>
        <v>75</v>
      </c>
      <c r="Y27" s="15">
        <v>95</v>
      </c>
      <c r="Z27" s="15">
        <v>99.1</v>
      </c>
      <c r="AA27" s="13">
        <v>1e+17</v>
      </c>
      <c r="AB27" s="13">
        <v>1e+17</v>
      </c>
    </row>
    <row r="28" customHeight="1" spans="3:28">
      <c r="C28" s="1">
        <v>23</v>
      </c>
      <c r="D28" s="1">
        <f t="shared" si="0"/>
        <v>2201</v>
      </c>
      <c r="E28" s="1">
        <f t="shared" si="1"/>
        <v>2300</v>
      </c>
      <c r="F28" s="13" t="s">
        <v>83</v>
      </c>
      <c r="G28" s="14">
        <v>0.1</v>
      </c>
      <c r="H28" s="13" t="s">
        <v>97</v>
      </c>
      <c r="I28" s="14">
        <v>1</v>
      </c>
      <c r="J28" s="13" t="s">
        <v>98</v>
      </c>
      <c r="K28" s="14">
        <v>10</v>
      </c>
      <c r="L28" s="14" t="s">
        <v>99</v>
      </c>
      <c r="M28" s="14">
        <v>0.2</v>
      </c>
      <c r="N28" s="14">
        <v>0</v>
      </c>
      <c r="O28" s="14">
        <v>0</v>
      </c>
      <c r="P28" s="1">
        <v>0</v>
      </c>
      <c r="Q28" s="1">
        <v>0</v>
      </c>
      <c r="R28" s="1">
        <v>0</v>
      </c>
      <c r="S28" s="15">
        <f t="shared" si="9"/>
        <v>9500</v>
      </c>
      <c r="T28" s="15">
        <f t="shared" si="10"/>
        <v>9500</v>
      </c>
      <c r="U28" s="15">
        <f t="shared" si="6"/>
        <v>6000</v>
      </c>
      <c r="V28" s="15">
        <f t="shared" si="7"/>
        <v>6000</v>
      </c>
      <c r="W28" s="15">
        <f t="shared" si="8"/>
        <v>115</v>
      </c>
      <c r="X28" s="15">
        <f t="shared" si="5"/>
        <v>80</v>
      </c>
      <c r="Y28" s="15">
        <v>95</v>
      </c>
      <c r="Z28" s="15">
        <v>99.2</v>
      </c>
      <c r="AA28" s="13">
        <v>1.1e+17</v>
      </c>
      <c r="AB28" s="13">
        <v>1.1e+17</v>
      </c>
    </row>
    <row r="29" customHeight="1" spans="3:28">
      <c r="C29" s="1">
        <v>24</v>
      </c>
      <c r="D29" s="1">
        <f t="shared" si="0"/>
        <v>2301</v>
      </c>
      <c r="E29" s="1">
        <f t="shared" si="1"/>
        <v>2400</v>
      </c>
      <c r="F29" s="13" t="s">
        <v>100</v>
      </c>
      <c r="G29" s="14">
        <v>0.1</v>
      </c>
      <c r="H29" s="13" t="s">
        <v>101</v>
      </c>
      <c r="I29" s="14">
        <v>1</v>
      </c>
      <c r="J29" s="13" t="s">
        <v>102</v>
      </c>
      <c r="K29" s="14">
        <v>10</v>
      </c>
      <c r="L29" s="14" t="s">
        <v>103</v>
      </c>
      <c r="M29" s="14">
        <v>0.2</v>
      </c>
      <c r="N29" s="14">
        <v>0</v>
      </c>
      <c r="O29" s="14">
        <v>0</v>
      </c>
      <c r="P29" s="1">
        <v>0</v>
      </c>
      <c r="Q29" s="1">
        <v>0</v>
      </c>
      <c r="R29" s="1">
        <v>0</v>
      </c>
      <c r="S29" s="15">
        <f t="shared" si="9"/>
        <v>10500</v>
      </c>
      <c r="T29" s="15">
        <f t="shared" si="10"/>
        <v>10500</v>
      </c>
      <c r="U29" s="15">
        <f t="shared" si="6"/>
        <v>6500</v>
      </c>
      <c r="V29" s="15">
        <f t="shared" si="7"/>
        <v>6500</v>
      </c>
      <c r="W29" s="15">
        <f t="shared" si="8"/>
        <v>120</v>
      </c>
      <c r="X29" s="15">
        <f t="shared" si="5"/>
        <v>85</v>
      </c>
      <c r="Y29" s="15">
        <v>95</v>
      </c>
      <c r="Z29" s="15">
        <v>99.3</v>
      </c>
      <c r="AA29" s="13">
        <v>1.2e+17</v>
      </c>
      <c r="AB29" s="13">
        <v>1.2e+17</v>
      </c>
    </row>
    <row r="30" customHeight="1" spans="3:28">
      <c r="C30" s="1">
        <v>25</v>
      </c>
      <c r="D30" s="1">
        <f t="shared" si="0"/>
        <v>2401</v>
      </c>
      <c r="E30" s="1">
        <f t="shared" si="1"/>
        <v>2500</v>
      </c>
      <c r="F30" s="13" t="s">
        <v>87</v>
      </c>
      <c r="G30" s="14">
        <v>0.1</v>
      </c>
      <c r="H30" s="13" t="s">
        <v>104</v>
      </c>
      <c r="I30" s="14">
        <v>1</v>
      </c>
      <c r="J30" s="13" t="s">
        <v>105</v>
      </c>
      <c r="K30" s="14">
        <v>10</v>
      </c>
      <c r="L30" s="14" t="s">
        <v>106</v>
      </c>
      <c r="M30" s="14">
        <v>0.2</v>
      </c>
      <c r="N30" s="14">
        <v>0</v>
      </c>
      <c r="O30" s="14">
        <v>0</v>
      </c>
      <c r="P30" s="1">
        <v>0</v>
      </c>
      <c r="Q30" s="1">
        <v>0</v>
      </c>
      <c r="R30" s="1">
        <v>0</v>
      </c>
      <c r="S30" s="15">
        <f t="shared" si="9"/>
        <v>11500</v>
      </c>
      <c r="T30" s="15">
        <f t="shared" si="10"/>
        <v>11500</v>
      </c>
      <c r="U30" s="15">
        <f t="shared" si="6"/>
        <v>7000</v>
      </c>
      <c r="V30" s="15">
        <f t="shared" si="7"/>
        <v>7000</v>
      </c>
      <c r="W30" s="15">
        <f t="shared" si="8"/>
        <v>125</v>
      </c>
      <c r="X30" s="15">
        <f t="shared" si="5"/>
        <v>90</v>
      </c>
      <c r="Y30" s="15">
        <v>95</v>
      </c>
      <c r="Z30" s="15">
        <v>99.4</v>
      </c>
      <c r="AA30" s="13">
        <v>1.3e+17</v>
      </c>
      <c r="AB30" s="13">
        <v>1.3e+17</v>
      </c>
    </row>
    <row r="31" customHeight="1" spans="3:28">
      <c r="C31" s="1">
        <v>26</v>
      </c>
      <c r="D31" s="1">
        <f t="shared" si="0"/>
        <v>2501</v>
      </c>
      <c r="E31" s="1">
        <f t="shared" si="1"/>
        <v>2600</v>
      </c>
      <c r="F31" s="13" t="s">
        <v>107</v>
      </c>
      <c r="G31" s="14">
        <v>0.1</v>
      </c>
      <c r="H31" s="13" t="s">
        <v>108</v>
      </c>
      <c r="I31" s="14">
        <v>1</v>
      </c>
      <c r="J31" s="13" t="s">
        <v>109</v>
      </c>
      <c r="K31" s="14">
        <v>10</v>
      </c>
      <c r="L31" s="14" t="s">
        <v>110</v>
      </c>
      <c r="M31" s="14">
        <v>0.2</v>
      </c>
      <c r="N31" s="14">
        <v>0</v>
      </c>
      <c r="O31" s="14">
        <v>0</v>
      </c>
      <c r="P31" s="1">
        <v>0</v>
      </c>
      <c r="Q31" s="1">
        <v>0</v>
      </c>
      <c r="R31" s="1">
        <v>0</v>
      </c>
      <c r="S31" s="15">
        <f t="shared" ref="S31:S40" si="11">S30+1500</f>
        <v>13000</v>
      </c>
      <c r="T31" s="15">
        <f t="shared" ref="T31:T40" si="12">T30+1500</f>
        <v>13000</v>
      </c>
      <c r="U31" s="15">
        <f t="shared" ref="U31:U40" si="13">U30+1000</f>
        <v>8000</v>
      </c>
      <c r="V31" s="15">
        <f t="shared" ref="V31:V40" si="14">V30+1000</f>
        <v>8000</v>
      </c>
      <c r="W31" s="15">
        <f t="shared" si="8"/>
        <v>130</v>
      </c>
      <c r="X31" s="15">
        <f t="shared" si="5"/>
        <v>95</v>
      </c>
      <c r="Y31" s="15">
        <v>99</v>
      </c>
      <c r="Z31" s="15">
        <v>99.6</v>
      </c>
      <c r="AA31" s="13">
        <v>1.4e+17</v>
      </c>
      <c r="AB31" s="13">
        <v>1.4e+17</v>
      </c>
    </row>
    <row r="32" customHeight="1" spans="3:28">
      <c r="C32" s="1">
        <v>27</v>
      </c>
      <c r="D32" s="1">
        <f t="shared" si="0"/>
        <v>2601</v>
      </c>
      <c r="E32" s="1">
        <f t="shared" si="1"/>
        <v>2700</v>
      </c>
      <c r="F32" s="13" t="s">
        <v>111</v>
      </c>
      <c r="G32" s="14">
        <v>0.1</v>
      </c>
      <c r="H32" s="13" t="s">
        <v>112</v>
      </c>
      <c r="I32" s="14">
        <v>1</v>
      </c>
      <c r="J32" s="13" t="s">
        <v>113</v>
      </c>
      <c r="K32" s="14">
        <v>10</v>
      </c>
      <c r="L32" s="14" t="s">
        <v>114</v>
      </c>
      <c r="M32" s="14">
        <v>0.2</v>
      </c>
      <c r="N32" s="14">
        <v>0</v>
      </c>
      <c r="O32" s="14">
        <v>0</v>
      </c>
      <c r="P32" s="1">
        <v>0</v>
      </c>
      <c r="Q32" s="1">
        <v>0</v>
      </c>
      <c r="R32" s="1">
        <v>0</v>
      </c>
      <c r="S32" s="15">
        <f t="shared" si="11"/>
        <v>14500</v>
      </c>
      <c r="T32" s="15">
        <f t="shared" si="12"/>
        <v>14500</v>
      </c>
      <c r="U32" s="15">
        <f t="shared" si="13"/>
        <v>9000</v>
      </c>
      <c r="V32" s="15">
        <f t="shared" si="14"/>
        <v>9000</v>
      </c>
      <c r="W32" s="15">
        <f t="shared" si="8"/>
        <v>135</v>
      </c>
      <c r="X32" s="15">
        <f t="shared" si="5"/>
        <v>100</v>
      </c>
      <c r="Y32" s="15">
        <v>99.1</v>
      </c>
      <c r="Z32" s="15">
        <v>99.9</v>
      </c>
      <c r="AA32" s="13">
        <v>1.5e+17</v>
      </c>
      <c r="AB32" s="13">
        <v>1.5e+17</v>
      </c>
    </row>
    <row r="33" customHeight="1" spans="3:28">
      <c r="C33" s="1">
        <v>28</v>
      </c>
      <c r="D33" s="1">
        <f t="shared" si="0"/>
        <v>2701</v>
      </c>
      <c r="E33" s="1">
        <f t="shared" si="1"/>
        <v>2800</v>
      </c>
      <c r="F33" s="13" t="s">
        <v>115</v>
      </c>
      <c r="G33" s="14">
        <v>0.1</v>
      </c>
      <c r="H33" s="13" t="s">
        <v>116</v>
      </c>
      <c r="I33" s="14">
        <v>1</v>
      </c>
      <c r="J33" s="13" t="s">
        <v>117</v>
      </c>
      <c r="K33" s="14">
        <v>10</v>
      </c>
      <c r="L33" s="14" t="s">
        <v>118</v>
      </c>
      <c r="M33" s="14">
        <v>0.2</v>
      </c>
      <c r="N33" s="14">
        <v>0</v>
      </c>
      <c r="O33" s="14">
        <v>0</v>
      </c>
      <c r="P33" s="1">
        <v>0</v>
      </c>
      <c r="Q33" s="1">
        <v>0</v>
      </c>
      <c r="R33" s="1">
        <v>0</v>
      </c>
      <c r="S33" s="15">
        <f t="shared" si="11"/>
        <v>16000</v>
      </c>
      <c r="T33" s="15">
        <f t="shared" si="12"/>
        <v>16000</v>
      </c>
      <c r="U33" s="15">
        <f t="shared" si="13"/>
        <v>10000</v>
      </c>
      <c r="V33" s="15">
        <f t="shared" si="14"/>
        <v>10000</v>
      </c>
      <c r="W33" s="15">
        <f t="shared" si="8"/>
        <v>140</v>
      </c>
      <c r="X33" s="15">
        <f t="shared" si="5"/>
        <v>105</v>
      </c>
      <c r="Y33" s="15">
        <v>99.2</v>
      </c>
      <c r="Z33" s="15">
        <v>99.93</v>
      </c>
      <c r="AA33" s="13">
        <v>1.6e+17</v>
      </c>
      <c r="AB33" s="13">
        <v>1.6e+17</v>
      </c>
    </row>
    <row r="34" customHeight="1" spans="3:28">
      <c r="C34" s="1">
        <v>29</v>
      </c>
      <c r="D34" s="1">
        <f t="shared" si="0"/>
        <v>2801</v>
      </c>
      <c r="E34" s="1">
        <f t="shared" si="1"/>
        <v>2900</v>
      </c>
      <c r="F34" s="13" t="s">
        <v>119</v>
      </c>
      <c r="G34" s="14">
        <v>0.1</v>
      </c>
      <c r="H34" s="13" t="s">
        <v>120</v>
      </c>
      <c r="I34" s="14">
        <v>1</v>
      </c>
      <c r="J34" s="13" t="s">
        <v>121</v>
      </c>
      <c r="K34" s="14">
        <v>10</v>
      </c>
      <c r="L34" s="14" t="s">
        <v>122</v>
      </c>
      <c r="M34" s="14">
        <v>0.2</v>
      </c>
      <c r="N34" s="14">
        <v>0</v>
      </c>
      <c r="O34" s="14">
        <v>0</v>
      </c>
      <c r="P34" s="1">
        <v>0</v>
      </c>
      <c r="Q34" s="1">
        <v>0</v>
      </c>
      <c r="R34" s="1">
        <v>0</v>
      </c>
      <c r="S34" s="15">
        <f t="shared" si="11"/>
        <v>17500</v>
      </c>
      <c r="T34" s="15">
        <f t="shared" si="12"/>
        <v>17500</v>
      </c>
      <c r="U34" s="15">
        <f t="shared" si="13"/>
        <v>11000</v>
      </c>
      <c r="V34" s="15">
        <f t="shared" si="14"/>
        <v>11000</v>
      </c>
      <c r="W34" s="15">
        <f t="shared" si="8"/>
        <v>145</v>
      </c>
      <c r="X34" s="15">
        <f t="shared" si="5"/>
        <v>110</v>
      </c>
      <c r="Y34" s="15">
        <v>99.3</v>
      </c>
      <c r="Z34" s="15">
        <v>99.96</v>
      </c>
      <c r="AA34" s="13">
        <v>1.7e+17</v>
      </c>
      <c r="AB34" s="13">
        <v>1.7e+17</v>
      </c>
    </row>
    <row r="35" customHeight="1" spans="3:28">
      <c r="C35" s="1">
        <v>30</v>
      </c>
      <c r="D35" s="1">
        <f t="shared" si="0"/>
        <v>2901</v>
      </c>
      <c r="E35" s="1">
        <f t="shared" si="1"/>
        <v>3000</v>
      </c>
      <c r="F35" s="13" t="s">
        <v>123</v>
      </c>
      <c r="G35" s="14">
        <v>0.1</v>
      </c>
      <c r="H35" s="13" t="s">
        <v>124</v>
      </c>
      <c r="I35" s="14">
        <v>1</v>
      </c>
      <c r="J35" s="13" t="s">
        <v>125</v>
      </c>
      <c r="K35" s="14">
        <v>10</v>
      </c>
      <c r="L35" s="14" t="s">
        <v>126</v>
      </c>
      <c r="M35" s="14">
        <v>0.2</v>
      </c>
      <c r="N35" s="14">
        <v>0</v>
      </c>
      <c r="O35" s="14">
        <v>0</v>
      </c>
      <c r="P35" s="1">
        <v>0</v>
      </c>
      <c r="Q35" s="1">
        <v>0</v>
      </c>
      <c r="R35" s="1">
        <v>0</v>
      </c>
      <c r="S35" s="15">
        <f t="shared" si="11"/>
        <v>19000</v>
      </c>
      <c r="T35" s="15">
        <f t="shared" si="12"/>
        <v>19000</v>
      </c>
      <c r="U35" s="15">
        <f t="shared" si="13"/>
        <v>12000</v>
      </c>
      <c r="V35" s="15">
        <f t="shared" si="14"/>
        <v>12000</v>
      </c>
      <c r="W35" s="15">
        <f t="shared" si="8"/>
        <v>150</v>
      </c>
      <c r="X35" s="15">
        <f t="shared" si="5"/>
        <v>115</v>
      </c>
      <c r="Y35" s="15">
        <v>99.4</v>
      </c>
      <c r="Z35" s="15">
        <v>99.99</v>
      </c>
      <c r="AA35" s="13">
        <v>1.8e+17</v>
      </c>
      <c r="AB35" s="13">
        <v>1.8e+17</v>
      </c>
    </row>
    <row r="36" customHeight="1" spans="3:28">
      <c r="C36" s="1">
        <v>31</v>
      </c>
      <c r="D36" s="1">
        <f t="shared" si="0"/>
        <v>3001</v>
      </c>
      <c r="E36" s="1">
        <f t="shared" si="1"/>
        <v>3100</v>
      </c>
      <c r="F36" s="13" t="s">
        <v>127</v>
      </c>
      <c r="G36" s="14">
        <v>0.1</v>
      </c>
      <c r="H36" s="13" t="s">
        <v>128</v>
      </c>
      <c r="I36" s="14">
        <v>10</v>
      </c>
      <c r="J36" s="13" t="s">
        <v>129</v>
      </c>
      <c r="K36" s="14">
        <v>10</v>
      </c>
      <c r="L36" s="14" t="s">
        <v>130</v>
      </c>
      <c r="M36" s="14">
        <v>10</v>
      </c>
      <c r="N36" s="14">
        <v>10</v>
      </c>
      <c r="O36" s="14">
        <v>0.1</v>
      </c>
      <c r="P36" s="1">
        <v>0</v>
      </c>
      <c r="Q36" s="1">
        <v>0</v>
      </c>
      <c r="R36" s="1">
        <v>0</v>
      </c>
      <c r="S36" s="15">
        <f t="shared" ref="S36:S65" si="15">S35+3000</f>
        <v>22000</v>
      </c>
      <c r="T36" s="15">
        <f t="shared" ref="T36:T100" si="16">T35+3000</f>
        <v>22000</v>
      </c>
      <c r="U36" s="15">
        <f t="shared" ref="U36:U99" si="17">U35+2000</f>
        <v>14000</v>
      </c>
      <c r="V36" s="15">
        <f t="shared" ref="V36:V99" si="18">V35+2000</f>
        <v>14000</v>
      </c>
      <c r="W36" s="15">
        <f>W35+15</f>
        <v>165</v>
      </c>
      <c r="X36" s="15">
        <f t="shared" ref="X36:X99" si="19">X35+15</f>
        <v>130</v>
      </c>
      <c r="Y36" s="15">
        <v>99.4</v>
      </c>
      <c r="Z36" s="15">
        <v>99.999</v>
      </c>
      <c r="AA36" s="13">
        <v>1.9e+17</v>
      </c>
      <c r="AB36" s="13">
        <v>1.9e+17</v>
      </c>
    </row>
    <row r="37" customHeight="1" spans="3:28">
      <c r="C37" s="1">
        <v>32</v>
      </c>
      <c r="D37" s="1">
        <f t="shared" si="0"/>
        <v>3101</v>
      </c>
      <c r="E37" s="1">
        <f t="shared" si="1"/>
        <v>3200</v>
      </c>
      <c r="F37" s="13" t="s">
        <v>131</v>
      </c>
      <c r="G37" s="14">
        <v>0.1</v>
      </c>
      <c r="H37" s="13" t="s">
        <v>132</v>
      </c>
      <c r="I37" s="14">
        <v>10</v>
      </c>
      <c r="J37" s="13" t="s">
        <v>133</v>
      </c>
      <c r="K37" s="14">
        <v>10</v>
      </c>
      <c r="L37" s="14" t="s">
        <v>134</v>
      </c>
      <c r="M37" s="14">
        <v>10</v>
      </c>
      <c r="N37" s="14">
        <v>100</v>
      </c>
      <c r="O37" s="14">
        <v>0.1</v>
      </c>
      <c r="P37" s="1">
        <v>0</v>
      </c>
      <c r="Q37" s="1">
        <v>0</v>
      </c>
      <c r="R37" s="1">
        <v>0</v>
      </c>
      <c r="S37" s="15">
        <f t="shared" si="15"/>
        <v>25000</v>
      </c>
      <c r="T37" s="15">
        <f t="shared" si="16"/>
        <v>25000</v>
      </c>
      <c r="U37" s="15">
        <f t="shared" si="17"/>
        <v>16000</v>
      </c>
      <c r="V37" s="15">
        <f t="shared" si="18"/>
        <v>16000</v>
      </c>
      <c r="W37" s="15">
        <f t="shared" ref="W37:W100" si="20">W36+20</f>
        <v>185</v>
      </c>
      <c r="X37" s="15">
        <f t="shared" si="19"/>
        <v>145</v>
      </c>
      <c r="Y37" s="15">
        <v>99.4</v>
      </c>
      <c r="Z37" s="15">
        <v>99.9999</v>
      </c>
      <c r="AA37" s="13">
        <v>2e+17</v>
      </c>
      <c r="AB37" s="13">
        <v>2e+17</v>
      </c>
    </row>
    <row r="38" customHeight="1" spans="3:28">
      <c r="C38" s="1">
        <v>33</v>
      </c>
      <c r="D38" s="1">
        <f t="shared" si="0"/>
        <v>3201</v>
      </c>
      <c r="E38" s="1">
        <f t="shared" si="1"/>
        <v>3300</v>
      </c>
      <c r="F38" s="13" t="s">
        <v>135</v>
      </c>
      <c r="G38" s="14">
        <v>0.1</v>
      </c>
      <c r="H38" s="13" t="s">
        <v>136</v>
      </c>
      <c r="I38" s="14">
        <v>10</v>
      </c>
      <c r="J38" s="13" t="s">
        <v>137</v>
      </c>
      <c r="K38" s="14">
        <v>10</v>
      </c>
      <c r="L38" s="14" t="s">
        <v>138</v>
      </c>
      <c r="M38" s="14">
        <v>10</v>
      </c>
      <c r="N38" s="14">
        <v>1000</v>
      </c>
      <c r="O38" s="14">
        <v>0.1</v>
      </c>
      <c r="P38" s="1">
        <v>0</v>
      </c>
      <c r="Q38" s="1">
        <v>0</v>
      </c>
      <c r="R38" s="1">
        <v>0</v>
      </c>
      <c r="S38" s="15">
        <f t="shared" si="15"/>
        <v>28000</v>
      </c>
      <c r="T38" s="15">
        <f t="shared" si="16"/>
        <v>28000</v>
      </c>
      <c r="U38" s="15">
        <f t="shared" si="17"/>
        <v>18000</v>
      </c>
      <c r="V38" s="15">
        <f t="shared" si="18"/>
        <v>18000</v>
      </c>
      <c r="W38" s="15">
        <f t="shared" si="20"/>
        <v>205</v>
      </c>
      <c r="X38" s="15">
        <f t="shared" si="19"/>
        <v>160</v>
      </c>
      <c r="Y38" s="15">
        <v>99.4</v>
      </c>
      <c r="Z38" s="15">
        <v>99.99999</v>
      </c>
      <c r="AA38" s="13">
        <v>2.2e+17</v>
      </c>
      <c r="AB38" s="13">
        <v>2.2e+17</v>
      </c>
    </row>
    <row r="39" customHeight="1" spans="3:28">
      <c r="C39" s="1">
        <v>34</v>
      </c>
      <c r="D39" s="1">
        <f t="shared" si="0"/>
        <v>3301</v>
      </c>
      <c r="E39" s="1">
        <f t="shared" si="1"/>
        <v>3400</v>
      </c>
      <c r="F39" s="13" t="s">
        <v>139</v>
      </c>
      <c r="G39" s="14">
        <v>0.1</v>
      </c>
      <c r="H39" s="13" t="s">
        <v>140</v>
      </c>
      <c r="I39" s="14">
        <v>10</v>
      </c>
      <c r="J39" s="13" t="s">
        <v>141</v>
      </c>
      <c r="K39" s="14">
        <v>10</v>
      </c>
      <c r="L39" s="14" t="s">
        <v>142</v>
      </c>
      <c r="M39" s="14">
        <v>10</v>
      </c>
      <c r="N39" s="14">
        <v>100000</v>
      </c>
      <c r="O39" s="14">
        <v>1</v>
      </c>
      <c r="P39" s="1">
        <v>0</v>
      </c>
      <c r="Q39" s="1">
        <v>0</v>
      </c>
      <c r="R39" s="1">
        <v>0</v>
      </c>
      <c r="S39" s="15">
        <f t="shared" si="15"/>
        <v>31000</v>
      </c>
      <c r="T39" s="15">
        <f t="shared" si="16"/>
        <v>31000</v>
      </c>
      <c r="U39" s="15">
        <f t="shared" si="17"/>
        <v>20000</v>
      </c>
      <c r="V39" s="15">
        <f t="shared" si="18"/>
        <v>20000</v>
      </c>
      <c r="W39" s="15">
        <f t="shared" si="20"/>
        <v>225</v>
      </c>
      <c r="X39" s="15">
        <f t="shared" si="19"/>
        <v>175</v>
      </c>
      <c r="Y39" s="15">
        <v>99.4</v>
      </c>
      <c r="Z39" s="15">
        <v>99.99999</v>
      </c>
      <c r="AA39" s="13">
        <v>2.4e+17</v>
      </c>
      <c r="AB39" s="13">
        <v>2.4e+17</v>
      </c>
    </row>
    <row r="40" customHeight="1" spans="3:28">
      <c r="C40" s="1">
        <v>35</v>
      </c>
      <c r="D40" s="1">
        <f t="shared" si="0"/>
        <v>3401</v>
      </c>
      <c r="E40" s="1">
        <f t="shared" si="1"/>
        <v>3500</v>
      </c>
      <c r="F40" s="13" t="s">
        <v>143</v>
      </c>
      <c r="G40" s="14">
        <v>0.1</v>
      </c>
      <c r="H40" s="13" t="s">
        <v>144</v>
      </c>
      <c r="I40" s="14">
        <v>10</v>
      </c>
      <c r="J40" s="13" t="s">
        <v>145</v>
      </c>
      <c r="K40" s="14">
        <v>10</v>
      </c>
      <c r="L40" s="14" t="s">
        <v>146</v>
      </c>
      <c r="M40" s="14">
        <v>10</v>
      </c>
      <c r="N40" s="14">
        <v>10000000</v>
      </c>
      <c r="O40" s="14">
        <v>1</v>
      </c>
      <c r="P40" s="1">
        <v>0</v>
      </c>
      <c r="Q40" s="1">
        <v>0</v>
      </c>
      <c r="R40" s="1">
        <v>0</v>
      </c>
      <c r="S40" s="15">
        <f t="shared" si="15"/>
        <v>34000</v>
      </c>
      <c r="T40" s="15">
        <f t="shared" si="16"/>
        <v>34000</v>
      </c>
      <c r="U40" s="15">
        <f t="shared" si="17"/>
        <v>22000</v>
      </c>
      <c r="V40" s="15">
        <f t="shared" si="18"/>
        <v>22000</v>
      </c>
      <c r="W40" s="15">
        <f t="shared" si="20"/>
        <v>245</v>
      </c>
      <c r="X40" s="15">
        <f t="shared" si="19"/>
        <v>190</v>
      </c>
      <c r="Y40" s="15">
        <v>99.4</v>
      </c>
      <c r="Z40" s="15">
        <v>99.99999</v>
      </c>
      <c r="AA40" s="13">
        <v>2.6e+17</v>
      </c>
      <c r="AB40" s="13">
        <v>2.6e+17</v>
      </c>
    </row>
    <row r="41" customHeight="1" spans="3:28">
      <c r="C41" s="1">
        <v>36</v>
      </c>
      <c r="D41" s="1">
        <f t="shared" si="0"/>
        <v>3501</v>
      </c>
      <c r="E41" s="1">
        <f t="shared" si="1"/>
        <v>3600</v>
      </c>
      <c r="F41" s="13" t="s">
        <v>147</v>
      </c>
      <c r="G41" s="14">
        <v>10</v>
      </c>
      <c r="H41" s="13" t="s">
        <v>148</v>
      </c>
      <c r="I41" s="14">
        <v>100</v>
      </c>
      <c r="J41" s="13" t="s">
        <v>149</v>
      </c>
      <c r="K41" s="14">
        <v>100</v>
      </c>
      <c r="L41" s="14" t="s">
        <v>150</v>
      </c>
      <c r="M41" s="14">
        <v>10</v>
      </c>
      <c r="N41" s="14" t="s">
        <v>151</v>
      </c>
      <c r="O41" s="14">
        <v>1</v>
      </c>
      <c r="P41" s="1">
        <v>0</v>
      </c>
      <c r="Q41" s="1">
        <v>0</v>
      </c>
      <c r="R41" s="1">
        <v>0</v>
      </c>
      <c r="S41" s="15">
        <f t="shared" si="15"/>
        <v>37000</v>
      </c>
      <c r="T41" s="15">
        <f t="shared" si="16"/>
        <v>37000</v>
      </c>
      <c r="U41" s="15">
        <f t="shared" si="17"/>
        <v>24000</v>
      </c>
      <c r="V41" s="15">
        <f t="shared" si="18"/>
        <v>24000</v>
      </c>
      <c r="W41" s="15">
        <f t="shared" si="20"/>
        <v>265</v>
      </c>
      <c r="X41" s="15">
        <f t="shared" si="19"/>
        <v>205</v>
      </c>
      <c r="Y41" s="15">
        <v>99.4</v>
      </c>
      <c r="Z41" s="15">
        <v>99.99999</v>
      </c>
      <c r="AA41" s="13">
        <v>2.8e+17</v>
      </c>
      <c r="AB41" s="13">
        <v>2.8e+17</v>
      </c>
    </row>
    <row r="42" customHeight="1" spans="3:28">
      <c r="C42" s="1">
        <v>37</v>
      </c>
      <c r="D42" s="1">
        <f t="shared" si="0"/>
        <v>3601</v>
      </c>
      <c r="E42" s="1">
        <f t="shared" si="1"/>
        <v>3700</v>
      </c>
      <c r="F42" s="13" t="s">
        <v>152</v>
      </c>
      <c r="G42" s="14">
        <v>10</v>
      </c>
      <c r="H42" s="13" t="s">
        <v>153</v>
      </c>
      <c r="I42" s="14">
        <v>100</v>
      </c>
      <c r="J42" s="13" t="s">
        <v>154</v>
      </c>
      <c r="K42" s="14">
        <v>100</v>
      </c>
      <c r="L42" s="14" t="s">
        <v>79</v>
      </c>
      <c r="M42" s="14">
        <v>10</v>
      </c>
      <c r="N42" s="14" t="s">
        <v>155</v>
      </c>
      <c r="O42" s="14">
        <v>1</v>
      </c>
      <c r="P42" s="1">
        <v>0</v>
      </c>
      <c r="Q42" s="1">
        <v>0</v>
      </c>
      <c r="R42" s="1">
        <v>0</v>
      </c>
      <c r="S42" s="15">
        <f t="shared" si="15"/>
        <v>40000</v>
      </c>
      <c r="T42" s="15">
        <f t="shared" si="16"/>
        <v>40000</v>
      </c>
      <c r="U42" s="15">
        <f t="shared" si="17"/>
        <v>26000</v>
      </c>
      <c r="V42" s="15">
        <f t="shared" si="18"/>
        <v>26000</v>
      </c>
      <c r="W42" s="15">
        <f t="shared" si="20"/>
        <v>285</v>
      </c>
      <c r="X42" s="15">
        <f t="shared" si="19"/>
        <v>220</v>
      </c>
      <c r="Y42" s="15">
        <v>99.4</v>
      </c>
      <c r="Z42" s="15">
        <v>99.99999</v>
      </c>
      <c r="AA42" s="13">
        <v>3e+17</v>
      </c>
      <c r="AB42" s="13">
        <v>3e+17</v>
      </c>
    </row>
    <row r="43" customHeight="1" spans="3:28">
      <c r="C43" s="1">
        <v>38</v>
      </c>
      <c r="D43" s="1">
        <f t="shared" si="0"/>
        <v>3701</v>
      </c>
      <c r="E43" s="1">
        <f t="shared" si="1"/>
        <v>3800</v>
      </c>
      <c r="F43" s="13" t="s">
        <v>156</v>
      </c>
      <c r="G43" s="14">
        <v>10</v>
      </c>
      <c r="H43" s="13" t="s">
        <v>157</v>
      </c>
      <c r="I43" s="14">
        <v>100</v>
      </c>
      <c r="J43" s="13" t="s">
        <v>158</v>
      </c>
      <c r="K43" s="14">
        <v>100</v>
      </c>
      <c r="L43" s="14" t="s">
        <v>159</v>
      </c>
      <c r="M43" s="14">
        <v>10</v>
      </c>
      <c r="N43" s="14" t="s">
        <v>160</v>
      </c>
      <c r="O43" s="14">
        <v>1</v>
      </c>
      <c r="P43" s="1">
        <v>0</v>
      </c>
      <c r="Q43" s="1">
        <v>0</v>
      </c>
      <c r="R43" s="1">
        <v>0</v>
      </c>
      <c r="S43" s="15">
        <f t="shared" si="15"/>
        <v>43000</v>
      </c>
      <c r="T43" s="15">
        <f t="shared" si="16"/>
        <v>43000</v>
      </c>
      <c r="U43" s="15">
        <f t="shared" si="17"/>
        <v>28000</v>
      </c>
      <c r="V43" s="15">
        <f t="shared" si="18"/>
        <v>28000</v>
      </c>
      <c r="W43" s="15">
        <f t="shared" si="20"/>
        <v>305</v>
      </c>
      <c r="X43" s="15">
        <f t="shared" si="19"/>
        <v>235</v>
      </c>
      <c r="Y43" s="15">
        <v>99.4</v>
      </c>
      <c r="Z43" s="15">
        <v>99.99999</v>
      </c>
      <c r="AA43" s="13">
        <v>3.2e+17</v>
      </c>
      <c r="AB43" s="13">
        <v>3.2e+17</v>
      </c>
    </row>
    <row r="44" customHeight="1" spans="3:28">
      <c r="C44" s="1">
        <v>39</v>
      </c>
      <c r="D44" s="1">
        <f t="shared" si="0"/>
        <v>3801</v>
      </c>
      <c r="E44" s="1">
        <f t="shared" si="1"/>
        <v>3900</v>
      </c>
      <c r="F44" s="13" t="s">
        <v>161</v>
      </c>
      <c r="G44" s="14">
        <v>10</v>
      </c>
      <c r="H44" s="13" t="s">
        <v>162</v>
      </c>
      <c r="I44" s="14">
        <v>100</v>
      </c>
      <c r="J44" s="13" t="s">
        <v>163</v>
      </c>
      <c r="K44" s="14">
        <v>100</v>
      </c>
      <c r="L44" s="14" t="s">
        <v>164</v>
      </c>
      <c r="M44" s="14">
        <v>10</v>
      </c>
      <c r="N44" s="14" t="s">
        <v>165</v>
      </c>
      <c r="O44" s="14">
        <v>1</v>
      </c>
      <c r="P44" s="1">
        <v>0</v>
      </c>
      <c r="Q44" s="1">
        <v>0</v>
      </c>
      <c r="R44" s="1">
        <v>0</v>
      </c>
      <c r="S44" s="15">
        <f t="shared" si="15"/>
        <v>46000</v>
      </c>
      <c r="T44" s="15">
        <f t="shared" si="16"/>
        <v>46000</v>
      </c>
      <c r="U44" s="15">
        <f t="shared" si="17"/>
        <v>30000</v>
      </c>
      <c r="V44" s="15">
        <f t="shared" si="18"/>
        <v>30000</v>
      </c>
      <c r="W44" s="15">
        <f t="shared" si="20"/>
        <v>325</v>
      </c>
      <c r="X44" s="15">
        <f t="shared" si="19"/>
        <v>250</v>
      </c>
      <c r="Y44" s="15">
        <v>99.4</v>
      </c>
      <c r="Z44" s="15">
        <v>99.99999</v>
      </c>
      <c r="AA44" s="13">
        <v>3.4e+17</v>
      </c>
      <c r="AB44" s="13">
        <v>3.4e+17</v>
      </c>
    </row>
    <row r="45" customHeight="1" spans="3:28">
      <c r="C45" s="1">
        <v>40</v>
      </c>
      <c r="D45" s="1">
        <f t="shared" si="0"/>
        <v>3901</v>
      </c>
      <c r="E45" s="1">
        <f t="shared" si="1"/>
        <v>4000</v>
      </c>
      <c r="F45" s="26" t="s">
        <v>166</v>
      </c>
      <c r="G45" s="14">
        <v>10</v>
      </c>
      <c r="H45" s="26" t="s">
        <v>167</v>
      </c>
      <c r="I45" s="14">
        <v>100</v>
      </c>
      <c r="J45" s="26" t="s">
        <v>168</v>
      </c>
      <c r="K45" s="14">
        <v>100</v>
      </c>
      <c r="L45" s="26" t="s">
        <v>169</v>
      </c>
      <c r="M45" s="14">
        <v>10</v>
      </c>
      <c r="N45" s="26" t="s">
        <v>170</v>
      </c>
      <c r="O45" s="14">
        <v>1</v>
      </c>
      <c r="P45" s="1">
        <v>0</v>
      </c>
      <c r="Q45" s="1">
        <v>0</v>
      </c>
      <c r="R45" s="1">
        <v>0</v>
      </c>
      <c r="S45" s="15">
        <f t="shared" si="15"/>
        <v>49000</v>
      </c>
      <c r="T45" s="15">
        <f t="shared" si="16"/>
        <v>49000</v>
      </c>
      <c r="U45" s="15">
        <f t="shared" si="17"/>
        <v>32000</v>
      </c>
      <c r="V45" s="15">
        <f t="shared" si="18"/>
        <v>32000</v>
      </c>
      <c r="W45" s="15">
        <f t="shared" si="20"/>
        <v>345</v>
      </c>
      <c r="X45" s="15">
        <f t="shared" si="19"/>
        <v>265</v>
      </c>
      <c r="Y45" s="15">
        <v>99.4</v>
      </c>
      <c r="Z45" s="15">
        <v>99.99999</v>
      </c>
      <c r="AA45" s="13">
        <v>3.6e+17</v>
      </c>
      <c r="AB45" s="13">
        <v>3.6e+17</v>
      </c>
    </row>
    <row r="46" customHeight="1" spans="3:28">
      <c r="C46" s="1">
        <v>41</v>
      </c>
      <c r="D46" s="1">
        <f t="shared" si="0"/>
        <v>4001</v>
      </c>
      <c r="E46" s="1">
        <f t="shared" si="1"/>
        <v>4100</v>
      </c>
      <c r="F46" s="26" t="s">
        <v>171</v>
      </c>
      <c r="G46" s="14">
        <v>10</v>
      </c>
      <c r="H46" s="26" t="s">
        <v>172</v>
      </c>
      <c r="I46" s="14">
        <v>100</v>
      </c>
      <c r="J46" s="26" t="s">
        <v>173</v>
      </c>
      <c r="K46" s="14">
        <v>100</v>
      </c>
      <c r="L46" s="26" t="s">
        <v>174</v>
      </c>
      <c r="M46" s="14">
        <v>10</v>
      </c>
      <c r="N46" s="26" t="s">
        <v>175</v>
      </c>
      <c r="O46" s="14">
        <v>1</v>
      </c>
      <c r="P46" s="1">
        <v>0</v>
      </c>
      <c r="Q46" s="1">
        <v>0</v>
      </c>
      <c r="R46" s="1">
        <v>0</v>
      </c>
      <c r="S46" s="15">
        <f t="shared" si="15"/>
        <v>52000</v>
      </c>
      <c r="T46" s="15">
        <f t="shared" si="16"/>
        <v>52000</v>
      </c>
      <c r="U46" s="15">
        <f t="shared" si="17"/>
        <v>34000</v>
      </c>
      <c r="V46" s="15">
        <f t="shared" si="18"/>
        <v>34000</v>
      </c>
      <c r="W46" s="15">
        <f t="shared" si="20"/>
        <v>365</v>
      </c>
      <c r="X46" s="15">
        <f t="shared" si="19"/>
        <v>280</v>
      </c>
      <c r="Y46" s="15">
        <v>99.4</v>
      </c>
      <c r="Z46" s="15">
        <v>99.99999</v>
      </c>
      <c r="AA46" s="13">
        <v>3.8e+17</v>
      </c>
      <c r="AB46" s="13">
        <v>3.8e+17</v>
      </c>
    </row>
    <row r="47" customHeight="1" spans="3:28">
      <c r="C47" s="1">
        <v>42</v>
      </c>
      <c r="D47" s="1">
        <f t="shared" si="0"/>
        <v>4101</v>
      </c>
      <c r="E47" s="1">
        <f t="shared" si="1"/>
        <v>4200</v>
      </c>
      <c r="F47" s="26" t="s">
        <v>176</v>
      </c>
      <c r="G47" s="14">
        <v>10</v>
      </c>
      <c r="H47" s="26" t="s">
        <v>177</v>
      </c>
      <c r="I47" s="14">
        <v>100</v>
      </c>
      <c r="J47" s="26" t="s">
        <v>178</v>
      </c>
      <c r="K47" s="14">
        <v>100</v>
      </c>
      <c r="L47" s="26" t="s">
        <v>179</v>
      </c>
      <c r="M47" s="14">
        <v>10</v>
      </c>
      <c r="N47" s="26" t="s">
        <v>180</v>
      </c>
      <c r="O47" s="14">
        <v>1</v>
      </c>
      <c r="P47" s="1">
        <v>0</v>
      </c>
      <c r="Q47" s="1">
        <v>0</v>
      </c>
      <c r="R47" s="1">
        <v>0</v>
      </c>
      <c r="S47" s="15">
        <f t="shared" si="15"/>
        <v>55000</v>
      </c>
      <c r="T47" s="15">
        <f t="shared" si="16"/>
        <v>55000</v>
      </c>
      <c r="U47" s="15">
        <f t="shared" si="17"/>
        <v>36000</v>
      </c>
      <c r="V47" s="15">
        <f t="shared" si="18"/>
        <v>36000</v>
      </c>
      <c r="W47" s="15">
        <f t="shared" si="20"/>
        <v>385</v>
      </c>
      <c r="X47" s="15">
        <f t="shared" si="19"/>
        <v>295</v>
      </c>
      <c r="Y47" s="15">
        <v>99.4</v>
      </c>
      <c r="Z47" s="15">
        <v>99.99999</v>
      </c>
      <c r="AA47" s="13">
        <v>4e+17</v>
      </c>
      <c r="AB47" s="13">
        <v>4e+17</v>
      </c>
    </row>
    <row r="48" customHeight="1" spans="3:28">
      <c r="C48" s="1">
        <v>43</v>
      </c>
      <c r="D48" s="1">
        <f t="shared" si="0"/>
        <v>4201</v>
      </c>
      <c r="E48" s="1">
        <f t="shared" si="1"/>
        <v>4300</v>
      </c>
      <c r="F48" s="26" t="s">
        <v>181</v>
      </c>
      <c r="G48" s="14">
        <v>10</v>
      </c>
      <c r="H48" s="26" t="s">
        <v>182</v>
      </c>
      <c r="I48" s="14">
        <v>100</v>
      </c>
      <c r="J48" s="26" t="s">
        <v>183</v>
      </c>
      <c r="K48" s="14">
        <v>100</v>
      </c>
      <c r="L48" s="26" t="s">
        <v>184</v>
      </c>
      <c r="M48" s="14">
        <v>10</v>
      </c>
      <c r="N48" s="26" t="s">
        <v>185</v>
      </c>
      <c r="O48" s="14">
        <v>1</v>
      </c>
      <c r="P48" s="1">
        <v>0</v>
      </c>
      <c r="Q48" s="1">
        <v>0</v>
      </c>
      <c r="R48" s="1">
        <v>0</v>
      </c>
      <c r="S48" s="15">
        <f t="shared" si="15"/>
        <v>58000</v>
      </c>
      <c r="T48" s="15">
        <f t="shared" si="16"/>
        <v>58000</v>
      </c>
      <c r="U48" s="15">
        <f t="shared" si="17"/>
        <v>38000</v>
      </c>
      <c r="V48" s="15">
        <f t="shared" si="18"/>
        <v>38000</v>
      </c>
      <c r="W48" s="15">
        <f t="shared" si="20"/>
        <v>405</v>
      </c>
      <c r="X48" s="15">
        <f t="shared" si="19"/>
        <v>310</v>
      </c>
      <c r="Y48" s="15">
        <v>99.4</v>
      </c>
      <c r="Z48" s="15">
        <v>99.99999</v>
      </c>
      <c r="AA48" s="13">
        <v>4.2e+17</v>
      </c>
      <c r="AB48" s="13">
        <v>4.2e+17</v>
      </c>
    </row>
    <row r="49" customHeight="1" spans="3:28">
      <c r="C49" s="1">
        <v>44</v>
      </c>
      <c r="D49" s="1">
        <f t="shared" si="0"/>
        <v>4301</v>
      </c>
      <c r="E49" s="1">
        <f t="shared" si="1"/>
        <v>4400</v>
      </c>
      <c r="F49" s="26" t="s">
        <v>186</v>
      </c>
      <c r="G49" s="14">
        <v>10</v>
      </c>
      <c r="H49" s="26" t="s">
        <v>187</v>
      </c>
      <c r="I49" s="14">
        <v>100</v>
      </c>
      <c r="J49" s="26" t="s">
        <v>188</v>
      </c>
      <c r="K49" s="14">
        <v>100</v>
      </c>
      <c r="L49" s="26" t="s">
        <v>189</v>
      </c>
      <c r="M49" s="14">
        <v>10</v>
      </c>
      <c r="N49" s="26" t="s">
        <v>190</v>
      </c>
      <c r="O49" s="14">
        <v>1</v>
      </c>
      <c r="P49" s="1">
        <v>0</v>
      </c>
      <c r="Q49" s="1">
        <v>0</v>
      </c>
      <c r="R49" s="1">
        <v>0</v>
      </c>
      <c r="S49" s="15">
        <f t="shared" si="15"/>
        <v>61000</v>
      </c>
      <c r="T49" s="15">
        <f t="shared" si="16"/>
        <v>61000</v>
      </c>
      <c r="U49" s="15">
        <f t="shared" si="17"/>
        <v>40000</v>
      </c>
      <c r="V49" s="15">
        <f t="shared" si="18"/>
        <v>40000</v>
      </c>
      <c r="W49" s="15">
        <f t="shared" si="20"/>
        <v>425</v>
      </c>
      <c r="X49" s="15">
        <f t="shared" si="19"/>
        <v>325</v>
      </c>
      <c r="Y49" s="15">
        <v>99.4</v>
      </c>
      <c r="Z49" s="15">
        <v>99.99999</v>
      </c>
      <c r="AA49" s="13">
        <v>4.4e+17</v>
      </c>
      <c r="AB49" s="13">
        <v>4.4e+17</v>
      </c>
    </row>
    <row r="50" customHeight="1" spans="3:28">
      <c r="C50" s="1">
        <v>45</v>
      </c>
      <c r="D50" s="1">
        <f t="shared" si="0"/>
        <v>4401</v>
      </c>
      <c r="E50" s="1">
        <f t="shared" si="1"/>
        <v>4500</v>
      </c>
      <c r="F50" s="26" t="s">
        <v>191</v>
      </c>
      <c r="G50" s="14">
        <v>10</v>
      </c>
      <c r="H50" s="26" t="s">
        <v>192</v>
      </c>
      <c r="I50" s="14">
        <v>100</v>
      </c>
      <c r="J50" s="26" t="s">
        <v>193</v>
      </c>
      <c r="K50" s="14">
        <v>100</v>
      </c>
      <c r="L50" s="26" t="s">
        <v>194</v>
      </c>
      <c r="M50" s="14">
        <v>10</v>
      </c>
      <c r="N50" s="26" t="s">
        <v>195</v>
      </c>
      <c r="O50" s="14">
        <v>1</v>
      </c>
      <c r="P50" s="1">
        <v>0</v>
      </c>
      <c r="Q50" s="1">
        <v>0</v>
      </c>
      <c r="R50" s="1">
        <v>0</v>
      </c>
      <c r="S50" s="15">
        <f t="shared" si="15"/>
        <v>64000</v>
      </c>
      <c r="T50" s="15">
        <f t="shared" si="16"/>
        <v>64000</v>
      </c>
      <c r="U50" s="15">
        <f t="shared" si="17"/>
        <v>42000</v>
      </c>
      <c r="V50" s="15">
        <f t="shared" si="18"/>
        <v>42000</v>
      </c>
      <c r="W50" s="15">
        <f t="shared" si="20"/>
        <v>445</v>
      </c>
      <c r="X50" s="15">
        <f t="shared" si="19"/>
        <v>340</v>
      </c>
      <c r="Y50" s="15">
        <v>99.4</v>
      </c>
      <c r="Z50" s="15">
        <v>99.99999</v>
      </c>
      <c r="AA50" s="13">
        <v>4.6e+17</v>
      </c>
      <c r="AB50" s="13">
        <v>4.6e+17</v>
      </c>
    </row>
    <row r="51" s="3" customFormat="1" customHeight="1" spans="3:28">
      <c r="C51" s="19">
        <v>46</v>
      </c>
      <c r="D51" s="19">
        <f t="shared" si="0"/>
        <v>4501</v>
      </c>
      <c r="E51" s="19">
        <f t="shared" si="1"/>
        <v>4600</v>
      </c>
      <c r="F51" s="27" t="s">
        <v>196</v>
      </c>
      <c r="G51" s="21">
        <v>100</v>
      </c>
      <c r="H51" s="27" t="s">
        <v>197</v>
      </c>
      <c r="I51" s="21">
        <v>100</v>
      </c>
      <c r="J51" s="27" t="s">
        <v>198</v>
      </c>
      <c r="K51" s="21">
        <v>100</v>
      </c>
      <c r="L51" s="27" t="s">
        <v>199</v>
      </c>
      <c r="M51" s="21">
        <v>100</v>
      </c>
      <c r="N51" s="27" t="s">
        <v>200</v>
      </c>
      <c r="O51" s="21">
        <v>10</v>
      </c>
      <c r="P51" s="1">
        <v>10</v>
      </c>
      <c r="Q51" s="1">
        <v>0</v>
      </c>
      <c r="R51" s="1">
        <v>100</v>
      </c>
      <c r="S51" s="3">
        <f t="shared" si="15"/>
        <v>67000</v>
      </c>
      <c r="T51" s="3">
        <f t="shared" si="16"/>
        <v>67000</v>
      </c>
      <c r="U51" s="3">
        <f t="shared" si="17"/>
        <v>44000</v>
      </c>
      <c r="V51" s="3">
        <f t="shared" si="18"/>
        <v>44000</v>
      </c>
      <c r="W51" s="3">
        <f t="shared" si="20"/>
        <v>465</v>
      </c>
      <c r="X51" s="3">
        <f t="shared" si="19"/>
        <v>355</v>
      </c>
      <c r="Y51" s="3">
        <v>99.4</v>
      </c>
      <c r="Z51" s="3">
        <v>99.99999</v>
      </c>
      <c r="AA51" s="20">
        <v>5e+17</v>
      </c>
      <c r="AB51" s="20">
        <v>5e+17</v>
      </c>
    </row>
    <row r="52" customHeight="1" spans="3:28">
      <c r="C52" s="1">
        <v>47</v>
      </c>
      <c r="D52" s="1">
        <f t="shared" si="0"/>
        <v>4601</v>
      </c>
      <c r="E52" s="1">
        <f t="shared" si="1"/>
        <v>4700</v>
      </c>
      <c r="F52" s="26" t="s">
        <v>201</v>
      </c>
      <c r="G52" s="14">
        <v>100</v>
      </c>
      <c r="H52" s="26" t="s">
        <v>202</v>
      </c>
      <c r="I52" s="14">
        <v>100</v>
      </c>
      <c r="J52" s="26" t="s">
        <v>203</v>
      </c>
      <c r="K52" s="14">
        <v>100</v>
      </c>
      <c r="L52" s="26" t="s">
        <v>204</v>
      </c>
      <c r="M52" s="14">
        <v>100</v>
      </c>
      <c r="N52" s="26" t="s">
        <v>205</v>
      </c>
      <c r="O52" s="14">
        <v>100</v>
      </c>
      <c r="P52" s="1">
        <v>100</v>
      </c>
      <c r="Q52" s="1">
        <v>0</v>
      </c>
      <c r="R52" s="1">
        <v>100</v>
      </c>
      <c r="S52" s="15">
        <f t="shared" si="15"/>
        <v>70000</v>
      </c>
      <c r="T52" s="15">
        <f t="shared" si="16"/>
        <v>70000</v>
      </c>
      <c r="U52" s="15">
        <f t="shared" si="17"/>
        <v>46000</v>
      </c>
      <c r="V52" s="15">
        <f t="shared" si="18"/>
        <v>46000</v>
      </c>
      <c r="W52" s="15">
        <f t="shared" si="20"/>
        <v>485</v>
      </c>
      <c r="X52" s="15">
        <f t="shared" si="19"/>
        <v>370</v>
      </c>
      <c r="Y52" s="15">
        <v>99.4</v>
      </c>
      <c r="Z52" s="15">
        <v>99.99999</v>
      </c>
      <c r="AA52" s="13">
        <v>5.4e+17</v>
      </c>
      <c r="AB52" s="13">
        <v>5.4e+17</v>
      </c>
    </row>
    <row r="53" customHeight="1" spans="3:28">
      <c r="C53" s="1">
        <v>48</v>
      </c>
      <c r="D53" s="1">
        <f t="shared" si="0"/>
        <v>4701</v>
      </c>
      <c r="E53" s="1">
        <f t="shared" si="1"/>
        <v>4800</v>
      </c>
      <c r="F53" s="26" t="s">
        <v>206</v>
      </c>
      <c r="G53" s="14">
        <v>100</v>
      </c>
      <c r="H53" s="26" t="s">
        <v>207</v>
      </c>
      <c r="I53" s="14">
        <v>100</v>
      </c>
      <c r="J53" s="26" t="s">
        <v>208</v>
      </c>
      <c r="K53" s="14">
        <v>100</v>
      </c>
      <c r="L53" s="26" t="s">
        <v>209</v>
      </c>
      <c r="M53" s="14">
        <v>100</v>
      </c>
      <c r="N53" s="26" t="s">
        <v>210</v>
      </c>
      <c r="O53" s="14">
        <v>100</v>
      </c>
      <c r="P53" s="1">
        <v>1000</v>
      </c>
      <c r="Q53" s="1">
        <v>0</v>
      </c>
      <c r="R53" s="1">
        <v>100</v>
      </c>
      <c r="S53" s="15">
        <f t="shared" si="15"/>
        <v>73000</v>
      </c>
      <c r="T53" s="15">
        <f t="shared" si="16"/>
        <v>73000</v>
      </c>
      <c r="U53" s="15">
        <f t="shared" si="17"/>
        <v>48000</v>
      </c>
      <c r="V53" s="15">
        <f t="shared" si="18"/>
        <v>48000</v>
      </c>
      <c r="W53" s="15">
        <f t="shared" si="20"/>
        <v>505</v>
      </c>
      <c r="X53" s="15">
        <f t="shared" si="19"/>
        <v>385</v>
      </c>
      <c r="Y53" s="15">
        <v>99.4</v>
      </c>
      <c r="Z53" s="15">
        <v>99.99999</v>
      </c>
      <c r="AA53" s="13">
        <v>5.8e+17</v>
      </c>
      <c r="AB53" s="13">
        <v>5.8e+17</v>
      </c>
    </row>
    <row r="54" customHeight="1" spans="3:28">
      <c r="C54" s="1">
        <v>49</v>
      </c>
      <c r="D54" s="1">
        <f t="shared" si="0"/>
        <v>4801</v>
      </c>
      <c r="E54" s="1">
        <f t="shared" si="1"/>
        <v>4900</v>
      </c>
      <c r="F54" s="26" t="s">
        <v>211</v>
      </c>
      <c r="G54" s="14">
        <v>100</v>
      </c>
      <c r="H54" s="26" t="s">
        <v>188</v>
      </c>
      <c r="I54" s="14">
        <v>100</v>
      </c>
      <c r="J54" s="26" t="s">
        <v>212</v>
      </c>
      <c r="K54" s="14">
        <v>100</v>
      </c>
      <c r="L54" s="26" t="s">
        <v>186</v>
      </c>
      <c r="M54" s="14">
        <v>100</v>
      </c>
      <c r="N54" s="26" t="s">
        <v>213</v>
      </c>
      <c r="O54" s="14">
        <v>100</v>
      </c>
      <c r="P54" s="28" t="s">
        <v>214</v>
      </c>
      <c r="Q54" s="1">
        <v>0</v>
      </c>
      <c r="R54" s="1">
        <v>100</v>
      </c>
      <c r="S54" s="15">
        <f t="shared" si="15"/>
        <v>76000</v>
      </c>
      <c r="T54" s="15">
        <f t="shared" si="16"/>
        <v>76000</v>
      </c>
      <c r="U54" s="15">
        <f t="shared" si="17"/>
        <v>50000</v>
      </c>
      <c r="V54" s="15">
        <f t="shared" si="18"/>
        <v>50000</v>
      </c>
      <c r="W54" s="15">
        <f t="shared" si="20"/>
        <v>525</v>
      </c>
      <c r="X54" s="15">
        <f t="shared" si="19"/>
        <v>400</v>
      </c>
      <c r="Y54" s="15">
        <v>99.4</v>
      </c>
      <c r="Z54" s="15">
        <v>99.99999</v>
      </c>
      <c r="AA54" s="13">
        <v>6.2e+17</v>
      </c>
      <c r="AB54" s="13">
        <v>6.2e+17</v>
      </c>
    </row>
    <row r="55" customHeight="1" spans="3:28">
      <c r="C55" s="1">
        <v>50</v>
      </c>
      <c r="D55" s="1">
        <f t="shared" si="0"/>
        <v>4901</v>
      </c>
      <c r="E55" s="1">
        <f t="shared" si="1"/>
        <v>5000</v>
      </c>
      <c r="F55" s="26" t="s">
        <v>215</v>
      </c>
      <c r="G55" s="14">
        <v>100</v>
      </c>
      <c r="H55" s="26" t="s">
        <v>216</v>
      </c>
      <c r="I55" s="14">
        <v>100</v>
      </c>
      <c r="J55" s="26" t="s">
        <v>217</v>
      </c>
      <c r="K55" s="14">
        <v>100</v>
      </c>
      <c r="L55" s="26" t="s">
        <v>218</v>
      </c>
      <c r="M55" s="14">
        <v>100</v>
      </c>
      <c r="N55" s="26" t="s">
        <v>219</v>
      </c>
      <c r="O55" s="14">
        <v>100</v>
      </c>
      <c r="P55" s="28" t="s">
        <v>220</v>
      </c>
      <c r="Q55" s="1">
        <v>0</v>
      </c>
      <c r="R55" s="1">
        <v>100</v>
      </c>
      <c r="S55" s="15">
        <f t="shared" si="15"/>
        <v>79000</v>
      </c>
      <c r="T55" s="15">
        <f t="shared" si="16"/>
        <v>79000</v>
      </c>
      <c r="U55" s="15">
        <f t="shared" si="17"/>
        <v>52000</v>
      </c>
      <c r="V55" s="15">
        <f t="shared" si="18"/>
        <v>52000</v>
      </c>
      <c r="W55" s="15">
        <f t="shared" si="20"/>
        <v>545</v>
      </c>
      <c r="X55" s="15">
        <f t="shared" si="19"/>
        <v>415</v>
      </c>
      <c r="Y55" s="15">
        <v>99.4</v>
      </c>
      <c r="Z55" s="15">
        <v>99.99999</v>
      </c>
      <c r="AA55" s="13">
        <v>6.4e+17</v>
      </c>
      <c r="AB55" s="13">
        <v>6.4e+17</v>
      </c>
    </row>
    <row r="56" customHeight="1" spans="3:28">
      <c r="C56" s="1">
        <v>51</v>
      </c>
      <c r="D56" s="1">
        <f t="shared" si="0"/>
        <v>5001</v>
      </c>
      <c r="E56" s="1">
        <f t="shared" si="1"/>
        <v>5100</v>
      </c>
      <c r="F56" s="26" t="s">
        <v>187</v>
      </c>
      <c r="G56" s="14">
        <v>100</v>
      </c>
      <c r="H56" s="26" t="s">
        <v>221</v>
      </c>
      <c r="I56" s="14">
        <v>100</v>
      </c>
      <c r="J56" s="26" t="s">
        <v>222</v>
      </c>
      <c r="K56" s="14">
        <v>100</v>
      </c>
      <c r="L56" s="26" t="s">
        <v>196</v>
      </c>
      <c r="M56" s="14">
        <v>100</v>
      </c>
      <c r="N56" s="26" t="s">
        <v>223</v>
      </c>
      <c r="O56" s="14">
        <v>1</v>
      </c>
      <c r="P56" s="28" t="s">
        <v>224</v>
      </c>
      <c r="Q56" s="1">
        <v>10</v>
      </c>
      <c r="R56" s="1">
        <v>150</v>
      </c>
      <c r="S56" s="15">
        <f t="shared" si="15"/>
        <v>82000</v>
      </c>
      <c r="T56" s="15">
        <f t="shared" si="16"/>
        <v>82000</v>
      </c>
      <c r="U56" s="15">
        <f t="shared" si="17"/>
        <v>54000</v>
      </c>
      <c r="V56" s="15">
        <f t="shared" si="18"/>
        <v>54000</v>
      </c>
      <c r="W56" s="15">
        <f t="shared" si="20"/>
        <v>565</v>
      </c>
      <c r="X56" s="15">
        <f t="shared" si="19"/>
        <v>430</v>
      </c>
      <c r="Y56" s="15">
        <v>99.4</v>
      </c>
      <c r="Z56" s="15">
        <v>99.99999</v>
      </c>
      <c r="AA56" s="13">
        <v>6.4e+17</v>
      </c>
      <c r="AB56" s="13">
        <v>6.4e+17</v>
      </c>
    </row>
    <row r="57" customHeight="1" spans="3:28">
      <c r="C57" s="1">
        <v>52</v>
      </c>
      <c r="D57" s="1">
        <f t="shared" si="0"/>
        <v>5101</v>
      </c>
      <c r="E57" s="1">
        <f t="shared" si="1"/>
        <v>5200</v>
      </c>
      <c r="F57" s="26" t="s">
        <v>192</v>
      </c>
      <c r="G57" s="14">
        <v>100</v>
      </c>
      <c r="H57" s="26" t="s">
        <v>225</v>
      </c>
      <c r="I57" s="14">
        <v>100</v>
      </c>
      <c r="J57" s="26" t="s">
        <v>226</v>
      </c>
      <c r="K57" s="14">
        <v>100</v>
      </c>
      <c r="L57" s="26" t="s">
        <v>201</v>
      </c>
      <c r="M57" s="14">
        <v>100</v>
      </c>
      <c r="N57" s="26" t="s">
        <v>227</v>
      </c>
      <c r="O57" s="14">
        <v>1</v>
      </c>
      <c r="P57" s="28" t="s">
        <v>228</v>
      </c>
      <c r="Q57" s="1">
        <v>10</v>
      </c>
      <c r="R57" s="1">
        <v>150</v>
      </c>
      <c r="S57" s="15">
        <f t="shared" si="15"/>
        <v>85000</v>
      </c>
      <c r="T57" s="15">
        <f t="shared" si="16"/>
        <v>85000</v>
      </c>
      <c r="U57" s="15">
        <f t="shared" si="17"/>
        <v>56000</v>
      </c>
      <c r="V57" s="15">
        <f t="shared" si="18"/>
        <v>56000</v>
      </c>
      <c r="W57" s="15">
        <f t="shared" si="20"/>
        <v>585</v>
      </c>
      <c r="X57" s="15">
        <f t="shared" si="19"/>
        <v>445</v>
      </c>
      <c r="Y57" s="15">
        <v>99.4</v>
      </c>
      <c r="Z57" s="15">
        <v>99.99999</v>
      </c>
      <c r="AA57" s="13">
        <v>6.6e+17</v>
      </c>
      <c r="AB57" s="13">
        <v>6.6e+17</v>
      </c>
    </row>
    <row r="58" customHeight="1" spans="3:28">
      <c r="C58" s="1">
        <v>53</v>
      </c>
      <c r="D58" s="1">
        <f t="shared" si="0"/>
        <v>5201</v>
      </c>
      <c r="E58" s="1">
        <f t="shared" si="1"/>
        <v>5300</v>
      </c>
      <c r="F58" s="26" t="s">
        <v>197</v>
      </c>
      <c r="G58" s="14">
        <v>100</v>
      </c>
      <c r="H58" s="26" t="s">
        <v>229</v>
      </c>
      <c r="I58" s="14">
        <v>100</v>
      </c>
      <c r="J58" s="26" t="s">
        <v>230</v>
      </c>
      <c r="K58" s="14">
        <v>100</v>
      </c>
      <c r="L58" s="26" t="s">
        <v>206</v>
      </c>
      <c r="M58" s="14">
        <v>100</v>
      </c>
      <c r="N58" s="26" t="s">
        <v>174</v>
      </c>
      <c r="O58" s="14">
        <v>1</v>
      </c>
      <c r="P58" s="28" t="s">
        <v>231</v>
      </c>
      <c r="Q58" s="1">
        <v>10</v>
      </c>
      <c r="R58" s="1">
        <v>150</v>
      </c>
      <c r="S58" s="15">
        <f t="shared" si="15"/>
        <v>88000</v>
      </c>
      <c r="T58" s="15">
        <f t="shared" si="16"/>
        <v>88000</v>
      </c>
      <c r="U58" s="15">
        <f t="shared" si="17"/>
        <v>58000</v>
      </c>
      <c r="V58" s="15">
        <f t="shared" si="18"/>
        <v>58000</v>
      </c>
      <c r="W58" s="15">
        <f t="shared" si="20"/>
        <v>605</v>
      </c>
      <c r="X58" s="15">
        <f t="shared" si="19"/>
        <v>460</v>
      </c>
      <c r="Y58" s="15">
        <v>99.4</v>
      </c>
      <c r="Z58" s="15">
        <v>99.99999</v>
      </c>
      <c r="AA58" s="13">
        <v>6.8e+17</v>
      </c>
      <c r="AB58" s="13">
        <v>6.8e+17</v>
      </c>
    </row>
    <row r="59" customHeight="1" spans="3:28">
      <c r="C59" s="1">
        <v>54</v>
      </c>
      <c r="D59" s="1">
        <f t="shared" si="0"/>
        <v>5301</v>
      </c>
      <c r="E59" s="1">
        <f t="shared" si="1"/>
        <v>5400</v>
      </c>
      <c r="F59" s="26" t="s">
        <v>202</v>
      </c>
      <c r="G59" s="14">
        <v>100</v>
      </c>
      <c r="H59" s="26" t="s">
        <v>232</v>
      </c>
      <c r="I59" s="14">
        <v>100</v>
      </c>
      <c r="J59" s="26" t="s">
        <v>233</v>
      </c>
      <c r="K59" s="14">
        <v>100</v>
      </c>
      <c r="L59" s="26" t="s">
        <v>211</v>
      </c>
      <c r="M59" s="14">
        <v>100</v>
      </c>
      <c r="N59" s="26" t="s">
        <v>234</v>
      </c>
      <c r="O59" s="14">
        <v>1</v>
      </c>
      <c r="P59" s="28" t="s">
        <v>170</v>
      </c>
      <c r="Q59" s="1">
        <v>10</v>
      </c>
      <c r="R59" s="1">
        <v>150</v>
      </c>
      <c r="S59" s="15">
        <f t="shared" si="15"/>
        <v>91000</v>
      </c>
      <c r="T59" s="15">
        <f t="shared" si="16"/>
        <v>91000</v>
      </c>
      <c r="U59" s="15">
        <f t="shared" si="17"/>
        <v>60000</v>
      </c>
      <c r="V59" s="15">
        <f t="shared" si="18"/>
        <v>60000</v>
      </c>
      <c r="W59" s="15">
        <f t="shared" si="20"/>
        <v>625</v>
      </c>
      <c r="X59" s="15">
        <f t="shared" si="19"/>
        <v>475</v>
      </c>
      <c r="Y59" s="15">
        <v>99.4</v>
      </c>
      <c r="Z59" s="15">
        <v>99.99999</v>
      </c>
      <c r="AA59" s="13">
        <v>7e+17</v>
      </c>
      <c r="AB59" s="13">
        <v>7e+17</v>
      </c>
    </row>
    <row r="60" customHeight="1" spans="3:28">
      <c r="C60" s="1">
        <v>55</v>
      </c>
      <c r="D60" s="1">
        <f t="shared" si="0"/>
        <v>5401</v>
      </c>
      <c r="E60" s="1">
        <f t="shared" si="1"/>
        <v>5500</v>
      </c>
      <c r="F60" s="26" t="s">
        <v>207</v>
      </c>
      <c r="G60" s="14">
        <v>100</v>
      </c>
      <c r="H60" s="26" t="s">
        <v>235</v>
      </c>
      <c r="I60" s="14">
        <v>100</v>
      </c>
      <c r="J60" s="26" t="s">
        <v>236</v>
      </c>
      <c r="K60" s="14">
        <v>100</v>
      </c>
      <c r="L60" s="26" t="s">
        <v>215</v>
      </c>
      <c r="M60" s="14">
        <v>100</v>
      </c>
      <c r="N60" s="26" t="s">
        <v>237</v>
      </c>
      <c r="O60" s="14">
        <v>1</v>
      </c>
      <c r="P60" s="28" t="s">
        <v>238</v>
      </c>
      <c r="Q60" s="1">
        <v>10</v>
      </c>
      <c r="R60" s="1">
        <v>150</v>
      </c>
      <c r="S60" s="15">
        <f t="shared" si="15"/>
        <v>94000</v>
      </c>
      <c r="T60" s="15">
        <f t="shared" si="16"/>
        <v>94000</v>
      </c>
      <c r="U60" s="15">
        <f t="shared" si="17"/>
        <v>62000</v>
      </c>
      <c r="V60" s="15">
        <f t="shared" si="18"/>
        <v>62000</v>
      </c>
      <c r="W60" s="15">
        <f t="shared" si="20"/>
        <v>645</v>
      </c>
      <c r="X60" s="15">
        <f t="shared" si="19"/>
        <v>490</v>
      </c>
      <c r="Y60" s="15">
        <v>99.4</v>
      </c>
      <c r="Z60" s="15">
        <v>99.99999</v>
      </c>
      <c r="AA60" s="13">
        <v>7.2e+17</v>
      </c>
      <c r="AB60" s="13">
        <v>7.2e+17</v>
      </c>
    </row>
    <row r="61" s="4" customFormat="1" customHeight="1" spans="3:28">
      <c r="C61" s="22">
        <v>56</v>
      </c>
      <c r="D61" s="22">
        <f t="shared" si="0"/>
        <v>5501</v>
      </c>
      <c r="E61" s="22">
        <f t="shared" si="1"/>
        <v>5600</v>
      </c>
      <c r="F61" s="29" t="s">
        <v>188</v>
      </c>
      <c r="G61" s="24">
        <v>100</v>
      </c>
      <c r="H61" s="29" t="s">
        <v>239</v>
      </c>
      <c r="I61" s="24">
        <v>0</v>
      </c>
      <c r="J61" s="29" t="s">
        <v>240</v>
      </c>
      <c r="K61" s="24">
        <v>100</v>
      </c>
      <c r="L61" s="29" t="s">
        <v>187</v>
      </c>
      <c r="M61" s="24">
        <v>100</v>
      </c>
      <c r="N61" s="29" t="s">
        <v>184</v>
      </c>
      <c r="O61" s="24">
        <v>0.1</v>
      </c>
      <c r="P61" s="30" t="s">
        <v>185</v>
      </c>
      <c r="Q61" s="22">
        <v>100</v>
      </c>
      <c r="R61" s="22">
        <v>175</v>
      </c>
      <c r="S61" s="4">
        <f t="shared" ref="S61:S100" si="21">S60+10000</f>
        <v>104000</v>
      </c>
      <c r="T61" s="4">
        <f>T60+10000</f>
        <v>104000</v>
      </c>
      <c r="U61" s="4">
        <f t="shared" si="17"/>
        <v>64000</v>
      </c>
      <c r="V61" s="4">
        <f t="shared" si="18"/>
        <v>64000</v>
      </c>
      <c r="W61" s="4">
        <f t="shared" si="20"/>
        <v>665</v>
      </c>
      <c r="X61" s="4">
        <f t="shared" si="19"/>
        <v>505</v>
      </c>
      <c r="Y61" s="4">
        <v>99.4</v>
      </c>
      <c r="Z61" s="4">
        <v>99.99999</v>
      </c>
      <c r="AA61" s="23">
        <v>7.4e+17</v>
      </c>
      <c r="AB61" s="23">
        <v>7.4e+17</v>
      </c>
    </row>
    <row r="62" customHeight="1" spans="3:28">
      <c r="C62" s="1">
        <v>57</v>
      </c>
      <c r="D62" s="1">
        <f t="shared" si="0"/>
        <v>5601</v>
      </c>
      <c r="E62" s="1">
        <f t="shared" si="1"/>
        <v>5700</v>
      </c>
      <c r="F62" s="26" t="s">
        <v>216</v>
      </c>
      <c r="G62" s="14">
        <v>100</v>
      </c>
      <c r="H62" s="26" t="s">
        <v>239</v>
      </c>
      <c r="I62" s="14">
        <v>0</v>
      </c>
      <c r="J62" s="26" t="s">
        <v>241</v>
      </c>
      <c r="K62" s="14">
        <v>100</v>
      </c>
      <c r="L62" s="26" t="s">
        <v>192</v>
      </c>
      <c r="M62" s="14">
        <v>100</v>
      </c>
      <c r="N62" s="26" t="s">
        <v>242</v>
      </c>
      <c r="O62" s="14">
        <v>0.1</v>
      </c>
      <c r="P62" s="28" t="s">
        <v>195</v>
      </c>
      <c r="Q62" s="1">
        <v>100</v>
      </c>
      <c r="R62" s="1">
        <v>175</v>
      </c>
      <c r="S62" s="15">
        <f t="shared" si="21"/>
        <v>114000</v>
      </c>
      <c r="T62" s="15">
        <f t="shared" si="16"/>
        <v>107000</v>
      </c>
      <c r="U62" s="15">
        <f t="shared" si="17"/>
        <v>66000</v>
      </c>
      <c r="V62" s="15">
        <f t="shared" si="18"/>
        <v>66000</v>
      </c>
      <c r="W62" s="15">
        <f t="shared" si="20"/>
        <v>685</v>
      </c>
      <c r="X62" s="15">
        <f t="shared" si="19"/>
        <v>520</v>
      </c>
      <c r="Y62" s="15">
        <v>99.4</v>
      </c>
      <c r="Z62" s="15">
        <v>99.99999</v>
      </c>
      <c r="AA62" s="13">
        <v>7.6e+17</v>
      </c>
      <c r="AB62" s="13">
        <v>7.6e+17</v>
      </c>
    </row>
    <row r="63" customHeight="1" spans="3:28">
      <c r="C63" s="1">
        <v>58</v>
      </c>
      <c r="D63" s="1">
        <f t="shared" si="0"/>
        <v>5701</v>
      </c>
      <c r="E63" s="1">
        <f t="shared" si="1"/>
        <v>5800</v>
      </c>
      <c r="F63" s="26" t="s">
        <v>221</v>
      </c>
      <c r="G63" s="14">
        <v>100</v>
      </c>
      <c r="H63" s="26" t="s">
        <v>239</v>
      </c>
      <c r="I63" s="14">
        <v>0</v>
      </c>
      <c r="J63" s="26" t="s">
        <v>243</v>
      </c>
      <c r="K63" s="14">
        <v>100</v>
      </c>
      <c r="L63" s="26" t="s">
        <v>197</v>
      </c>
      <c r="M63" s="14">
        <v>100</v>
      </c>
      <c r="N63" s="26" t="s">
        <v>244</v>
      </c>
      <c r="O63" s="14">
        <v>0.1</v>
      </c>
      <c r="P63" s="28" t="s">
        <v>245</v>
      </c>
      <c r="Q63" s="1">
        <v>100</v>
      </c>
      <c r="R63" s="1">
        <v>175</v>
      </c>
      <c r="S63" s="15">
        <f t="shared" si="21"/>
        <v>124000</v>
      </c>
      <c r="T63" s="15">
        <f t="shared" si="16"/>
        <v>110000</v>
      </c>
      <c r="U63" s="15">
        <f t="shared" si="17"/>
        <v>68000</v>
      </c>
      <c r="V63" s="15">
        <f t="shared" si="18"/>
        <v>68000</v>
      </c>
      <c r="W63" s="15">
        <f t="shared" si="20"/>
        <v>705</v>
      </c>
      <c r="X63" s="15">
        <f t="shared" si="19"/>
        <v>535</v>
      </c>
      <c r="Y63" s="15">
        <v>99.4</v>
      </c>
      <c r="Z63" s="15">
        <v>99.99999</v>
      </c>
      <c r="AA63" s="13">
        <v>7.8e+17</v>
      </c>
      <c r="AB63" s="13">
        <v>7.8e+17</v>
      </c>
    </row>
    <row r="64" customHeight="1" spans="3:28">
      <c r="C64" s="1">
        <v>59</v>
      </c>
      <c r="D64" s="1">
        <f t="shared" si="0"/>
        <v>5801</v>
      </c>
      <c r="E64" s="1">
        <f t="shared" si="1"/>
        <v>5900</v>
      </c>
      <c r="F64" s="26" t="s">
        <v>225</v>
      </c>
      <c r="G64" s="14">
        <v>100</v>
      </c>
      <c r="H64" s="26" t="s">
        <v>239</v>
      </c>
      <c r="I64" s="14">
        <v>0</v>
      </c>
      <c r="J64" s="26" t="s">
        <v>246</v>
      </c>
      <c r="K64" s="14">
        <v>100</v>
      </c>
      <c r="L64" s="26" t="s">
        <v>202</v>
      </c>
      <c r="M64" s="14">
        <v>100</v>
      </c>
      <c r="N64" s="26" t="s">
        <v>189</v>
      </c>
      <c r="O64" s="14">
        <v>0.1</v>
      </c>
      <c r="P64" s="28" t="s">
        <v>247</v>
      </c>
      <c r="Q64" s="1">
        <v>100</v>
      </c>
      <c r="R64" s="1">
        <v>175</v>
      </c>
      <c r="S64" s="15">
        <f t="shared" si="21"/>
        <v>134000</v>
      </c>
      <c r="T64" s="15">
        <f t="shared" si="16"/>
        <v>113000</v>
      </c>
      <c r="U64" s="15">
        <f t="shared" si="17"/>
        <v>70000</v>
      </c>
      <c r="V64" s="15">
        <f t="shared" si="18"/>
        <v>70000</v>
      </c>
      <c r="W64" s="15">
        <f t="shared" si="20"/>
        <v>725</v>
      </c>
      <c r="X64" s="15">
        <f t="shared" si="19"/>
        <v>550</v>
      </c>
      <c r="Y64" s="15">
        <v>99.4</v>
      </c>
      <c r="Z64" s="15">
        <v>99.99999</v>
      </c>
      <c r="AA64" s="13">
        <v>8e+17</v>
      </c>
      <c r="AB64" s="13">
        <v>8e+17</v>
      </c>
    </row>
    <row r="65" customHeight="1" spans="3:28">
      <c r="C65" s="1">
        <v>60</v>
      </c>
      <c r="D65" s="1">
        <f t="shared" si="0"/>
        <v>5901</v>
      </c>
      <c r="E65" s="1">
        <f t="shared" si="1"/>
        <v>6000</v>
      </c>
      <c r="F65" s="26" t="s">
        <v>229</v>
      </c>
      <c r="G65" s="14">
        <v>100</v>
      </c>
      <c r="H65" s="26" t="s">
        <v>239</v>
      </c>
      <c r="I65" s="14">
        <v>0</v>
      </c>
      <c r="J65" s="26" t="s">
        <v>248</v>
      </c>
      <c r="K65" s="14">
        <v>100</v>
      </c>
      <c r="L65" s="26" t="s">
        <v>207</v>
      </c>
      <c r="M65" s="14">
        <v>100</v>
      </c>
      <c r="N65" s="26" t="s">
        <v>249</v>
      </c>
      <c r="O65" s="14">
        <v>0.1</v>
      </c>
      <c r="P65" s="28" t="s">
        <v>250</v>
      </c>
      <c r="Q65" s="1">
        <v>100</v>
      </c>
      <c r="R65" s="1">
        <v>175</v>
      </c>
      <c r="S65" s="15">
        <f t="shared" si="21"/>
        <v>144000</v>
      </c>
      <c r="T65" s="15">
        <f t="shared" si="16"/>
        <v>116000</v>
      </c>
      <c r="U65" s="15">
        <f t="shared" si="17"/>
        <v>72000</v>
      </c>
      <c r="V65" s="15">
        <f t="shared" si="18"/>
        <v>72000</v>
      </c>
      <c r="W65" s="15">
        <f t="shared" si="20"/>
        <v>745</v>
      </c>
      <c r="X65" s="15">
        <f t="shared" si="19"/>
        <v>565</v>
      </c>
      <c r="Y65" s="15">
        <v>99.4</v>
      </c>
      <c r="Z65" s="15">
        <v>99.99999</v>
      </c>
      <c r="AA65" s="13">
        <v>8.2e+17</v>
      </c>
      <c r="AB65" s="13">
        <v>8.2e+17</v>
      </c>
    </row>
    <row r="66" customHeight="1" spans="3:28">
      <c r="C66" s="1">
        <v>61</v>
      </c>
      <c r="D66" s="1">
        <f t="shared" si="0"/>
        <v>6001</v>
      </c>
      <c r="E66" s="1">
        <f t="shared" si="1"/>
        <v>6100</v>
      </c>
      <c r="F66" s="26" t="s">
        <v>232</v>
      </c>
      <c r="G66" s="14">
        <v>100</v>
      </c>
      <c r="H66" s="26" t="s">
        <v>239</v>
      </c>
      <c r="I66" s="14">
        <v>0</v>
      </c>
      <c r="J66" s="26" t="s">
        <v>251</v>
      </c>
      <c r="K66" s="14">
        <v>100</v>
      </c>
      <c r="L66" s="26" t="s">
        <v>188</v>
      </c>
      <c r="M66" s="14">
        <v>100</v>
      </c>
      <c r="N66" s="26" t="s">
        <v>252</v>
      </c>
      <c r="O66" s="14">
        <v>0.1</v>
      </c>
      <c r="P66" s="28" t="s">
        <v>253</v>
      </c>
      <c r="Q66" s="1">
        <v>100</v>
      </c>
      <c r="R66" s="1">
        <f t="shared" ref="R66:R100" si="22">R65+5</f>
        <v>180</v>
      </c>
      <c r="S66" s="15">
        <f t="shared" si="21"/>
        <v>154000</v>
      </c>
      <c r="T66" s="15">
        <f t="shared" si="16"/>
        <v>119000</v>
      </c>
      <c r="U66" s="15">
        <f t="shared" si="17"/>
        <v>74000</v>
      </c>
      <c r="V66" s="15">
        <f t="shared" si="18"/>
        <v>74000</v>
      </c>
      <c r="W66" s="15">
        <f t="shared" si="20"/>
        <v>765</v>
      </c>
      <c r="X66" s="15">
        <f t="shared" si="19"/>
        <v>580</v>
      </c>
      <c r="Y66" s="15">
        <v>99.4</v>
      </c>
      <c r="Z66" s="15">
        <v>99.99999</v>
      </c>
      <c r="AA66" s="13">
        <v>8.4e+17</v>
      </c>
      <c r="AB66" s="13">
        <v>8.4e+17</v>
      </c>
    </row>
    <row r="67" customHeight="1" spans="3:28">
      <c r="C67" s="1">
        <v>62</v>
      </c>
      <c r="D67" s="1">
        <f t="shared" si="0"/>
        <v>6101</v>
      </c>
      <c r="E67" s="1">
        <f t="shared" si="1"/>
        <v>6200</v>
      </c>
      <c r="F67" s="26" t="s">
        <v>235</v>
      </c>
      <c r="G67" s="14">
        <v>100</v>
      </c>
      <c r="H67" s="26" t="s">
        <v>239</v>
      </c>
      <c r="I67" s="14">
        <v>0</v>
      </c>
      <c r="J67" s="26" t="s">
        <v>254</v>
      </c>
      <c r="K67" s="14">
        <v>100</v>
      </c>
      <c r="L67" s="26" t="s">
        <v>216</v>
      </c>
      <c r="M67" s="14">
        <v>100</v>
      </c>
      <c r="N67" s="26" t="s">
        <v>194</v>
      </c>
      <c r="O67" s="14">
        <v>0.1</v>
      </c>
      <c r="P67" s="28" t="s">
        <v>255</v>
      </c>
      <c r="Q67" s="1">
        <v>100</v>
      </c>
      <c r="R67" s="1">
        <f t="shared" si="22"/>
        <v>185</v>
      </c>
      <c r="S67" s="15">
        <f t="shared" si="21"/>
        <v>164000</v>
      </c>
      <c r="T67" s="15">
        <f t="shared" si="16"/>
        <v>122000</v>
      </c>
      <c r="U67" s="15">
        <f t="shared" si="17"/>
        <v>76000</v>
      </c>
      <c r="V67" s="15">
        <f t="shared" si="18"/>
        <v>76000</v>
      </c>
      <c r="W67" s="15">
        <f t="shared" si="20"/>
        <v>785</v>
      </c>
      <c r="X67" s="15">
        <f t="shared" si="19"/>
        <v>595</v>
      </c>
      <c r="Y67" s="15">
        <v>99.4</v>
      </c>
      <c r="Z67" s="15">
        <v>99.99999</v>
      </c>
      <c r="AA67" s="13">
        <v>8.6e+17</v>
      </c>
      <c r="AB67" s="13">
        <v>8.6e+17</v>
      </c>
    </row>
    <row r="68" customHeight="1" spans="3:28">
      <c r="C68" s="1">
        <v>63</v>
      </c>
      <c r="D68" s="1">
        <f t="shared" si="0"/>
        <v>6201</v>
      </c>
      <c r="E68" s="1">
        <f t="shared" si="1"/>
        <v>6300</v>
      </c>
      <c r="F68" s="26" t="s">
        <v>239</v>
      </c>
      <c r="G68" s="14">
        <v>100</v>
      </c>
      <c r="H68" s="26" t="s">
        <v>239</v>
      </c>
      <c r="I68" s="14">
        <v>0</v>
      </c>
      <c r="J68" s="26" t="s">
        <v>256</v>
      </c>
      <c r="K68" s="14">
        <v>100</v>
      </c>
      <c r="L68" s="26" t="s">
        <v>221</v>
      </c>
      <c r="M68" s="14">
        <v>100</v>
      </c>
      <c r="N68" s="26" t="s">
        <v>257</v>
      </c>
      <c r="O68" s="14">
        <v>0.1</v>
      </c>
      <c r="P68" s="28" t="s">
        <v>227</v>
      </c>
      <c r="Q68" s="1">
        <v>100</v>
      </c>
      <c r="R68" s="1">
        <f t="shared" si="22"/>
        <v>190</v>
      </c>
      <c r="S68" s="15">
        <f t="shared" si="21"/>
        <v>174000</v>
      </c>
      <c r="T68" s="15">
        <f t="shared" si="16"/>
        <v>125000</v>
      </c>
      <c r="U68" s="15">
        <f t="shared" si="17"/>
        <v>78000</v>
      </c>
      <c r="V68" s="15">
        <f t="shared" si="18"/>
        <v>78000</v>
      </c>
      <c r="W68" s="15">
        <f t="shared" si="20"/>
        <v>805</v>
      </c>
      <c r="X68" s="15">
        <f t="shared" si="19"/>
        <v>610</v>
      </c>
      <c r="Y68" s="15">
        <v>99.4</v>
      </c>
      <c r="Z68" s="15">
        <v>99.99999</v>
      </c>
      <c r="AA68" s="13">
        <v>8.8e+17</v>
      </c>
      <c r="AB68" s="13">
        <v>8.8e+17</v>
      </c>
    </row>
    <row r="69" customHeight="1" spans="3:28">
      <c r="C69" s="1">
        <v>64</v>
      </c>
      <c r="D69" s="1">
        <f t="shared" si="0"/>
        <v>6301</v>
      </c>
      <c r="E69" s="1">
        <f t="shared" si="1"/>
        <v>6400</v>
      </c>
      <c r="F69" s="26" t="s">
        <v>258</v>
      </c>
      <c r="G69" s="14">
        <v>100</v>
      </c>
      <c r="H69" s="26" t="s">
        <v>239</v>
      </c>
      <c r="I69" s="14">
        <v>0</v>
      </c>
      <c r="J69" s="26" t="s">
        <v>259</v>
      </c>
      <c r="K69" s="14">
        <v>100</v>
      </c>
      <c r="L69" s="26" t="s">
        <v>225</v>
      </c>
      <c r="M69" s="14">
        <v>100</v>
      </c>
      <c r="N69" s="26" t="s">
        <v>260</v>
      </c>
      <c r="O69" s="14">
        <v>0.1</v>
      </c>
      <c r="P69" s="28" t="s">
        <v>234</v>
      </c>
      <c r="Q69" s="1">
        <v>100</v>
      </c>
      <c r="R69" s="1">
        <f t="shared" si="22"/>
        <v>195</v>
      </c>
      <c r="S69" s="15">
        <f t="shared" si="21"/>
        <v>184000</v>
      </c>
      <c r="T69" s="15">
        <f t="shared" si="16"/>
        <v>128000</v>
      </c>
      <c r="U69" s="15">
        <f t="shared" si="17"/>
        <v>80000</v>
      </c>
      <c r="V69" s="15">
        <f t="shared" si="18"/>
        <v>80000</v>
      </c>
      <c r="W69" s="15">
        <f t="shared" si="20"/>
        <v>825</v>
      </c>
      <c r="X69" s="15">
        <f t="shared" si="19"/>
        <v>625</v>
      </c>
      <c r="Y69" s="15">
        <v>99.4</v>
      </c>
      <c r="Z69" s="15">
        <v>99.99999</v>
      </c>
      <c r="AA69" s="13">
        <v>9e+17</v>
      </c>
      <c r="AB69" s="13">
        <v>9e+17</v>
      </c>
    </row>
    <row r="70" customHeight="1" spans="3:28">
      <c r="C70" s="1">
        <v>65</v>
      </c>
      <c r="D70" s="1">
        <f t="shared" si="0"/>
        <v>6401</v>
      </c>
      <c r="E70" s="1">
        <f t="shared" si="1"/>
        <v>6500</v>
      </c>
      <c r="F70" s="26" t="s">
        <v>261</v>
      </c>
      <c r="G70" s="14">
        <v>100</v>
      </c>
      <c r="H70" s="26" t="s">
        <v>239</v>
      </c>
      <c r="I70" s="14">
        <v>0</v>
      </c>
      <c r="J70" s="26" t="s">
        <v>262</v>
      </c>
      <c r="K70" s="14">
        <v>1000</v>
      </c>
      <c r="L70" s="26" t="s">
        <v>229</v>
      </c>
      <c r="M70" s="14">
        <v>100</v>
      </c>
      <c r="N70" s="26" t="s">
        <v>263</v>
      </c>
      <c r="O70" s="14">
        <v>0.1</v>
      </c>
      <c r="P70" s="28" t="s">
        <v>184</v>
      </c>
      <c r="Q70" s="1">
        <v>100</v>
      </c>
      <c r="R70" s="1">
        <f t="shared" si="22"/>
        <v>200</v>
      </c>
      <c r="S70" s="15">
        <f t="shared" si="21"/>
        <v>194000</v>
      </c>
      <c r="T70" s="15">
        <f t="shared" si="16"/>
        <v>131000</v>
      </c>
      <c r="U70" s="15">
        <f t="shared" si="17"/>
        <v>82000</v>
      </c>
      <c r="V70" s="15">
        <f t="shared" si="18"/>
        <v>82000</v>
      </c>
      <c r="W70" s="15">
        <f t="shared" si="20"/>
        <v>845</v>
      </c>
      <c r="X70" s="15">
        <f t="shared" si="19"/>
        <v>640</v>
      </c>
      <c r="Y70" s="15">
        <v>99.4</v>
      </c>
      <c r="Z70" s="15">
        <v>99.99999</v>
      </c>
      <c r="AA70" s="13">
        <v>9.2e+17</v>
      </c>
      <c r="AB70" s="13">
        <v>9.2e+17</v>
      </c>
    </row>
    <row r="71" customHeight="1" spans="3:28">
      <c r="C71" s="1">
        <v>66</v>
      </c>
      <c r="D71" s="1">
        <f t="shared" ref="D71:D100" si="23">E70+1</f>
        <v>6501</v>
      </c>
      <c r="E71" s="1">
        <f t="shared" ref="E71:E100" si="24">E70+100</f>
        <v>6600</v>
      </c>
      <c r="F71" s="26" t="s">
        <v>264</v>
      </c>
      <c r="G71" s="14">
        <v>1000</v>
      </c>
      <c r="H71" s="26" t="s">
        <v>239</v>
      </c>
      <c r="I71" s="14">
        <v>0</v>
      </c>
      <c r="J71" s="26" t="s">
        <v>265</v>
      </c>
      <c r="K71" s="14">
        <v>1000</v>
      </c>
      <c r="L71" s="26" t="s">
        <v>232</v>
      </c>
      <c r="M71" s="14">
        <v>100</v>
      </c>
      <c r="N71" s="26" t="s">
        <v>166</v>
      </c>
      <c r="O71" s="14">
        <v>100</v>
      </c>
      <c r="P71" s="28" t="s">
        <v>249</v>
      </c>
      <c r="Q71" s="1">
        <v>100</v>
      </c>
      <c r="R71" s="1">
        <f t="shared" si="22"/>
        <v>205</v>
      </c>
      <c r="S71" s="15">
        <f t="shared" si="21"/>
        <v>204000</v>
      </c>
      <c r="T71" s="15">
        <f t="shared" si="16"/>
        <v>134000</v>
      </c>
      <c r="U71" s="15">
        <f t="shared" si="17"/>
        <v>84000</v>
      </c>
      <c r="V71" s="15">
        <f t="shared" si="18"/>
        <v>84000</v>
      </c>
      <c r="W71" s="15">
        <f t="shared" si="20"/>
        <v>865</v>
      </c>
      <c r="X71" s="15">
        <f t="shared" si="19"/>
        <v>655</v>
      </c>
      <c r="Y71" s="15">
        <v>99.4</v>
      </c>
      <c r="Z71" s="15">
        <v>99.99999</v>
      </c>
      <c r="AA71" s="13">
        <v>9.4e+17</v>
      </c>
      <c r="AB71" s="13">
        <v>9.4e+17</v>
      </c>
    </row>
    <row r="72" customHeight="1" spans="3:28">
      <c r="C72" s="1">
        <v>67</v>
      </c>
      <c r="D72" s="1">
        <f t="shared" si="23"/>
        <v>6601</v>
      </c>
      <c r="E72" s="1">
        <f t="shared" si="24"/>
        <v>6700</v>
      </c>
      <c r="F72" s="26" t="s">
        <v>266</v>
      </c>
      <c r="G72" s="14">
        <v>1000</v>
      </c>
      <c r="H72" s="26" t="s">
        <v>239</v>
      </c>
      <c r="I72" s="14">
        <v>0</v>
      </c>
      <c r="J72" s="26" t="s">
        <v>267</v>
      </c>
      <c r="K72" s="14">
        <v>1000</v>
      </c>
      <c r="L72" s="26" t="s">
        <v>235</v>
      </c>
      <c r="M72" s="14">
        <v>100</v>
      </c>
      <c r="N72" s="26" t="s">
        <v>204</v>
      </c>
      <c r="O72" s="14">
        <v>100</v>
      </c>
      <c r="P72" s="28" t="s">
        <v>260</v>
      </c>
      <c r="Q72" s="1">
        <v>100</v>
      </c>
      <c r="R72" s="1">
        <f t="shared" si="22"/>
        <v>210</v>
      </c>
      <c r="S72" s="15">
        <f t="shared" si="21"/>
        <v>214000</v>
      </c>
      <c r="T72" s="15">
        <f t="shared" si="16"/>
        <v>137000</v>
      </c>
      <c r="U72" s="15">
        <f t="shared" si="17"/>
        <v>86000</v>
      </c>
      <c r="V72" s="15">
        <f t="shared" si="18"/>
        <v>86000</v>
      </c>
      <c r="W72" s="15">
        <f t="shared" si="20"/>
        <v>885</v>
      </c>
      <c r="X72" s="15">
        <f t="shared" si="19"/>
        <v>670</v>
      </c>
      <c r="Y72" s="15">
        <v>99.4</v>
      </c>
      <c r="Z72" s="15">
        <v>99.99999</v>
      </c>
      <c r="AA72" s="13">
        <v>9.6e+17</v>
      </c>
      <c r="AB72" s="13">
        <v>9.6e+17</v>
      </c>
    </row>
    <row r="73" customHeight="1" spans="3:28">
      <c r="C73" s="1">
        <v>68</v>
      </c>
      <c r="D73" s="1">
        <f t="shared" si="23"/>
        <v>6701</v>
      </c>
      <c r="E73" s="1">
        <f t="shared" si="24"/>
        <v>6800</v>
      </c>
      <c r="F73" s="26" t="s">
        <v>268</v>
      </c>
      <c r="G73" s="14">
        <v>1000</v>
      </c>
      <c r="H73" s="26" t="s">
        <v>239</v>
      </c>
      <c r="I73" s="14">
        <v>0</v>
      </c>
      <c r="J73" s="26" t="s">
        <v>269</v>
      </c>
      <c r="K73" s="14">
        <v>1000</v>
      </c>
      <c r="L73" s="26" t="s">
        <v>239</v>
      </c>
      <c r="M73" s="14">
        <v>100</v>
      </c>
      <c r="N73" s="26" t="s">
        <v>270</v>
      </c>
      <c r="O73" s="14">
        <v>100</v>
      </c>
      <c r="P73" s="28" t="s">
        <v>166</v>
      </c>
      <c r="Q73" s="1">
        <v>100</v>
      </c>
      <c r="R73" s="1">
        <f t="shared" si="22"/>
        <v>215</v>
      </c>
      <c r="S73" s="15">
        <f t="shared" si="21"/>
        <v>224000</v>
      </c>
      <c r="T73" s="15">
        <f t="shared" si="16"/>
        <v>140000</v>
      </c>
      <c r="U73" s="15">
        <f t="shared" si="17"/>
        <v>88000</v>
      </c>
      <c r="V73" s="15">
        <f t="shared" si="18"/>
        <v>88000</v>
      </c>
      <c r="W73" s="15">
        <f t="shared" si="20"/>
        <v>905</v>
      </c>
      <c r="X73" s="15">
        <f t="shared" si="19"/>
        <v>685</v>
      </c>
      <c r="Y73" s="15">
        <v>99.4</v>
      </c>
      <c r="Z73" s="15">
        <v>99.99999</v>
      </c>
      <c r="AA73" s="13">
        <v>9.8e+17</v>
      </c>
      <c r="AB73" s="13">
        <v>9.8e+17</v>
      </c>
    </row>
    <row r="74" customHeight="1" spans="3:28">
      <c r="C74" s="1">
        <v>69</v>
      </c>
      <c r="D74" s="1">
        <f t="shared" si="23"/>
        <v>6801</v>
      </c>
      <c r="E74" s="1">
        <f t="shared" si="24"/>
        <v>6900</v>
      </c>
      <c r="F74" s="26" t="s">
        <v>243</v>
      </c>
      <c r="G74" s="14">
        <v>1000</v>
      </c>
      <c r="H74" s="26" t="s">
        <v>239</v>
      </c>
      <c r="I74" s="14">
        <v>0</v>
      </c>
      <c r="J74" s="26" t="s">
        <v>271</v>
      </c>
      <c r="K74" s="14">
        <v>1000</v>
      </c>
      <c r="L74" s="26" t="s">
        <v>258</v>
      </c>
      <c r="M74" s="14">
        <v>100</v>
      </c>
      <c r="N74" s="26" t="s">
        <v>272</v>
      </c>
      <c r="O74" s="14">
        <v>100</v>
      </c>
      <c r="P74" s="28" t="s">
        <v>204</v>
      </c>
      <c r="Q74" s="1">
        <v>100</v>
      </c>
      <c r="R74" s="1">
        <f t="shared" si="22"/>
        <v>220</v>
      </c>
      <c r="S74" s="15">
        <f t="shared" si="21"/>
        <v>234000</v>
      </c>
      <c r="T74" s="15">
        <f t="shared" si="16"/>
        <v>143000</v>
      </c>
      <c r="U74" s="15">
        <f t="shared" si="17"/>
        <v>90000</v>
      </c>
      <c r="V74" s="15">
        <f t="shared" si="18"/>
        <v>90000</v>
      </c>
      <c r="W74" s="15">
        <f t="shared" si="20"/>
        <v>925</v>
      </c>
      <c r="X74" s="15">
        <f t="shared" si="19"/>
        <v>700</v>
      </c>
      <c r="Y74" s="15">
        <v>99.4</v>
      </c>
      <c r="Z74" s="15">
        <v>99.99999</v>
      </c>
      <c r="AA74" s="13">
        <v>1e+18</v>
      </c>
      <c r="AB74" s="13">
        <v>1e+18</v>
      </c>
    </row>
    <row r="75" customHeight="1" spans="3:28">
      <c r="C75" s="1">
        <v>70</v>
      </c>
      <c r="D75" s="1">
        <f t="shared" si="23"/>
        <v>6901</v>
      </c>
      <c r="E75" s="1">
        <f t="shared" si="24"/>
        <v>7000</v>
      </c>
      <c r="F75" s="26" t="s">
        <v>273</v>
      </c>
      <c r="G75" s="14">
        <v>1000</v>
      </c>
      <c r="H75" s="26" t="s">
        <v>239</v>
      </c>
      <c r="I75" s="14">
        <v>0</v>
      </c>
      <c r="J75" s="26" t="s">
        <v>274</v>
      </c>
      <c r="K75" s="14">
        <v>1000</v>
      </c>
      <c r="L75" s="26" t="s">
        <v>261</v>
      </c>
      <c r="M75" s="14">
        <v>100</v>
      </c>
      <c r="N75" s="26" t="s">
        <v>275</v>
      </c>
      <c r="O75" s="14">
        <v>100</v>
      </c>
      <c r="P75" s="28" t="s">
        <v>270</v>
      </c>
      <c r="Q75" s="1">
        <v>100</v>
      </c>
      <c r="R75" s="1">
        <f t="shared" si="22"/>
        <v>225</v>
      </c>
      <c r="S75" s="15">
        <f t="shared" si="21"/>
        <v>244000</v>
      </c>
      <c r="T75" s="15">
        <f t="shared" si="16"/>
        <v>146000</v>
      </c>
      <c r="U75" s="15">
        <f t="shared" si="17"/>
        <v>92000</v>
      </c>
      <c r="V75" s="15">
        <f t="shared" si="18"/>
        <v>92000</v>
      </c>
      <c r="W75" s="15">
        <f t="shared" si="20"/>
        <v>945</v>
      </c>
      <c r="X75" s="15">
        <f t="shared" si="19"/>
        <v>715</v>
      </c>
      <c r="Y75" s="15">
        <v>99.4</v>
      </c>
      <c r="Z75" s="15">
        <v>99.99999</v>
      </c>
      <c r="AA75" s="13">
        <v>1.1e+18</v>
      </c>
      <c r="AB75" s="13">
        <v>1.1e+18</v>
      </c>
    </row>
    <row r="76" customHeight="1" spans="3:28">
      <c r="C76" s="1">
        <v>71</v>
      </c>
      <c r="D76" s="1">
        <f t="shared" si="23"/>
        <v>7001</v>
      </c>
      <c r="E76" s="1">
        <f t="shared" si="24"/>
        <v>7100</v>
      </c>
      <c r="F76" s="26" t="s">
        <v>276</v>
      </c>
      <c r="G76" s="14">
        <v>1000</v>
      </c>
      <c r="H76" s="26" t="s">
        <v>239</v>
      </c>
      <c r="I76" s="14">
        <v>0</v>
      </c>
      <c r="J76" s="26" t="s">
        <v>277</v>
      </c>
      <c r="K76" s="14">
        <v>1000</v>
      </c>
      <c r="L76" s="26" t="s">
        <v>278</v>
      </c>
      <c r="M76" s="14">
        <v>1000</v>
      </c>
      <c r="N76" s="26" t="s">
        <v>279</v>
      </c>
      <c r="O76" s="14">
        <v>100</v>
      </c>
      <c r="P76" s="28" t="s">
        <v>272</v>
      </c>
      <c r="Q76" s="1">
        <v>100</v>
      </c>
      <c r="R76" s="1">
        <f t="shared" si="22"/>
        <v>230</v>
      </c>
      <c r="S76" s="15">
        <f t="shared" si="21"/>
        <v>254000</v>
      </c>
      <c r="T76" s="15">
        <f t="shared" si="16"/>
        <v>149000</v>
      </c>
      <c r="U76" s="15">
        <f t="shared" si="17"/>
        <v>94000</v>
      </c>
      <c r="V76" s="15">
        <f t="shared" si="18"/>
        <v>94000</v>
      </c>
      <c r="W76" s="15">
        <f t="shared" si="20"/>
        <v>965</v>
      </c>
      <c r="X76" s="15">
        <f t="shared" si="19"/>
        <v>730</v>
      </c>
      <c r="Y76" s="15">
        <v>99.4</v>
      </c>
      <c r="Z76" s="15">
        <v>99.99999</v>
      </c>
      <c r="AA76" s="13">
        <v>1.2e+18</v>
      </c>
      <c r="AB76" s="13">
        <v>1.2e+18</v>
      </c>
    </row>
    <row r="77" customHeight="1" spans="3:28">
      <c r="C77" s="1">
        <v>72</v>
      </c>
      <c r="D77" s="1">
        <f t="shared" si="23"/>
        <v>7101</v>
      </c>
      <c r="E77" s="1">
        <f t="shared" si="24"/>
        <v>7200</v>
      </c>
      <c r="F77" s="26" t="s">
        <v>280</v>
      </c>
      <c r="G77" s="14">
        <v>1000</v>
      </c>
      <c r="H77" s="26" t="s">
        <v>239</v>
      </c>
      <c r="I77" s="14">
        <v>0</v>
      </c>
      <c r="J77" s="26" t="s">
        <v>281</v>
      </c>
      <c r="K77" s="14">
        <v>1000</v>
      </c>
      <c r="L77" s="26" t="s">
        <v>282</v>
      </c>
      <c r="M77" s="14">
        <v>1000</v>
      </c>
      <c r="N77" s="26" t="s">
        <v>196</v>
      </c>
      <c r="O77" s="14">
        <v>1000</v>
      </c>
      <c r="P77" s="28" t="s">
        <v>275</v>
      </c>
      <c r="Q77" s="1">
        <v>100</v>
      </c>
      <c r="R77" s="1">
        <f t="shared" si="22"/>
        <v>235</v>
      </c>
      <c r="S77" s="15">
        <f t="shared" si="21"/>
        <v>264000</v>
      </c>
      <c r="T77" s="15">
        <f t="shared" si="16"/>
        <v>152000</v>
      </c>
      <c r="U77" s="15">
        <f t="shared" si="17"/>
        <v>96000</v>
      </c>
      <c r="V77" s="15">
        <f t="shared" si="18"/>
        <v>96000</v>
      </c>
      <c r="W77" s="15">
        <f t="shared" si="20"/>
        <v>985</v>
      </c>
      <c r="X77" s="15">
        <f t="shared" si="19"/>
        <v>745</v>
      </c>
      <c r="Y77" s="15">
        <v>99.4</v>
      </c>
      <c r="Z77" s="15">
        <v>99.99999</v>
      </c>
      <c r="AA77" s="13">
        <v>1.3e+18</v>
      </c>
      <c r="AB77" s="13">
        <v>1.3e+18</v>
      </c>
    </row>
    <row r="78" customHeight="1" spans="3:28">
      <c r="C78" s="1">
        <v>73</v>
      </c>
      <c r="D78" s="1">
        <f t="shared" si="23"/>
        <v>7201</v>
      </c>
      <c r="E78" s="1">
        <f t="shared" si="24"/>
        <v>7300</v>
      </c>
      <c r="F78" s="26" t="s">
        <v>283</v>
      </c>
      <c r="G78" s="14">
        <v>1000</v>
      </c>
      <c r="H78" s="26" t="s">
        <v>239</v>
      </c>
      <c r="I78" s="14">
        <v>0</v>
      </c>
      <c r="J78" s="26" t="s">
        <v>284</v>
      </c>
      <c r="K78" s="14">
        <v>1000</v>
      </c>
      <c r="L78" s="26" t="s">
        <v>285</v>
      </c>
      <c r="M78" s="14">
        <v>1000</v>
      </c>
      <c r="N78" s="26" t="s">
        <v>201</v>
      </c>
      <c r="O78" s="14">
        <v>1000</v>
      </c>
      <c r="P78" s="28" t="s">
        <v>279</v>
      </c>
      <c r="Q78" s="1">
        <v>100</v>
      </c>
      <c r="R78" s="1">
        <f t="shared" si="22"/>
        <v>240</v>
      </c>
      <c r="S78" s="15">
        <f t="shared" si="21"/>
        <v>274000</v>
      </c>
      <c r="T78" s="15">
        <f t="shared" si="16"/>
        <v>155000</v>
      </c>
      <c r="U78" s="15">
        <f t="shared" si="17"/>
        <v>98000</v>
      </c>
      <c r="V78" s="15">
        <f t="shared" si="18"/>
        <v>98000</v>
      </c>
      <c r="W78" s="15">
        <f t="shared" si="20"/>
        <v>1005</v>
      </c>
      <c r="X78" s="15">
        <f t="shared" si="19"/>
        <v>760</v>
      </c>
      <c r="Y78" s="15">
        <v>99.4</v>
      </c>
      <c r="Z78" s="15">
        <v>99.99999</v>
      </c>
      <c r="AA78" s="13">
        <v>1.4e+18</v>
      </c>
      <c r="AB78" s="13">
        <v>1.4e+18</v>
      </c>
    </row>
    <row r="79" customHeight="1" spans="3:28">
      <c r="C79" s="1">
        <v>74</v>
      </c>
      <c r="D79" s="1">
        <f t="shared" si="23"/>
        <v>7301</v>
      </c>
      <c r="E79" s="1">
        <f t="shared" si="24"/>
        <v>7400</v>
      </c>
      <c r="F79" s="26" t="s">
        <v>259</v>
      </c>
      <c r="G79" s="14">
        <v>1000</v>
      </c>
      <c r="H79" s="26" t="s">
        <v>239</v>
      </c>
      <c r="I79" s="14">
        <v>0</v>
      </c>
      <c r="J79" s="26" t="s">
        <v>286</v>
      </c>
      <c r="K79" s="14">
        <v>1000</v>
      </c>
      <c r="L79" s="26" t="s">
        <v>287</v>
      </c>
      <c r="M79" s="14">
        <v>1000</v>
      </c>
      <c r="N79" s="26" t="s">
        <v>206</v>
      </c>
      <c r="O79" s="14">
        <v>1000</v>
      </c>
      <c r="P79" s="28" t="s">
        <v>196</v>
      </c>
      <c r="Q79" s="1">
        <v>1000</v>
      </c>
      <c r="R79" s="1">
        <f t="shared" si="22"/>
        <v>245</v>
      </c>
      <c r="S79" s="15">
        <f t="shared" si="21"/>
        <v>284000</v>
      </c>
      <c r="T79" s="15">
        <f t="shared" si="16"/>
        <v>158000</v>
      </c>
      <c r="U79" s="15">
        <f t="shared" si="17"/>
        <v>100000</v>
      </c>
      <c r="V79" s="15">
        <f t="shared" si="18"/>
        <v>100000</v>
      </c>
      <c r="W79" s="15">
        <f t="shared" si="20"/>
        <v>1025</v>
      </c>
      <c r="X79" s="15">
        <f t="shared" si="19"/>
        <v>775</v>
      </c>
      <c r="Y79" s="15">
        <v>99.4</v>
      </c>
      <c r="Z79" s="15">
        <v>99.99999</v>
      </c>
      <c r="AA79" s="13">
        <v>1.5e+18</v>
      </c>
      <c r="AB79" s="13">
        <v>1.5e+18</v>
      </c>
    </row>
    <row r="80" customHeight="1" spans="3:28">
      <c r="C80" s="1">
        <v>75</v>
      </c>
      <c r="D80" s="1">
        <f t="shared" si="23"/>
        <v>7401</v>
      </c>
      <c r="E80" s="1">
        <f t="shared" si="24"/>
        <v>7500</v>
      </c>
      <c r="F80" s="26" t="s">
        <v>288</v>
      </c>
      <c r="G80" s="14">
        <v>1000</v>
      </c>
      <c r="H80" s="26" t="s">
        <v>239</v>
      </c>
      <c r="I80" s="14">
        <v>0</v>
      </c>
      <c r="J80" s="26" t="s">
        <v>289</v>
      </c>
      <c r="K80" s="14">
        <v>1000</v>
      </c>
      <c r="L80" s="26" t="s">
        <v>290</v>
      </c>
      <c r="M80" s="14">
        <v>1000</v>
      </c>
      <c r="N80" s="26" t="s">
        <v>211</v>
      </c>
      <c r="O80" s="14">
        <v>1000</v>
      </c>
      <c r="P80" s="28" t="s">
        <v>201</v>
      </c>
      <c r="Q80" s="1">
        <v>1000</v>
      </c>
      <c r="R80" s="1">
        <f t="shared" si="22"/>
        <v>250</v>
      </c>
      <c r="S80" s="15">
        <f t="shared" si="21"/>
        <v>294000</v>
      </c>
      <c r="T80" s="15">
        <f t="shared" si="16"/>
        <v>161000</v>
      </c>
      <c r="U80" s="15">
        <f t="shared" si="17"/>
        <v>102000</v>
      </c>
      <c r="V80" s="15">
        <f t="shared" si="18"/>
        <v>102000</v>
      </c>
      <c r="W80" s="15">
        <f t="shared" si="20"/>
        <v>1045</v>
      </c>
      <c r="X80" s="15">
        <f t="shared" si="19"/>
        <v>790</v>
      </c>
      <c r="Y80" s="15">
        <v>99.4</v>
      </c>
      <c r="Z80" s="15">
        <v>99.99999</v>
      </c>
      <c r="AA80" s="13">
        <v>1.6e+18</v>
      </c>
      <c r="AB80" s="13">
        <v>1.6e+18</v>
      </c>
    </row>
    <row r="81" customHeight="1" spans="3:28">
      <c r="C81" s="1">
        <v>76</v>
      </c>
      <c r="D81" s="1">
        <f t="shared" si="23"/>
        <v>7501</v>
      </c>
      <c r="E81" s="1">
        <f t="shared" si="24"/>
        <v>7600</v>
      </c>
      <c r="F81" s="26" t="s">
        <v>291</v>
      </c>
      <c r="G81" s="14">
        <v>1000</v>
      </c>
      <c r="H81" s="26" t="s">
        <v>239</v>
      </c>
      <c r="I81" s="14">
        <v>0</v>
      </c>
      <c r="J81" s="26" t="s">
        <v>292</v>
      </c>
      <c r="K81" s="14">
        <v>1000</v>
      </c>
      <c r="L81" s="26" t="s">
        <v>273</v>
      </c>
      <c r="M81" s="14">
        <v>1000</v>
      </c>
      <c r="N81" s="26" t="s">
        <v>215</v>
      </c>
      <c r="O81" s="14">
        <v>1000</v>
      </c>
      <c r="P81" s="26" t="s">
        <v>215</v>
      </c>
      <c r="Q81" s="1">
        <v>1000</v>
      </c>
      <c r="R81" s="1">
        <f t="shared" si="22"/>
        <v>255</v>
      </c>
      <c r="S81" s="15">
        <f t="shared" si="21"/>
        <v>304000</v>
      </c>
      <c r="T81" s="15">
        <f t="shared" si="16"/>
        <v>164000</v>
      </c>
      <c r="U81" s="15">
        <f t="shared" si="17"/>
        <v>104000</v>
      </c>
      <c r="V81" s="15">
        <f t="shared" si="18"/>
        <v>104000</v>
      </c>
      <c r="W81" s="15">
        <f t="shared" si="20"/>
        <v>1065</v>
      </c>
      <c r="X81" s="15">
        <f t="shared" si="19"/>
        <v>805</v>
      </c>
      <c r="Y81" s="15">
        <v>99.4</v>
      </c>
      <c r="Z81" s="15">
        <v>99.99999</v>
      </c>
      <c r="AA81" s="13">
        <v>1.7e+18</v>
      </c>
      <c r="AB81" s="13">
        <v>1.7e+18</v>
      </c>
    </row>
    <row r="82" customHeight="1" spans="3:28">
      <c r="C82" s="1">
        <v>77</v>
      </c>
      <c r="D82" s="1">
        <f t="shared" si="23"/>
        <v>7601</v>
      </c>
      <c r="E82" s="1">
        <f t="shared" si="24"/>
        <v>7700</v>
      </c>
      <c r="F82" s="26" t="s">
        <v>293</v>
      </c>
      <c r="G82" s="14">
        <v>1000</v>
      </c>
      <c r="H82" s="26" t="s">
        <v>239</v>
      </c>
      <c r="I82" s="14">
        <v>0</v>
      </c>
      <c r="J82" s="26" t="s">
        <v>294</v>
      </c>
      <c r="K82" s="14">
        <v>1000</v>
      </c>
      <c r="L82" s="26" t="s">
        <v>295</v>
      </c>
      <c r="M82" s="14">
        <v>1000</v>
      </c>
      <c r="N82" s="26" t="s">
        <v>187</v>
      </c>
      <c r="O82" s="14">
        <v>1000</v>
      </c>
      <c r="P82" s="26" t="s">
        <v>187</v>
      </c>
      <c r="Q82" s="1">
        <v>1000</v>
      </c>
      <c r="R82" s="1">
        <f t="shared" si="22"/>
        <v>260</v>
      </c>
      <c r="S82" s="15">
        <f t="shared" si="21"/>
        <v>314000</v>
      </c>
      <c r="T82" s="15">
        <f t="shared" si="16"/>
        <v>167000</v>
      </c>
      <c r="U82" s="15">
        <f t="shared" si="17"/>
        <v>106000</v>
      </c>
      <c r="V82" s="15">
        <f t="shared" si="18"/>
        <v>106000</v>
      </c>
      <c r="W82" s="15">
        <f t="shared" si="20"/>
        <v>1085</v>
      </c>
      <c r="X82" s="15">
        <f t="shared" si="19"/>
        <v>820</v>
      </c>
      <c r="Y82" s="15">
        <v>99.4</v>
      </c>
      <c r="Z82" s="15">
        <v>99.99999</v>
      </c>
      <c r="AA82" s="13">
        <v>1.8e+18</v>
      </c>
      <c r="AB82" s="13">
        <v>1.8e+18</v>
      </c>
    </row>
    <row r="83" customHeight="1" spans="3:28">
      <c r="C83" s="1">
        <v>78</v>
      </c>
      <c r="D83" s="1">
        <f t="shared" si="23"/>
        <v>7701</v>
      </c>
      <c r="E83" s="1">
        <f t="shared" si="24"/>
        <v>7800</v>
      </c>
      <c r="F83" s="26" t="s">
        <v>296</v>
      </c>
      <c r="G83" s="14">
        <v>1000</v>
      </c>
      <c r="H83" s="26" t="s">
        <v>239</v>
      </c>
      <c r="I83" s="14">
        <v>0</v>
      </c>
      <c r="J83" s="26" t="s">
        <v>297</v>
      </c>
      <c r="K83" s="14">
        <v>1000</v>
      </c>
      <c r="L83" s="26" t="s">
        <v>298</v>
      </c>
      <c r="M83" s="14">
        <v>1000</v>
      </c>
      <c r="N83" s="26" t="s">
        <v>192</v>
      </c>
      <c r="O83" s="14">
        <v>1000</v>
      </c>
      <c r="P83" s="26" t="s">
        <v>192</v>
      </c>
      <c r="Q83" s="1">
        <v>1000</v>
      </c>
      <c r="R83" s="1">
        <f t="shared" si="22"/>
        <v>265</v>
      </c>
      <c r="S83" s="15">
        <f t="shared" si="21"/>
        <v>324000</v>
      </c>
      <c r="T83" s="15">
        <f t="shared" si="16"/>
        <v>170000</v>
      </c>
      <c r="U83" s="15">
        <f t="shared" si="17"/>
        <v>108000</v>
      </c>
      <c r="V83" s="15">
        <f t="shared" si="18"/>
        <v>108000</v>
      </c>
      <c r="W83" s="15">
        <f t="shared" si="20"/>
        <v>1105</v>
      </c>
      <c r="X83" s="15">
        <f t="shared" si="19"/>
        <v>835</v>
      </c>
      <c r="Y83" s="15">
        <v>99.4</v>
      </c>
      <c r="Z83" s="15">
        <v>99.99999</v>
      </c>
      <c r="AA83" s="13">
        <v>1.9e+18</v>
      </c>
      <c r="AB83" s="13">
        <v>1.9e+18</v>
      </c>
    </row>
    <row r="84" customHeight="1" spans="3:28">
      <c r="C84" s="1">
        <v>79</v>
      </c>
      <c r="D84" s="1">
        <f t="shared" si="23"/>
        <v>7801</v>
      </c>
      <c r="E84" s="1">
        <f t="shared" si="24"/>
        <v>7900</v>
      </c>
      <c r="F84" s="26" t="s">
        <v>299</v>
      </c>
      <c r="G84" s="14">
        <v>1000</v>
      </c>
      <c r="H84" s="26" t="s">
        <v>239</v>
      </c>
      <c r="I84" s="14">
        <v>0</v>
      </c>
      <c r="J84" s="26" t="s">
        <v>300</v>
      </c>
      <c r="K84" s="14">
        <v>1000</v>
      </c>
      <c r="L84" s="26" t="s">
        <v>301</v>
      </c>
      <c r="M84" s="14">
        <v>1000</v>
      </c>
      <c r="N84" s="26" t="s">
        <v>197</v>
      </c>
      <c r="O84" s="14">
        <v>1000</v>
      </c>
      <c r="P84" s="26" t="s">
        <v>197</v>
      </c>
      <c r="Q84" s="1">
        <v>1000</v>
      </c>
      <c r="R84" s="1">
        <f t="shared" si="22"/>
        <v>270</v>
      </c>
      <c r="S84" s="15">
        <f t="shared" si="21"/>
        <v>334000</v>
      </c>
      <c r="T84" s="15">
        <f t="shared" si="16"/>
        <v>173000</v>
      </c>
      <c r="U84" s="15">
        <f t="shared" si="17"/>
        <v>110000</v>
      </c>
      <c r="V84" s="15">
        <f t="shared" si="18"/>
        <v>110000</v>
      </c>
      <c r="W84" s="15">
        <f t="shared" si="20"/>
        <v>1125</v>
      </c>
      <c r="X84" s="15">
        <f t="shared" si="19"/>
        <v>850</v>
      </c>
      <c r="Y84" s="15">
        <v>99.4</v>
      </c>
      <c r="Z84" s="15">
        <v>99.99999</v>
      </c>
      <c r="AA84" s="13">
        <v>2e+18</v>
      </c>
      <c r="AB84" s="13">
        <v>2e+18</v>
      </c>
    </row>
    <row r="85" customHeight="1" spans="3:28">
      <c r="C85" s="1">
        <v>80</v>
      </c>
      <c r="D85" s="1">
        <f t="shared" si="23"/>
        <v>7901</v>
      </c>
      <c r="E85" s="1">
        <f t="shared" si="24"/>
        <v>8000</v>
      </c>
      <c r="F85" s="26" t="s">
        <v>302</v>
      </c>
      <c r="G85" s="14">
        <v>1000</v>
      </c>
      <c r="H85" s="26" t="s">
        <v>239</v>
      </c>
      <c r="I85" s="14">
        <v>0</v>
      </c>
      <c r="J85" s="26" t="s">
        <v>303</v>
      </c>
      <c r="K85" s="14">
        <v>1000</v>
      </c>
      <c r="L85" s="26" t="s">
        <v>304</v>
      </c>
      <c r="M85" s="14">
        <v>1000</v>
      </c>
      <c r="N85" s="26" t="s">
        <v>202</v>
      </c>
      <c r="O85" s="14">
        <v>1000</v>
      </c>
      <c r="P85" s="26" t="s">
        <v>202</v>
      </c>
      <c r="Q85" s="1">
        <v>1000</v>
      </c>
      <c r="R85" s="1">
        <f t="shared" si="22"/>
        <v>275</v>
      </c>
      <c r="S85" s="15">
        <f t="shared" si="21"/>
        <v>344000</v>
      </c>
      <c r="T85" s="15">
        <f t="shared" si="16"/>
        <v>176000</v>
      </c>
      <c r="U85" s="15">
        <f t="shared" si="17"/>
        <v>112000</v>
      </c>
      <c r="V85" s="15">
        <f t="shared" si="18"/>
        <v>112000</v>
      </c>
      <c r="W85" s="15">
        <f t="shared" si="20"/>
        <v>1145</v>
      </c>
      <c r="X85" s="15">
        <f t="shared" si="19"/>
        <v>865</v>
      </c>
      <c r="Y85" s="15">
        <v>99.4</v>
      </c>
      <c r="Z85" s="15">
        <v>99.99999</v>
      </c>
      <c r="AA85" s="13">
        <v>2.1e+18</v>
      </c>
      <c r="AB85" s="13">
        <v>2.1e+18</v>
      </c>
    </row>
    <row r="86" customHeight="1" spans="3:28">
      <c r="C86" s="1">
        <v>81</v>
      </c>
      <c r="D86" s="1">
        <f t="shared" si="23"/>
        <v>8001</v>
      </c>
      <c r="E86" s="1">
        <f t="shared" si="24"/>
        <v>8100</v>
      </c>
      <c r="F86" s="26" t="s">
        <v>277</v>
      </c>
      <c r="G86" s="14">
        <v>1000</v>
      </c>
      <c r="H86" s="26" t="s">
        <v>239</v>
      </c>
      <c r="I86" s="14">
        <v>0</v>
      </c>
      <c r="J86" s="26" t="s">
        <v>305</v>
      </c>
      <c r="K86" s="14">
        <v>1000</v>
      </c>
      <c r="L86" s="26" t="s">
        <v>306</v>
      </c>
      <c r="M86" s="14">
        <v>1000</v>
      </c>
      <c r="N86" s="26" t="s">
        <v>207</v>
      </c>
      <c r="O86" s="14">
        <v>1000</v>
      </c>
      <c r="P86" s="26" t="s">
        <v>207</v>
      </c>
      <c r="Q86" s="1">
        <v>1000</v>
      </c>
      <c r="R86" s="1">
        <f t="shared" si="22"/>
        <v>280</v>
      </c>
      <c r="S86" s="15">
        <f t="shared" si="21"/>
        <v>354000</v>
      </c>
      <c r="T86" s="15">
        <f t="shared" si="16"/>
        <v>179000</v>
      </c>
      <c r="U86" s="15">
        <f t="shared" si="17"/>
        <v>114000</v>
      </c>
      <c r="V86" s="15">
        <f t="shared" si="18"/>
        <v>114000</v>
      </c>
      <c r="W86" s="15">
        <f t="shared" si="20"/>
        <v>1165</v>
      </c>
      <c r="X86" s="15">
        <f t="shared" si="19"/>
        <v>880</v>
      </c>
      <c r="Y86" s="15">
        <v>99.4</v>
      </c>
      <c r="Z86" s="15">
        <v>99.99999</v>
      </c>
      <c r="AA86" s="13">
        <v>2.2e+18</v>
      </c>
      <c r="AB86" s="13">
        <v>2.2e+18</v>
      </c>
    </row>
    <row r="87" customHeight="1" spans="3:28">
      <c r="C87" s="1">
        <v>82</v>
      </c>
      <c r="D87" s="1">
        <f t="shared" si="23"/>
        <v>8101</v>
      </c>
      <c r="E87" s="1">
        <f t="shared" si="24"/>
        <v>8200</v>
      </c>
      <c r="F87" s="26" t="s">
        <v>307</v>
      </c>
      <c r="G87" s="14">
        <v>1000</v>
      </c>
      <c r="H87" s="26" t="s">
        <v>239</v>
      </c>
      <c r="I87" s="14">
        <v>0</v>
      </c>
      <c r="J87" s="26" t="s">
        <v>308</v>
      </c>
      <c r="K87" s="14">
        <v>1000</v>
      </c>
      <c r="L87" s="26" t="s">
        <v>288</v>
      </c>
      <c r="M87" s="14">
        <v>1000</v>
      </c>
      <c r="N87" s="26" t="s">
        <v>188</v>
      </c>
      <c r="O87" s="14">
        <v>1000</v>
      </c>
      <c r="P87" s="26" t="s">
        <v>188</v>
      </c>
      <c r="Q87" s="1">
        <v>1000</v>
      </c>
      <c r="R87" s="1">
        <f t="shared" si="22"/>
        <v>285</v>
      </c>
      <c r="S87" s="15">
        <f t="shared" si="21"/>
        <v>364000</v>
      </c>
      <c r="T87" s="15">
        <f t="shared" si="16"/>
        <v>182000</v>
      </c>
      <c r="U87" s="15">
        <f t="shared" si="17"/>
        <v>116000</v>
      </c>
      <c r="V87" s="15">
        <f t="shared" si="18"/>
        <v>116000</v>
      </c>
      <c r="W87" s="15">
        <f t="shared" si="20"/>
        <v>1185</v>
      </c>
      <c r="X87" s="15">
        <f t="shared" si="19"/>
        <v>895</v>
      </c>
      <c r="Y87" s="15">
        <v>99.4</v>
      </c>
      <c r="Z87" s="15">
        <v>99.99999</v>
      </c>
      <c r="AA87" s="13">
        <v>2.3e+18</v>
      </c>
      <c r="AB87" s="13">
        <v>2.3e+18</v>
      </c>
    </row>
    <row r="88" customHeight="1" spans="3:28">
      <c r="C88" s="1">
        <v>83</v>
      </c>
      <c r="D88" s="1">
        <f t="shared" si="23"/>
        <v>8201</v>
      </c>
      <c r="E88" s="1">
        <f t="shared" si="24"/>
        <v>8300</v>
      </c>
      <c r="F88" s="26" t="s">
        <v>309</v>
      </c>
      <c r="G88" s="14">
        <v>1000</v>
      </c>
      <c r="H88" s="26" t="s">
        <v>239</v>
      </c>
      <c r="I88" s="14">
        <v>0</v>
      </c>
      <c r="J88" s="26" t="s">
        <v>310</v>
      </c>
      <c r="K88" s="14">
        <v>1000</v>
      </c>
      <c r="L88" s="26" t="s">
        <v>265</v>
      </c>
      <c r="M88" s="14">
        <v>1000</v>
      </c>
      <c r="N88" s="26" t="s">
        <v>216</v>
      </c>
      <c r="O88" s="14">
        <v>1000</v>
      </c>
      <c r="P88" s="26" t="s">
        <v>216</v>
      </c>
      <c r="Q88" s="1">
        <v>1000</v>
      </c>
      <c r="R88" s="1">
        <f t="shared" si="22"/>
        <v>290</v>
      </c>
      <c r="S88" s="15">
        <f t="shared" si="21"/>
        <v>374000</v>
      </c>
      <c r="T88" s="15">
        <f t="shared" si="16"/>
        <v>185000</v>
      </c>
      <c r="U88" s="15">
        <f t="shared" si="17"/>
        <v>118000</v>
      </c>
      <c r="V88" s="15">
        <f t="shared" si="18"/>
        <v>118000</v>
      </c>
      <c r="W88" s="15">
        <f t="shared" si="20"/>
        <v>1205</v>
      </c>
      <c r="X88" s="15">
        <f t="shared" si="19"/>
        <v>910</v>
      </c>
      <c r="Y88" s="15">
        <v>99.4</v>
      </c>
      <c r="Z88" s="15">
        <v>99.99999</v>
      </c>
      <c r="AA88" s="13">
        <v>2.4e+18</v>
      </c>
      <c r="AB88" s="13">
        <v>2.4e+18</v>
      </c>
    </row>
    <row r="89" customHeight="1" spans="3:28">
      <c r="C89" s="1">
        <v>84</v>
      </c>
      <c r="D89" s="1">
        <f t="shared" si="23"/>
        <v>8301</v>
      </c>
      <c r="E89" s="1">
        <f t="shared" si="24"/>
        <v>8400</v>
      </c>
      <c r="F89" s="26" t="s">
        <v>311</v>
      </c>
      <c r="G89" s="14">
        <v>1000</v>
      </c>
      <c r="H89" s="26" t="s">
        <v>239</v>
      </c>
      <c r="I89" s="14">
        <v>0</v>
      </c>
      <c r="J89" s="26" t="s">
        <v>312</v>
      </c>
      <c r="K89" s="14">
        <v>1000</v>
      </c>
      <c r="L89" s="26" t="s">
        <v>313</v>
      </c>
      <c r="M89" s="14">
        <v>1000</v>
      </c>
      <c r="N89" s="26" t="s">
        <v>221</v>
      </c>
      <c r="O89" s="14">
        <v>1000</v>
      </c>
      <c r="P89" s="26" t="s">
        <v>221</v>
      </c>
      <c r="Q89" s="1">
        <v>1000</v>
      </c>
      <c r="R89" s="1">
        <f t="shared" si="22"/>
        <v>295</v>
      </c>
      <c r="S89" s="15">
        <f t="shared" si="21"/>
        <v>384000</v>
      </c>
      <c r="T89" s="15">
        <f t="shared" si="16"/>
        <v>188000</v>
      </c>
      <c r="U89" s="15">
        <f t="shared" si="17"/>
        <v>120000</v>
      </c>
      <c r="V89" s="15">
        <f t="shared" si="18"/>
        <v>120000</v>
      </c>
      <c r="W89" s="15">
        <f t="shared" si="20"/>
        <v>1225</v>
      </c>
      <c r="X89" s="15">
        <f t="shared" si="19"/>
        <v>925</v>
      </c>
      <c r="Y89" s="15">
        <v>99.4</v>
      </c>
      <c r="Z89" s="15">
        <v>99.99999</v>
      </c>
      <c r="AA89" s="13">
        <v>2.5e+18</v>
      </c>
      <c r="AB89" s="13">
        <v>2.5e+18</v>
      </c>
    </row>
    <row r="90" customHeight="1" spans="3:28">
      <c r="C90" s="1">
        <v>85</v>
      </c>
      <c r="D90" s="1">
        <f t="shared" si="23"/>
        <v>8401</v>
      </c>
      <c r="E90" s="1">
        <f t="shared" si="24"/>
        <v>8500</v>
      </c>
      <c r="F90" s="26" t="s">
        <v>311</v>
      </c>
      <c r="G90" s="14">
        <v>1000</v>
      </c>
      <c r="H90" s="26" t="s">
        <v>239</v>
      </c>
      <c r="I90" s="14">
        <v>0</v>
      </c>
      <c r="J90" s="26" t="s">
        <v>314</v>
      </c>
      <c r="K90" s="14">
        <v>1000</v>
      </c>
      <c r="L90" s="26" t="s">
        <v>315</v>
      </c>
      <c r="M90" s="14">
        <v>1000</v>
      </c>
      <c r="N90" s="26" t="s">
        <v>225</v>
      </c>
      <c r="O90" s="14">
        <v>1000</v>
      </c>
      <c r="P90" s="26" t="s">
        <v>225</v>
      </c>
      <c r="Q90" s="1">
        <v>1000</v>
      </c>
      <c r="R90" s="1">
        <f t="shared" si="22"/>
        <v>300</v>
      </c>
      <c r="S90" s="15">
        <f t="shared" si="21"/>
        <v>394000</v>
      </c>
      <c r="T90" s="15">
        <f t="shared" si="16"/>
        <v>191000</v>
      </c>
      <c r="U90" s="15">
        <f t="shared" si="17"/>
        <v>122000</v>
      </c>
      <c r="V90" s="15">
        <f t="shared" si="18"/>
        <v>122000</v>
      </c>
      <c r="W90" s="15">
        <f t="shared" si="20"/>
        <v>1245</v>
      </c>
      <c r="X90" s="15">
        <f t="shared" si="19"/>
        <v>940</v>
      </c>
      <c r="Y90" s="15">
        <v>99.4</v>
      </c>
      <c r="Z90" s="15">
        <v>99.99999</v>
      </c>
      <c r="AA90" s="13">
        <v>2.6e+18</v>
      </c>
      <c r="AB90" s="13">
        <v>2.6e+18</v>
      </c>
    </row>
    <row r="91" customHeight="1" spans="3:28">
      <c r="C91" s="1">
        <v>86</v>
      </c>
      <c r="D91" s="1">
        <f t="shared" si="23"/>
        <v>8501</v>
      </c>
      <c r="E91" s="1">
        <f t="shared" si="24"/>
        <v>8600</v>
      </c>
      <c r="F91" s="26" t="s">
        <v>311</v>
      </c>
      <c r="G91" s="14">
        <v>1000</v>
      </c>
      <c r="H91" s="26" t="s">
        <v>239</v>
      </c>
      <c r="I91" s="14">
        <v>0</v>
      </c>
      <c r="J91" s="26" t="s">
        <v>316</v>
      </c>
      <c r="K91" s="14">
        <v>1000</v>
      </c>
      <c r="L91" s="26" t="s">
        <v>317</v>
      </c>
      <c r="M91" s="14">
        <v>1000</v>
      </c>
      <c r="N91" s="26" t="s">
        <v>229</v>
      </c>
      <c r="O91" s="14">
        <v>1000</v>
      </c>
      <c r="P91" s="26" t="s">
        <v>229</v>
      </c>
      <c r="Q91" s="1">
        <v>1000</v>
      </c>
      <c r="R91" s="1">
        <f t="shared" si="22"/>
        <v>305</v>
      </c>
      <c r="S91" s="15">
        <f t="shared" si="21"/>
        <v>404000</v>
      </c>
      <c r="T91" s="15">
        <f t="shared" si="16"/>
        <v>194000</v>
      </c>
      <c r="U91" s="15">
        <f t="shared" si="17"/>
        <v>124000</v>
      </c>
      <c r="V91" s="15">
        <f t="shared" si="18"/>
        <v>124000</v>
      </c>
      <c r="W91" s="15">
        <f t="shared" si="20"/>
        <v>1265</v>
      </c>
      <c r="X91" s="15">
        <f t="shared" si="19"/>
        <v>955</v>
      </c>
      <c r="Y91" s="15">
        <v>99.4</v>
      </c>
      <c r="Z91" s="15">
        <v>99.99999</v>
      </c>
      <c r="AA91" s="13">
        <v>2.7e+18</v>
      </c>
      <c r="AB91" s="13">
        <v>2.7e+18</v>
      </c>
    </row>
    <row r="92" customHeight="1" spans="3:28">
      <c r="C92" s="1">
        <v>87</v>
      </c>
      <c r="D92" s="1">
        <f t="shared" si="23"/>
        <v>8601</v>
      </c>
      <c r="E92" s="1">
        <f t="shared" si="24"/>
        <v>8700</v>
      </c>
      <c r="F92" s="26" t="s">
        <v>311</v>
      </c>
      <c r="G92" s="14">
        <v>1000</v>
      </c>
      <c r="H92" s="26" t="s">
        <v>239</v>
      </c>
      <c r="I92" s="14">
        <v>0</v>
      </c>
      <c r="J92" s="26" t="s">
        <v>318</v>
      </c>
      <c r="K92" s="14">
        <v>1000</v>
      </c>
      <c r="L92" s="26" t="s">
        <v>302</v>
      </c>
      <c r="M92" s="14">
        <v>1000</v>
      </c>
      <c r="N92" s="26" t="s">
        <v>232</v>
      </c>
      <c r="O92" s="14">
        <v>1000</v>
      </c>
      <c r="P92" s="26" t="s">
        <v>232</v>
      </c>
      <c r="Q92" s="1">
        <v>1000</v>
      </c>
      <c r="R92" s="1">
        <f t="shared" si="22"/>
        <v>310</v>
      </c>
      <c r="S92" s="15">
        <f t="shared" si="21"/>
        <v>414000</v>
      </c>
      <c r="T92" s="15">
        <f t="shared" si="16"/>
        <v>197000</v>
      </c>
      <c r="U92" s="15">
        <f t="shared" si="17"/>
        <v>126000</v>
      </c>
      <c r="V92" s="15">
        <f t="shared" si="18"/>
        <v>126000</v>
      </c>
      <c r="W92" s="15">
        <f t="shared" si="20"/>
        <v>1285</v>
      </c>
      <c r="X92" s="15">
        <f t="shared" si="19"/>
        <v>970</v>
      </c>
      <c r="Y92" s="15">
        <v>99.4</v>
      </c>
      <c r="Z92" s="15">
        <v>99.99999</v>
      </c>
      <c r="AA92" s="13">
        <v>2.8e+18</v>
      </c>
      <c r="AB92" s="13">
        <v>2.8e+18</v>
      </c>
    </row>
    <row r="93" customHeight="1" spans="3:28">
      <c r="C93" s="1">
        <v>88</v>
      </c>
      <c r="D93" s="1">
        <f t="shared" si="23"/>
        <v>8701</v>
      </c>
      <c r="E93" s="1">
        <f t="shared" si="24"/>
        <v>8800</v>
      </c>
      <c r="F93" s="26" t="s">
        <v>311</v>
      </c>
      <c r="G93" s="14">
        <v>1000</v>
      </c>
      <c r="H93" s="26" t="s">
        <v>239</v>
      </c>
      <c r="I93" s="14">
        <v>0</v>
      </c>
      <c r="J93" s="26" t="s">
        <v>319</v>
      </c>
      <c r="K93" s="14">
        <v>1000</v>
      </c>
      <c r="L93" s="26" t="s">
        <v>307</v>
      </c>
      <c r="M93" s="14">
        <v>1000</v>
      </c>
      <c r="N93" s="26" t="s">
        <v>235</v>
      </c>
      <c r="O93" s="14">
        <v>1000</v>
      </c>
      <c r="P93" s="26" t="s">
        <v>235</v>
      </c>
      <c r="Q93" s="1">
        <v>1000</v>
      </c>
      <c r="R93" s="1">
        <f t="shared" si="22"/>
        <v>315</v>
      </c>
      <c r="S93" s="15">
        <f t="shared" si="21"/>
        <v>424000</v>
      </c>
      <c r="T93" s="15">
        <f t="shared" si="16"/>
        <v>200000</v>
      </c>
      <c r="U93" s="15">
        <f t="shared" si="17"/>
        <v>128000</v>
      </c>
      <c r="V93" s="15">
        <f t="shared" si="18"/>
        <v>128000</v>
      </c>
      <c r="W93" s="15">
        <f t="shared" si="20"/>
        <v>1305</v>
      </c>
      <c r="X93" s="15">
        <f t="shared" si="19"/>
        <v>985</v>
      </c>
      <c r="Y93" s="15">
        <v>99.4</v>
      </c>
      <c r="Z93" s="15">
        <v>99.99999</v>
      </c>
      <c r="AA93" s="13">
        <v>2.9e+18</v>
      </c>
      <c r="AB93" s="13">
        <v>2.9e+18</v>
      </c>
    </row>
    <row r="94" customHeight="1" spans="3:28">
      <c r="C94" s="1">
        <v>89</v>
      </c>
      <c r="D94" s="1">
        <f t="shared" si="23"/>
        <v>8801</v>
      </c>
      <c r="E94" s="1">
        <f t="shared" si="24"/>
        <v>8900</v>
      </c>
      <c r="F94" s="26" t="s">
        <v>311</v>
      </c>
      <c r="G94" s="14">
        <v>1000</v>
      </c>
      <c r="H94" s="26" t="s">
        <v>239</v>
      </c>
      <c r="I94" s="14">
        <v>0</v>
      </c>
      <c r="J94" s="26" t="s">
        <v>320</v>
      </c>
      <c r="K94" s="14">
        <v>1000</v>
      </c>
      <c r="L94" s="26" t="s">
        <v>311</v>
      </c>
      <c r="M94" s="14">
        <v>1000</v>
      </c>
      <c r="N94" s="26" t="s">
        <v>239</v>
      </c>
      <c r="O94" s="14">
        <v>1000</v>
      </c>
      <c r="P94" s="26" t="s">
        <v>239</v>
      </c>
      <c r="Q94" s="1">
        <v>1000</v>
      </c>
      <c r="R94" s="1">
        <f t="shared" si="22"/>
        <v>320</v>
      </c>
      <c r="S94" s="15">
        <f t="shared" si="21"/>
        <v>434000</v>
      </c>
      <c r="T94" s="15">
        <f t="shared" si="16"/>
        <v>203000</v>
      </c>
      <c r="U94" s="15">
        <f t="shared" si="17"/>
        <v>130000</v>
      </c>
      <c r="V94" s="15">
        <f t="shared" si="18"/>
        <v>130000</v>
      </c>
      <c r="W94" s="15">
        <f t="shared" si="20"/>
        <v>1325</v>
      </c>
      <c r="X94" s="15">
        <f t="shared" si="19"/>
        <v>1000</v>
      </c>
      <c r="Y94" s="15">
        <v>99.4</v>
      </c>
      <c r="Z94" s="15">
        <v>99.99999</v>
      </c>
      <c r="AA94" s="13">
        <v>3e+18</v>
      </c>
      <c r="AB94" s="13">
        <v>3e+18</v>
      </c>
    </row>
    <row r="95" customHeight="1" spans="3:28">
      <c r="C95" s="1">
        <v>90</v>
      </c>
      <c r="D95" s="1">
        <f t="shared" si="23"/>
        <v>8901</v>
      </c>
      <c r="E95" s="1">
        <f t="shared" si="24"/>
        <v>9000</v>
      </c>
      <c r="F95" s="26" t="s">
        <v>311</v>
      </c>
      <c r="G95" s="14">
        <v>1000</v>
      </c>
      <c r="H95" s="26" t="s">
        <v>239</v>
      </c>
      <c r="I95" s="14">
        <v>0</v>
      </c>
      <c r="J95" s="26" t="s">
        <v>321</v>
      </c>
      <c r="K95" s="14">
        <v>1000</v>
      </c>
      <c r="L95" s="26" t="s">
        <v>322</v>
      </c>
      <c r="M95" s="14">
        <v>1000</v>
      </c>
      <c r="N95" s="26" t="s">
        <v>258</v>
      </c>
      <c r="O95" s="14">
        <v>1000</v>
      </c>
      <c r="P95" s="26" t="s">
        <v>258</v>
      </c>
      <c r="Q95" s="1">
        <v>1000</v>
      </c>
      <c r="R95" s="1">
        <f t="shared" si="22"/>
        <v>325</v>
      </c>
      <c r="S95" s="15">
        <f t="shared" si="21"/>
        <v>444000</v>
      </c>
      <c r="T95" s="15">
        <f t="shared" si="16"/>
        <v>206000</v>
      </c>
      <c r="U95" s="15">
        <f t="shared" si="17"/>
        <v>132000</v>
      </c>
      <c r="V95" s="15">
        <f t="shared" si="18"/>
        <v>132000</v>
      </c>
      <c r="W95" s="15">
        <f t="shared" si="20"/>
        <v>1345</v>
      </c>
      <c r="X95" s="15">
        <f t="shared" si="19"/>
        <v>1015</v>
      </c>
      <c r="Y95" s="15">
        <v>99.4</v>
      </c>
      <c r="Z95" s="15">
        <v>99.99999</v>
      </c>
      <c r="AA95" s="13">
        <v>3.1e+18</v>
      </c>
      <c r="AB95" s="13">
        <v>3.1e+18</v>
      </c>
    </row>
    <row r="96" customHeight="1" spans="3:28">
      <c r="C96" s="1">
        <v>91</v>
      </c>
      <c r="D96" s="1">
        <f t="shared" si="23"/>
        <v>9001</v>
      </c>
      <c r="E96" s="1">
        <f t="shared" si="24"/>
        <v>9100</v>
      </c>
      <c r="F96" s="26" t="s">
        <v>311</v>
      </c>
      <c r="G96" s="14">
        <v>1000</v>
      </c>
      <c r="H96" s="26" t="s">
        <v>239</v>
      </c>
      <c r="I96" s="14">
        <v>0</v>
      </c>
      <c r="J96" s="26" t="s">
        <v>323</v>
      </c>
      <c r="K96" s="14">
        <v>1000</v>
      </c>
      <c r="L96" s="26" t="s">
        <v>324</v>
      </c>
      <c r="M96" s="14">
        <v>1000</v>
      </c>
      <c r="N96" s="26" t="s">
        <v>261</v>
      </c>
      <c r="O96" s="14">
        <v>1000</v>
      </c>
      <c r="P96" s="26" t="s">
        <v>261</v>
      </c>
      <c r="Q96" s="1">
        <v>1000</v>
      </c>
      <c r="R96" s="1">
        <v>330</v>
      </c>
      <c r="S96" s="15">
        <f t="shared" si="21"/>
        <v>454000</v>
      </c>
      <c r="T96" s="15">
        <f t="shared" si="16"/>
        <v>209000</v>
      </c>
      <c r="U96" s="15">
        <f t="shared" si="17"/>
        <v>134000</v>
      </c>
      <c r="V96" s="15">
        <f t="shared" si="18"/>
        <v>134000</v>
      </c>
      <c r="W96" s="15">
        <f t="shared" si="20"/>
        <v>1365</v>
      </c>
      <c r="X96" s="15">
        <f t="shared" si="19"/>
        <v>1030</v>
      </c>
      <c r="Y96" s="15">
        <v>99.4</v>
      </c>
      <c r="Z96" s="15">
        <v>99.99999</v>
      </c>
      <c r="AA96" s="13">
        <v>3.2e+18</v>
      </c>
      <c r="AB96" s="13">
        <v>3.2e+18</v>
      </c>
    </row>
    <row r="97" customHeight="1" spans="3:28">
      <c r="C97" s="1">
        <v>92</v>
      </c>
      <c r="D97" s="1">
        <f t="shared" si="23"/>
        <v>9101</v>
      </c>
      <c r="E97" s="1">
        <f t="shared" si="24"/>
        <v>9200</v>
      </c>
      <c r="F97" s="26" t="s">
        <v>311</v>
      </c>
      <c r="G97" s="14">
        <v>1000</v>
      </c>
      <c r="H97" s="26" t="s">
        <v>239</v>
      </c>
      <c r="I97" s="14">
        <v>0</v>
      </c>
      <c r="J97" s="26" t="s">
        <v>325</v>
      </c>
      <c r="K97" s="14">
        <v>1000</v>
      </c>
      <c r="L97" s="26" t="s">
        <v>326</v>
      </c>
      <c r="M97" s="14">
        <v>1000</v>
      </c>
      <c r="N97" s="26" t="s">
        <v>278</v>
      </c>
      <c r="O97" s="14">
        <v>1000</v>
      </c>
      <c r="P97" s="26" t="s">
        <v>278</v>
      </c>
      <c r="Q97" s="1">
        <v>1000</v>
      </c>
      <c r="R97" s="1">
        <v>330</v>
      </c>
      <c r="S97" s="15">
        <f t="shared" si="21"/>
        <v>464000</v>
      </c>
      <c r="T97" s="15">
        <f t="shared" si="16"/>
        <v>212000</v>
      </c>
      <c r="U97" s="15">
        <f t="shared" si="17"/>
        <v>136000</v>
      </c>
      <c r="V97" s="15">
        <f t="shared" si="18"/>
        <v>136000</v>
      </c>
      <c r="W97" s="15">
        <f t="shared" si="20"/>
        <v>1385</v>
      </c>
      <c r="X97" s="15">
        <f t="shared" si="19"/>
        <v>1045</v>
      </c>
      <c r="Y97" s="15">
        <v>99.4</v>
      </c>
      <c r="Z97" s="15">
        <v>99.99999</v>
      </c>
      <c r="AA97" s="13">
        <v>3.3e+18</v>
      </c>
      <c r="AB97" s="13">
        <v>3.3e+18</v>
      </c>
    </row>
    <row r="98" customHeight="1" spans="3:28">
      <c r="C98" s="1">
        <v>93</v>
      </c>
      <c r="D98" s="1">
        <f t="shared" si="23"/>
        <v>9201</v>
      </c>
      <c r="E98" s="1">
        <f t="shared" si="24"/>
        <v>9300</v>
      </c>
      <c r="F98" s="26" t="s">
        <v>311</v>
      </c>
      <c r="G98" s="14">
        <v>1000</v>
      </c>
      <c r="H98" s="26" t="s">
        <v>239</v>
      </c>
      <c r="I98" s="14">
        <v>0</v>
      </c>
      <c r="J98" s="26" t="s">
        <v>327</v>
      </c>
      <c r="K98" s="14">
        <v>1000</v>
      </c>
      <c r="L98" s="26" t="s">
        <v>328</v>
      </c>
      <c r="M98" s="14">
        <v>1000</v>
      </c>
      <c r="N98" s="26" t="s">
        <v>282</v>
      </c>
      <c r="O98" s="14">
        <v>1000</v>
      </c>
      <c r="P98" s="26" t="s">
        <v>282</v>
      </c>
      <c r="Q98" s="1">
        <v>1000</v>
      </c>
      <c r="R98" s="1">
        <v>330</v>
      </c>
      <c r="S98" s="15">
        <f t="shared" si="21"/>
        <v>474000</v>
      </c>
      <c r="T98" s="15">
        <f t="shared" si="16"/>
        <v>215000</v>
      </c>
      <c r="U98" s="15">
        <f t="shared" si="17"/>
        <v>138000</v>
      </c>
      <c r="V98" s="15">
        <f t="shared" si="18"/>
        <v>138000</v>
      </c>
      <c r="W98" s="15">
        <f t="shared" si="20"/>
        <v>1405</v>
      </c>
      <c r="X98" s="15">
        <f t="shared" si="19"/>
        <v>1060</v>
      </c>
      <c r="Y98" s="15">
        <v>99.4</v>
      </c>
      <c r="Z98" s="15">
        <v>99.99999</v>
      </c>
      <c r="AA98" s="13">
        <v>3.4e+18</v>
      </c>
      <c r="AB98" s="13">
        <v>3.4e+18</v>
      </c>
    </row>
    <row r="99" customHeight="1" spans="3:28">
      <c r="C99" s="1">
        <v>94</v>
      </c>
      <c r="D99" s="1">
        <f t="shared" si="23"/>
        <v>9301</v>
      </c>
      <c r="E99" s="1">
        <f t="shared" si="24"/>
        <v>9400</v>
      </c>
      <c r="F99" s="26" t="s">
        <v>311</v>
      </c>
      <c r="G99" s="14">
        <v>1000</v>
      </c>
      <c r="H99" s="26" t="s">
        <v>239</v>
      </c>
      <c r="I99" s="14">
        <v>0</v>
      </c>
      <c r="J99" s="26" t="s">
        <v>329</v>
      </c>
      <c r="K99" s="14">
        <v>1000</v>
      </c>
      <c r="L99" s="26" t="s">
        <v>330</v>
      </c>
      <c r="M99" s="14">
        <v>1000</v>
      </c>
      <c r="N99" s="26" t="s">
        <v>285</v>
      </c>
      <c r="O99" s="14">
        <v>1000</v>
      </c>
      <c r="P99" s="26" t="s">
        <v>285</v>
      </c>
      <c r="Q99" s="1">
        <v>1000</v>
      </c>
      <c r="R99" s="1">
        <v>330</v>
      </c>
      <c r="S99" s="15">
        <f t="shared" si="21"/>
        <v>484000</v>
      </c>
      <c r="T99" s="15">
        <f t="shared" si="16"/>
        <v>218000</v>
      </c>
      <c r="U99" s="15">
        <f t="shared" si="17"/>
        <v>140000</v>
      </c>
      <c r="V99" s="15">
        <f t="shared" si="18"/>
        <v>140000</v>
      </c>
      <c r="W99" s="15">
        <f t="shared" si="20"/>
        <v>1425</v>
      </c>
      <c r="X99" s="15">
        <f t="shared" si="19"/>
        <v>1075</v>
      </c>
      <c r="Y99" s="15">
        <v>99.4</v>
      </c>
      <c r="Z99" s="15">
        <v>99.99999</v>
      </c>
      <c r="AA99" s="13">
        <v>3.5e+18</v>
      </c>
      <c r="AB99" s="13">
        <v>3.5e+18</v>
      </c>
    </row>
    <row r="100" customHeight="1" spans="3:28">
      <c r="C100" s="1">
        <v>95</v>
      </c>
      <c r="D100" s="1">
        <f t="shared" si="23"/>
        <v>9401</v>
      </c>
      <c r="E100" s="1">
        <f t="shared" si="24"/>
        <v>9500</v>
      </c>
      <c r="F100" s="26" t="s">
        <v>311</v>
      </c>
      <c r="G100" s="14">
        <v>1000</v>
      </c>
      <c r="H100" s="26" t="s">
        <v>239</v>
      </c>
      <c r="I100" s="14">
        <v>0</v>
      </c>
      <c r="J100" s="26" t="s">
        <v>331</v>
      </c>
      <c r="K100" s="14">
        <v>1000</v>
      </c>
      <c r="L100" s="26" t="s">
        <v>332</v>
      </c>
      <c r="M100" s="14">
        <v>1000</v>
      </c>
      <c r="N100" s="26" t="s">
        <v>287</v>
      </c>
      <c r="O100" s="14">
        <v>1000</v>
      </c>
      <c r="P100" s="26" t="s">
        <v>287</v>
      </c>
      <c r="Q100" s="1">
        <v>1000</v>
      </c>
      <c r="R100" s="1">
        <v>330</v>
      </c>
      <c r="S100" s="15">
        <f t="shared" si="21"/>
        <v>494000</v>
      </c>
      <c r="T100" s="15">
        <f t="shared" si="16"/>
        <v>221000</v>
      </c>
      <c r="U100" s="15">
        <f>U99+2000</f>
        <v>142000</v>
      </c>
      <c r="V100" s="15">
        <f>V99+2000</f>
        <v>142000</v>
      </c>
      <c r="W100" s="15">
        <f t="shared" si="20"/>
        <v>1445</v>
      </c>
      <c r="X100" s="15">
        <f>X99+15</f>
        <v>1090</v>
      </c>
      <c r="Y100" s="15">
        <v>99.4</v>
      </c>
      <c r="Z100" s="15">
        <v>99.99999</v>
      </c>
      <c r="AA100" s="13">
        <v>3.6e+18</v>
      </c>
      <c r="AB100" s="13">
        <v>3.6e+18</v>
      </c>
    </row>
    <row r="101" customHeight="1" spans="3:28">
      <c r="P101" s="1"/>
      <c r="Q101" s="1"/>
      <c r="R101" s="1"/>
    </row>
    <row r="102" customHeight="1" spans="3:28">
      <c r="P102" s="1"/>
      <c r="Q102" s="1"/>
      <c r="R102" s="1"/>
    </row>
    <row r="103" customHeight="1" spans="3:28">
      <c r="P103" s="1"/>
      <c r="Q103" s="1"/>
      <c r="R103" s="1"/>
    </row>
    <row r="104" customHeight="1" spans="3:28">
      <c r="P104" s="1"/>
      <c r="Q104" s="1"/>
      <c r="R104" s="1"/>
    </row>
    <row r="105" customHeight="1" spans="3:28">
      <c r="P105" s="1"/>
      <c r="Q105" s="1"/>
      <c r="R105" s="1"/>
    </row>
    <row r="106" customHeight="1" spans="3:28">
      <c r="P106" s="1"/>
      <c r="Q106" s="1"/>
      <c r="R106" s="1"/>
    </row>
    <row r="107" customHeight="1" spans="3:28">
      <c r="P107" s="1"/>
      <c r="Q107" s="1"/>
      <c r="R107" s="1"/>
    </row>
    <row r="108" customHeight="1" spans="3:28">
      <c r="P108" s="1"/>
      <c r="Q108" s="1"/>
      <c r="R108" s="1"/>
    </row>
    <row r="109" customHeight="1" spans="3:28">
      <c r="P109" s="1"/>
      <c r="Q109" s="1"/>
      <c r="R109" s="1"/>
    </row>
    <row r="110" customHeight="1" spans="3:28">
      <c r="P110" s="1"/>
      <c r="Q110" s="1"/>
      <c r="R110" s="1"/>
    </row>
    <row r="111" customHeight="1" spans="3:28">
      <c r="P111" s="1"/>
      <c r="Q111" s="1"/>
      <c r="R111" s="1"/>
    </row>
    <row r="112" customHeight="1" spans="3:28">
      <c r="P112" s="1"/>
      <c r="Q112" s="1"/>
      <c r="R112" s="1"/>
    </row>
    <row r="113" customHeight="1" spans="16:18">
      <c r="P113" s="1"/>
      <c r="Q113" s="1"/>
      <c r="R113" s="1"/>
    </row>
    <row r="114" customHeight="1" spans="16:18">
      <c r="P114" s="1"/>
      <c r="Q114" s="1"/>
      <c r="R114" s="1"/>
    </row>
    <row r="115" customHeight="1" spans="16:18">
      <c r="P115" s="1"/>
      <c r="Q115" s="1"/>
      <c r="R115" s="1"/>
    </row>
    <row r="116" customHeight="1" spans="16:18">
      <c r="P116" s="1"/>
      <c r="Q116" s="1"/>
      <c r="R116" s="1"/>
    </row>
    <row r="117" customHeight="1" spans="16:18">
      <c r="P117" s="1"/>
      <c r="Q117" s="1"/>
      <c r="R117" s="1"/>
    </row>
    <row r="118" customHeight="1" spans="16:18">
      <c r="P118" s="1"/>
      <c r="Q118" s="1"/>
      <c r="R118" s="1"/>
    </row>
    <row r="119" customHeight="1" spans="16:18">
      <c r="P119" s="1"/>
      <c r="Q119" s="1"/>
      <c r="R119" s="1"/>
    </row>
    <row r="120" customHeight="1" spans="16:18">
      <c r="P120" s="1"/>
      <c r="Q120" s="1"/>
      <c r="R120" s="1"/>
    </row>
    <row r="121" customHeight="1" spans="16:18">
      <c r="P121" s="1"/>
      <c r="Q121" s="1"/>
      <c r="R121" s="1"/>
    </row>
    <row r="122" customHeight="1" spans="16:18">
      <c r="P122" s="1"/>
      <c r="Q122" s="1"/>
      <c r="R122" s="1"/>
    </row>
    <row r="123" customHeight="1" spans="16:18">
      <c r="P123" s="1"/>
      <c r="Q123" s="1"/>
      <c r="R123" s="1"/>
    </row>
    <row r="124" customHeight="1" spans="16:18">
      <c r="P124" s="1"/>
      <c r="Q124" s="1"/>
      <c r="R124" s="1"/>
    </row>
    <row r="125" customHeight="1" spans="16:18">
      <c r="P125" s="1"/>
      <c r="Q125" s="1"/>
      <c r="R125" s="1"/>
    </row>
    <row r="126" customHeight="1" spans="16:18">
      <c r="P126" s="1"/>
      <c r="Q126" s="1"/>
      <c r="R126" s="1"/>
    </row>
    <row r="127" customHeight="1" spans="16:18">
      <c r="P127" s="1"/>
      <c r="Q127" s="1"/>
      <c r="R127" s="1"/>
    </row>
    <row r="128" customHeight="1" spans="16:18">
      <c r="P128" s="1"/>
      <c r="Q128" s="1"/>
      <c r="R128" s="1"/>
    </row>
    <row r="129" customHeight="1" spans="16:18">
      <c r="P129" s="1"/>
      <c r="Q129" s="1"/>
      <c r="R129" s="1"/>
    </row>
    <row r="130" customHeight="1" spans="16:18">
      <c r="P130" s="1"/>
      <c r="Q130" s="1"/>
      <c r="R130" s="1"/>
    </row>
    <row r="131" customHeight="1" spans="16:18">
      <c r="P131" s="1"/>
      <c r="Q131" s="1"/>
      <c r="R131" s="1"/>
    </row>
    <row r="132" customHeight="1" spans="16:18">
      <c r="P132" s="1"/>
      <c r="Q132" s="1"/>
      <c r="R132" s="1"/>
    </row>
    <row r="133" customHeight="1" spans="16:18">
      <c r="P133" s="1"/>
      <c r="Q133" s="1"/>
      <c r="R133" s="1"/>
    </row>
    <row r="134" customHeight="1" spans="16:18">
      <c r="P134" s="1"/>
      <c r="Q134" s="1"/>
      <c r="R134" s="1"/>
    </row>
    <row r="135" customHeight="1" spans="16:18">
      <c r="P135" s="1"/>
      <c r="Q135" s="1"/>
      <c r="R135" s="1"/>
    </row>
    <row r="136" customHeight="1" spans="16:18">
      <c r="P136" s="1"/>
      <c r="Q136" s="1"/>
      <c r="R136" s="1"/>
    </row>
    <row r="137" customHeight="1" spans="16:18">
      <c r="P137" s="1"/>
      <c r="Q137" s="1"/>
      <c r="R137" s="1"/>
    </row>
    <row r="138" customHeight="1" spans="16:18">
      <c r="P138" s="1"/>
      <c r="Q138" s="1"/>
      <c r="R138" s="1"/>
    </row>
    <row r="139" customHeight="1" spans="16:18">
      <c r="P139" s="1"/>
      <c r="Q139" s="1"/>
      <c r="R139" s="1"/>
    </row>
    <row r="140" customHeight="1" spans="16:18">
      <c r="P140" s="1"/>
      <c r="Q140" s="1"/>
      <c r="R140" s="1"/>
    </row>
    <row r="141" customHeight="1" spans="16:18">
      <c r="P141" s="1"/>
      <c r="Q141" s="1"/>
      <c r="R141" s="1"/>
    </row>
    <row r="142" customHeight="1" spans="16:18">
      <c r="P142" s="1"/>
      <c r="Q142" s="1"/>
      <c r="R142" s="1"/>
    </row>
    <row r="143" customHeight="1" spans="16:18">
      <c r="P143" s="1"/>
      <c r="Q143" s="1"/>
      <c r="R143" s="1"/>
    </row>
    <row r="144" customHeight="1" spans="16:18">
      <c r="P144" s="1"/>
      <c r="Q144" s="1"/>
      <c r="R144" s="1"/>
    </row>
    <row r="145" customHeight="1" spans="16:18">
      <c r="P145" s="1"/>
      <c r="Q145" s="1"/>
      <c r="R145" s="1"/>
    </row>
    <row r="146" customHeight="1" spans="16:18">
      <c r="P146" s="1"/>
      <c r="Q146" s="1"/>
      <c r="R146" s="1"/>
    </row>
    <row r="147" customHeight="1" spans="16:18">
      <c r="P147" s="1"/>
      <c r="Q147" s="1"/>
      <c r="R147" s="1"/>
    </row>
    <row r="148" customHeight="1" spans="16:18">
      <c r="P148" s="1"/>
      <c r="Q148" s="1"/>
      <c r="R148" s="1"/>
    </row>
    <row r="149" customHeight="1" spans="16:18">
      <c r="P149" s="1"/>
      <c r="Q149" s="1"/>
      <c r="R149" s="1"/>
    </row>
    <row r="150" customHeight="1" spans="16:18">
      <c r="P150" s="1"/>
      <c r="Q150" s="1"/>
      <c r="R150" s="1"/>
    </row>
    <row r="151" customHeight="1" spans="16:18">
      <c r="P151" s="1"/>
      <c r="Q151" s="1"/>
      <c r="R151" s="1"/>
    </row>
    <row r="152" customHeight="1" spans="16:18">
      <c r="P152" s="1"/>
      <c r="Q152" s="1"/>
      <c r="R152" s="1"/>
    </row>
    <row r="153" customHeight="1" spans="16:18">
      <c r="P153" s="1"/>
      <c r="Q153" s="1"/>
      <c r="R153" s="1"/>
    </row>
    <row r="154" customHeight="1" spans="16:18">
      <c r="P154" s="1"/>
      <c r="Q154" s="1"/>
      <c r="R154" s="1"/>
    </row>
    <row r="155" customHeight="1" spans="16:18">
      <c r="P155" s="1"/>
      <c r="Q155" s="1"/>
      <c r="R155" s="1"/>
    </row>
    <row r="156" customHeight="1" spans="16:18">
      <c r="P156" s="1"/>
      <c r="Q156" s="1"/>
      <c r="R156" s="1"/>
    </row>
    <row r="157" customHeight="1" spans="16:18">
      <c r="P157" s="1"/>
      <c r="Q157" s="1"/>
      <c r="R157" s="1"/>
    </row>
    <row r="158" customHeight="1" spans="16:18">
      <c r="P158" s="1"/>
      <c r="Q158" s="1"/>
      <c r="R158" s="1"/>
    </row>
    <row r="159" customHeight="1" spans="16:18">
      <c r="P159" s="1"/>
      <c r="Q159" s="1"/>
      <c r="R159" s="1"/>
    </row>
    <row r="160" customHeight="1" spans="16:18">
      <c r="P160" s="1"/>
      <c r="Q160" s="1"/>
      <c r="R160" s="1"/>
    </row>
    <row r="161" customHeight="1" spans="16:18">
      <c r="P161" s="1"/>
      <c r="Q161" s="1"/>
      <c r="R161" s="1"/>
    </row>
    <row r="162" customHeight="1" spans="16:18">
      <c r="P162" s="1"/>
      <c r="Q162" s="1"/>
      <c r="R162" s="1"/>
    </row>
    <row r="163" customHeight="1" spans="16:18">
      <c r="P163" s="1"/>
      <c r="Q163" s="1"/>
      <c r="R163" s="1"/>
    </row>
    <row r="164" customHeight="1" spans="16:18">
      <c r="P164" s="1"/>
      <c r="Q164" s="1"/>
      <c r="R164" s="1"/>
    </row>
    <row r="165" customHeight="1" spans="16:18">
      <c r="P165" s="1"/>
      <c r="Q165" s="1"/>
      <c r="R165" s="1"/>
    </row>
    <row r="166" customHeight="1" spans="16:18">
      <c r="P166" s="1"/>
      <c r="Q166" s="1"/>
      <c r="R166" s="1"/>
    </row>
    <row r="167" customHeight="1" spans="16:18">
      <c r="P167" s="1"/>
      <c r="Q167" s="1"/>
      <c r="R167" s="1"/>
    </row>
    <row r="168" customHeight="1" spans="16:18">
      <c r="P168" s="1"/>
      <c r="Q168" s="1"/>
      <c r="R168" s="1"/>
    </row>
    <row r="169" customHeight="1" spans="16:18">
      <c r="P169" s="1"/>
      <c r="Q169" s="1"/>
      <c r="R169" s="1"/>
    </row>
    <row r="170" customHeight="1" spans="16:18">
      <c r="P170" s="1"/>
      <c r="Q170" s="1"/>
      <c r="R170" s="1"/>
    </row>
    <row r="171" customHeight="1" spans="16:18">
      <c r="P171" s="1"/>
      <c r="Q171" s="1"/>
      <c r="R171" s="1"/>
    </row>
    <row r="172" customHeight="1" spans="16:18">
      <c r="P172" s="1"/>
      <c r="Q172" s="1"/>
      <c r="R172" s="1"/>
    </row>
    <row r="173" customHeight="1" spans="16:18">
      <c r="P173" s="1"/>
      <c r="Q173" s="1"/>
      <c r="R173" s="1"/>
    </row>
    <row r="174" customHeight="1" spans="16:18">
      <c r="P174" s="1"/>
      <c r="Q174" s="1"/>
      <c r="R174" s="1"/>
    </row>
    <row r="175" customHeight="1" spans="16:18">
      <c r="P175" s="1"/>
      <c r="Q175" s="1"/>
      <c r="R175" s="1"/>
    </row>
    <row r="176" customHeight="1" spans="16:18">
      <c r="P176" s="1"/>
      <c r="Q176" s="1"/>
      <c r="R176" s="1"/>
    </row>
    <row r="177" customHeight="1" spans="16:18">
      <c r="P177" s="1"/>
      <c r="Q177" s="1"/>
      <c r="R177" s="1"/>
    </row>
    <row r="178" customHeight="1" spans="16:18">
      <c r="P178" s="1"/>
      <c r="Q178" s="1"/>
      <c r="R178" s="1"/>
    </row>
    <row r="179" customHeight="1" spans="16:18">
      <c r="P179" s="1"/>
      <c r="Q179" s="1"/>
      <c r="R179" s="1"/>
    </row>
    <row r="180" customHeight="1" spans="16:18">
      <c r="P180" s="1"/>
      <c r="Q180" s="1"/>
      <c r="R180" s="1"/>
    </row>
    <row r="181" customHeight="1" spans="16:18">
      <c r="P181" s="31" t="s">
        <v>333</v>
      </c>
      <c r="Q181" s="19"/>
      <c r="R181" s="19"/>
    </row>
    <row r="182" customHeight="1" spans="16:18">
      <c r="P182" s="32" t="s">
        <v>334</v>
      </c>
      <c r="Q182" s="12"/>
      <c r="R182" s="12"/>
    </row>
    <row r="183" customHeight="1" spans="16:18">
      <c r="P183" s="32" t="s">
        <v>335</v>
      </c>
      <c r="Q183" s="12"/>
      <c r="R183" s="12"/>
    </row>
    <row r="184" customHeight="1" spans="16:18">
      <c r="P184" s="32" t="s">
        <v>214</v>
      </c>
      <c r="Q184" s="12"/>
      <c r="R184" s="12"/>
    </row>
    <row r="185" customHeight="1" spans="16:18">
      <c r="P185" s="32" t="s">
        <v>220</v>
      </c>
      <c r="Q185" s="12"/>
      <c r="R185" s="12"/>
    </row>
    <row r="186" customHeight="1" spans="16:18">
      <c r="P186" s="25"/>
      <c r="Q186" s="25"/>
      <c r="R186" s="25"/>
    </row>
    <row r="187" customHeight="1" spans="16:18">
      <c r="P187" s="25"/>
      <c r="Q187" s="25"/>
      <c r="R187" s="25"/>
    </row>
    <row r="188" customHeight="1" spans="16:18">
      <c r="P188" s="25"/>
      <c r="Q188" s="25"/>
      <c r="R188" s="25"/>
    </row>
    <row r="189" customHeight="1" spans="16:18">
      <c r="P189" s="25"/>
      <c r="Q189" s="25"/>
      <c r="R189" s="25"/>
    </row>
    <row r="190" customHeight="1" spans="16:18">
      <c r="P190" s="25"/>
      <c r="Q190" s="25"/>
      <c r="R190" s="25"/>
    </row>
    <row r="191" customHeight="1" spans="16:18">
      <c r="P191" s="25"/>
      <c r="Q191" s="25"/>
      <c r="R191" s="25"/>
    </row>
    <row r="192" customHeight="1" spans="16:18">
      <c r="P192" s="25"/>
      <c r="Q192" s="25"/>
      <c r="R192" s="25"/>
    </row>
    <row r="193" customHeight="1" spans="16:18">
      <c r="P193" s="25"/>
      <c r="Q193" s="25"/>
      <c r="R193" s="25"/>
    </row>
    <row r="194" customHeight="1" spans="16:18">
      <c r="P194" s="25"/>
      <c r="Q194" s="25"/>
      <c r="R194" s="25"/>
    </row>
    <row r="195" customHeight="1" spans="16:18">
      <c r="P195" s="25"/>
      <c r="Q195" s="25"/>
      <c r="R195" s="25"/>
    </row>
    <row r="196" customHeight="1" spans="16:18">
      <c r="P196" s="25"/>
      <c r="Q196" s="25"/>
      <c r="R196" s="25"/>
    </row>
    <row r="197" customHeight="1" spans="16:18">
      <c r="P197" s="25"/>
      <c r="Q197" s="25"/>
      <c r="R197" s="25"/>
    </row>
    <row r="198" customHeight="1" spans="16:18">
      <c r="P198" s="25"/>
      <c r="Q198" s="25"/>
      <c r="R198" s="25"/>
    </row>
    <row r="199" customHeight="1" spans="16:18">
      <c r="P199" s="25"/>
      <c r="Q199" s="25"/>
      <c r="R199" s="25"/>
    </row>
    <row r="200" customHeight="1" spans="16:18">
      <c r="P200" s="25"/>
      <c r="Q200" s="25"/>
      <c r="R200" s="25"/>
    </row>
    <row r="201" customHeight="1" spans="16:18">
      <c r="P201" s="25"/>
      <c r="Q201" s="25"/>
      <c r="R201" s="25"/>
    </row>
    <row r="202" customHeight="1" spans="16:18">
      <c r="P202" s="25"/>
      <c r="Q202" s="25"/>
      <c r="R202" s="25"/>
    </row>
    <row r="203" customHeight="1" spans="16:18">
      <c r="P203" s="25"/>
      <c r="Q203" s="25"/>
      <c r="R203" s="25"/>
    </row>
    <row r="204" customHeight="1" spans="16:18">
      <c r="P204" s="25"/>
      <c r="Q204" s="25"/>
      <c r="R204" s="25"/>
    </row>
    <row r="205" customHeight="1" spans="16:18">
      <c r="P205" s="25"/>
      <c r="Q205" s="25"/>
      <c r="R205" s="25"/>
    </row>
    <row r="206" customHeight="1" spans="16:18">
      <c r="P206" s="25"/>
      <c r="Q206" s="25"/>
      <c r="R206" s="25"/>
    </row>
    <row r="207" customHeight="1" spans="16:18">
      <c r="P207" s="25"/>
      <c r="Q207" s="25"/>
      <c r="R207" s="25"/>
    </row>
    <row r="208" customHeight="1" spans="16:18">
      <c r="P208" s="25"/>
      <c r="Q208" s="25"/>
      <c r="R208" s="25"/>
    </row>
    <row r="209" customHeight="1" spans="16:18">
      <c r="P209" s="25"/>
      <c r="Q209" s="25"/>
      <c r="R209" s="25"/>
    </row>
    <row r="210" customHeight="1" spans="16:18">
      <c r="P210" s="25"/>
      <c r="Q210" s="25"/>
      <c r="R210" s="25"/>
    </row>
    <row r="211" customHeight="1" spans="16:18">
      <c r="P211" s="25"/>
      <c r="Q211" s="25"/>
      <c r="R211" s="25"/>
    </row>
    <row r="212" customHeight="1" spans="16:18">
      <c r="P212" s="25"/>
      <c r="Q212" s="25"/>
      <c r="R212" s="25"/>
    </row>
    <row r="213" customHeight="1" spans="16:18">
      <c r="P213" s="25"/>
      <c r="Q213" s="25"/>
      <c r="R213" s="25"/>
    </row>
    <row r="214" customHeight="1" spans="16:18">
      <c r="P214" s="25"/>
      <c r="Q214" s="25"/>
      <c r="R214" s="25"/>
    </row>
    <row r="215" customHeight="1" spans="16:18">
      <c r="P215" s="25"/>
      <c r="Q215" s="25"/>
      <c r="R215" s="25"/>
    </row>
  </sheetData>
  <dataValidations count="1">
    <dataValidation type="custom" allowBlank="1" showErrorMessage="1" errorTitle="拒绝重复输入" error="当前输入的内容，与本区域的其他单元格内容重复。" sqref="C3:Z5" errorStyle="warning">
      <formula1>COUNTIF($A:$A,C3)&lt;2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生成配置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我看见羊</cp:lastModifiedBy>
  <dcterms:created xsi:type="dcterms:W3CDTF">2015-06-05T18:19:00Z</dcterms:created>
  <dcterms:modified xsi:type="dcterms:W3CDTF">2026-09-30T03:26:49Z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2052-12.1.0.29161</vt:lpwstr>
  </property>
  <property fmtid="{D5CDD505-2E9C-101B-9397-08002B2CF9AE}" pid="3" name="ICV">
    <vt:lpwstr>66F39FE80FFA40759E47775459CB980C_13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
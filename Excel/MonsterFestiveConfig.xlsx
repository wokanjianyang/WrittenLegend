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<sst xmlns="http://schemas.openxmlformats.org/spreadsheetml/2006/main" count="127" uniqueCount="65">
  <si>
    <t>#</t>
  </si>
  <si>
    <t>ID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</si>
  <si>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</si>
  <si>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</si>
  <si>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</si>
  <si>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</si>
  <si>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</si>
  <si>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</si>
  <si>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</si>
  <si>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</si>
  <si>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</si>
  <si>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</si>
  <si>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</si>
  <si>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</si>
  <si>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</si>
  <si>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节日小鸡</t>
  </si>
  <si>
    <t>1000</t>
  </si>
  <si>
    <t>节日小鹿</t>
  </si>
  <si>
    <t>10000</t>
  </si>
  <si>
    <t>节日小花</t>
  </si>
  <si>
    <t>20000</t>
  </si>
  <si>
    <t>节日骷髅</t>
  </si>
  <si>
    <t>30000</t>
  </si>
  <si>
    <t>节日毒蛇</t>
  </si>
  <si>
    <t>40000</t>
  </si>
  <si>
    <t>节日僵尸</t>
  </si>
  <si>
    <t>50000</t>
  </si>
  <si>
    <t>节日恶魔</t>
  </si>
  <si>
    <t>70000</t>
  </si>
  <si>
    <t>节日蜈蚣</t>
  </si>
  <si>
    <t>90000</t>
  </si>
  <si>
    <t>节日野猪</t>
  </si>
  <si>
    <t>130000</t>
  </si>
  <si>
    <t>节日邪魔</t>
  </si>
  <si>
    <t>170000</t>
  </si>
  <si>
    <t>节日红蛛</t>
  </si>
  <si>
    <t>230000</t>
  </si>
  <si>
    <t>节日魔龙</t>
  </si>
  <si>
    <t>300000</t>
  </si>
  <si>
    <t>节日雷龙</t>
  </si>
  <si>
    <t>400000</t>
  </si>
  <si>
    <t>节日冰龙</t>
  </si>
  <si>
    <t>600000</t>
  </si>
  <si>
    <t>节日月狐</t>
  </si>
  <si>
    <t>800000</t>
  </si>
  <si>
    <t>节日巨魔</t>
  </si>
  <si>
    <t>1000000</t>
  </si>
  <si>
    <t>卧龙小兵</t>
  </si>
  <si>
    <t>1200000</t>
  </si>
  <si>
    <t>节日蝙蝠</t>
  </si>
  <si>
    <t>1400000</t>
  </si>
  <si>
    <t>节日骨魔</t>
  </si>
  <si>
    <t>1600000</t>
  </si>
  <si>
    <t>节日金龙</t>
  </si>
  <si>
    <t>1800000</t>
  </si>
  <si>
    <t>3600000</t>
  </si>
  <si>
    <t>7200000</t>
  </si>
  <si>
    <t>15000000</t>
  </si>
  <si>
    <t>30000000</t>
  </si>
  <si>
    <t>60000000</t>
  </si>
  <si>
    <t>120000000</t>
  </si>
  <si>
    <t>240000000</t>
  </si>
  <si>
    <t>480000000</t>
  </si>
  <si>
    <t>1000000000</t>
  </si>
  <si>
    <t>2000000000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</si>
</sst>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76" fontId="2" fillId="4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workbookViewId="0">
      <pane ySplit="5" topLeftCell="A6" activePane="bottomLeft" state="frozen"/>
      <selection/>
      <selection pane="bottomLeft" activeCell="H39" sqref="H39"/>
    </sheetView>
  </sheetViews>
  <sheetFormatPr defaultColWidth="9" defaultRowHeight="14" customHeight="1"/>
  <cols>
    <col min="1" max="1" width="6.875" style="4" customWidth="1"/>
    <col min="2" max="2" width="8" style="4" customWidth="1"/>
    <col min="3" max="3" width="9.875" style="5" customWidth="1"/>
    <col min="4" max="4" width="16.25" style="1" customWidth="1"/>
    <col min="5" max="5" width="11.625" style="6" customWidth="1"/>
    <col min="6" max="6" width="17" style="6" customWidth="1"/>
    <col min="7" max="8" width="19.25" style="6" customWidth="1"/>
    <col min="9" max="9" width="11.5" style="4" customWidth="1"/>
    <col min="10" max="10" width="9.875" style="4" customWidth="1"/>
    <col min="11" max="11" width="10.375" style="4" customWidth="1"/>
    <col min="12" max="12" width="12" style="4" customWidth="1"/>
    <col min="13" max="13" width="9.375" style="4" customWidth="1"/>
    <col min="14" max="16384" width="9" style="4"/>
  </cols>
  <sheetData>
    <row r="1" s="1" customFormat="1" customHeight="1" spans="1:17">
      <c r="A1" s="4"/>
      <c r="B1" s="4"/>
      <c r="C1" s="5"/>
      <c r="E1" s="7"/>
      <c r="F1" s="7"/>
      <c r="G1" s="7"/>
      <c r="H1" s="7"/>
      <c r="I1" s="4"/>
      <c r="J1" s="4"/>
      <c r="K1" s="4"/>
      <c r="L1" s="4"/>
      <c r="M1" s="4"/>
      <c r="P1" s="1" t="s">
        <v>0</v>
      </c>
      <c r="Q1" s="1" t="s">
        <v>0</v>
      </c>
    </row>
    <row r="2" s="1" customFormat="1" customHeight="1" spans="1:17">
      <c r="A2" s="4"/>
      <c r="B2" s="4"/>
      <c r="C2" s="5"/>
      <c r="E2" s="7"/>
      <c r="F2" s="7"/>
      <c r="G2" s="7"/>
      <c r="H2" s="7"/>
      <c r="I2" s="4"/>
      <c r="J2" s="4"/>
      <c r="K2" s="4"/>
      <c r="L2" s="4"/>
      <c r="M2" s="4"/>
      <c r="P2" s="1" t="s">
        <v>0</v>
      </c>
      <c r="Q2" s="1" t="s">
        <v>0</v>
      </c>
    </row>
    <row r="3" s="1" customFormat="1" customHeight="1" spans="1:17">
      <c r="A3" s="4"/>
      <c r="B3" s="4"/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9" t="s">
        <v>7</v>
      </c>
      <c r="J3" s="9" t="s">
        <v>8</v>
      </c>
      <c r="K3" s="9" t="s">
        <v>9</v>
      </c>
      <c r="L3" s="9" t="s">
        <v>10</v>
      </c>
      <c r="M3" s="9" t="s">
        <v>11</v>
      </c>
    </row>
    <row r="4" s="1" customFormat="1" customHeight="1" spans="1:17">
      <c r="A4" s="4"/>
      <c r="B4" s="4"/>
      <c r="C4" s="8" t="s">
        <v>12</v>
      </c>
      <c r="D4" s="9" t="s">
        <v>2</v>
      </c>
      <c r="E4" s="10" t="s">
        <v>3</v>
      </c>
      <c r="F4" s="10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9" t="s">
        <v>11</v>
      </c>
    </row>
    <row r="5" s="1" customFormat="1" customHeight="1" spans="1:17">
      <c r="A5" s="4"/>
      <c r="B5" s="4"/>
      <c r="C5" s="8" t="s">
        <v>13</v>
      </c>
      <c r="D5" s="9" t="s">
        <v>14</v>
      </c>
      <c r="E5" s="10" t="s">
        <v>14</v>
      </c>
      <c r="F5" s="10" t="s">
        <v>14</v>
      </c>
      <c r="G5" s="10" t="s">
        <v>14</v>
      </c>
      <c r="H5" s="10" t="s">
        <v>13</v>
      </c>
      <c r="I5" s="9" t="s">
        <v>13</v>
      </c>
      <c r="J5" s="9" t="s">
        <v>13</v>
      </c>
      <c r="K5" s="9" t="s">
        <v>13</v>
      </c>
      <c r="L5" s="9" t="s">
        <v>13</v>
      </c>
      <c r="M5" s="9" t="s">
        <v>13</v>
      </c>
    </row>
    <row r="6" customHeight="1" spans="1:17">
      <c r="C6" s="5">
        <v>1</v>
      </c>
      <c r="D6" s="1" t="s">
        <v>15</v>
      </c>
      <c r="E6" s="14" t="s">
        <v>16</v>
      </c>
      <c r="F6" s="14" t="s">
        <v>16</v>
      </c>
      <c r="G6" s="11">
        <f t="shared" ref="G6:G26" si="0">F6*P6*1000</f>
        <v>1000000</v>
      </c>
      <c r="H6" s="11">
        <v>10</v>
      </c>
      <c r="I6" s="2">
        <v>100</v>
      </c>
      <c r="J6" s="2">
        <v>100</v>
      </c>
      <c r="K6" s="2">
        <v>1800</v>
      </c>
      <c r="L6" s="2">
        <v>1800</v>
      </c>
      <c r="M6" s="2">
        <v>99</v>
      </c>
      <c r="P6" s="2">
        <v>1</v>
      </c>
      <c r="Q6" s="4">
        <v>1000</v>
      </c>
    </row>
    <row r="7" s="2" customFormat="1" customHeight="1" spans="1:17">
      <c r="C7" s="5">
        <v>2</v>
      </c>
      <c r="D7" s="5" t="s">
        <v>17</v>
      </c>
      <c r="E7" s="14" t="s">
        <v>18</v>
      </c>
      <c r="F7" s="14" t="s">
        <v>18</v>
      </c>
      <c r="G7" s="11">
        <f t="shared" si="0"/>
        <v>20000000</v>
      </c>
      <c r="H7" s="11">
        <f t="shared" ref="H7:H35" si="1">H6+10</f>
        <v>20</v>
      </c>
      <c r="I7" s="2">
        <v>100</v>
      </c>
      <c r="J7" s="2">
        <v>1800</v>
      </c>
      <c r="K7" s="2">
        <v>1800</v>
      </c>
      <c r="L7" s="2">
        <v>1800</v>
      </c>
      <c r="M7" s="2">
        <v>99</v>
      </c>
      <c r="P7" s="2">
        <v>2</v>
      </c>
      <c r="Q7" s="4">
        <v>2000</v>
      </c>
    </row>
    <row r="8" s="2" customFormat="1" customHeight="1" spans="1:17">
      <c r="C8" s="5">
        <v>3</v>
      </c>
      <c r="D8" s="5" t="s">
        <v>19</v>
      </c>
      <c r="E8" s="14" t="s">
        <v>20</v>
      </c>
      <c r="F8" s="14" t="s">
        <v>20</v>
      </c>
      <c r="G8" s="11">
        <f t="shared" si="0"/>
        <v>60000000</v>
      </c>
      <c r="H8" s="11">
        <f t="shared" si="1"/>
        <v>30</v>
      </c>
      <c r="I8" s="2">
        <v>100</v>
      </c>
      <c r="J8" s="2">
        <v>1800</v>
      </c>
      <c r="K8" s="2">
        <v>1800</v>
      </c>
      <c r="L8" s="2">
        <v>1800</v>
      </c>
      <c r="M8" s="2">
        <v>99</v>
      </c>
      <c r="P8" s="2">
        <v>3</v>
      </c>
      <c r="Q8" s="4">
        <v>3000</v>
      </c>
    </row>
    <row r="9" s="2" customFormat="1" customHeight="1" spans="1:17">
      <c r="C9" s="5">
        <v>4</v>
      </c>
      <c r="D9" s="5" t="s">
        <v>21</v>
      </c>
      <c r="E9" s="14" t="s">
        <v>22</v>
      </c>
      <c r="F9" s="14" t="s">
        <v>22</v>
      </c>
      <c r="G9" s="11">
        <f t="shared" si="0"/>
        <v>120000000</v>
      </c>
      <c r="H9" s="11">
        <f t="shared" si="1"/>
        <v>40</v>
      </c>
      <c r="I9" s="2">
        <v>100</v>
      </c>
      <c r="J9" s="2">
        <v>1800</v>
      </c>
      <c r="K9" s="2">
        <v>1800</v>
      </c>
      <c r="L9" s="2">
        <v>1800</v>
      </c>
      <c r="M9" s="2">
        <v>99</v>
      </c>
      <c r="P9" s="2">
        <v>4</v>
      </c>
      <c r="Q9" s="4">
        <v>4000</v>
      </c>
    </row>
    <row r="10" s="2" customFormat="1" customHeight="1" spans="1:17">
      <c r="C10" s="5">
        <v>5</v>
      </c>
      <c r="D10" s="5" t="s">
        <v>23</v>
      </c>
      <c r="E10" s="14" t="s">
        <v>24</v>
      </c>
      <c r="F10" s="14" t="s">
        <v>24</v>
      </c>
      <c r="G10" s="11">
        <f t="shared" si="0"/>
        <v>200000000</v>
      </c>
      <c r="H10" s="11">
        <f t="shared" si="1"/>
        <v>50</v>
      </c>
      <c r="I10" s="2">
        <v>100</v>
      </c>
      <c r="J10" s="2">
        <v>1800</v>
      </c>
      <c r="K10" s="2">
        <v>1800</v>
      </c>
      <c r="L10" s="2">
        <v>1800</v>
      </c>
      <c r="M10" s="2">
        <v>99</v>
      </c>
      <c r="P10" s="2">
        <v>5</v>
      </c>
      <c r="Q10" s="4">
        <v>5000</v>
      </c>
    </row>
    <row r="11" s="2" customFormat="1" customHeight="1" spans="1:17">
      <c r="C11" s="5">
        <v>6</v>
      </c>
      <c r="D11" s="5" t="s">
        <v>25</v>
      </c>
      <c r="E11" s="14" t="s">
        <v>26</v>
      </c>
      <c r="F11" s="14" t="s">
        <v>26</v>
      </c>
      <c r="G11" s="11">
        <f t="shared" si="0"/>
        <v>300000000</v>
      </c>
      <c r="H11" s="11">
        <f t="shared" si="1"/>
        <v>60</v>
      </c>
      <c r="I11" s="2">
        <v>100</v>
      </c>
      <c r="J11" s="2">
        <v>1800</v>
      </c>
      <c r="K11" s="2">
        <v>1800</v>
      </c>
      <c r="L11" s="2">
        <v>1800</v>
      </c>
      <c r="M11" s="2">
        <v>99</v>
      </c>
      <c r="P11" s="2">
        <v>6</v>
      </c>
      <c r="Q11" s="4">
        <v>5000</v>
      </c>
    </row>
    <row r="12" s="2" customFormat="1" customHeight="1" spans="1:17">
      <c r="C12" s="5">
        <v>7</v>
      </c>
      <c r="D12" s="5" t="s">
        <v>27</v>
      </c>
      <c r="E12" s="14" t="s">
        <v>28</v>
      </c>
      <c r="F12" s="14" t="s">
        <v>28</v>
      </c>
      <c r="G12" s="11">
        <f t="shared" si="0"/>
        <v>490000000</v>
      </c>
      <c r="H12" s="11">
        <f t="shared" si="1"/>
        <v>70</v>
      </c>
      <c r="I12" s="2">
        <v>100</v>
      </c>
      <c r="J12" s="2">
        <v>1800</v>
      </c>
      <c r="K12" s="2">
        <v>1800</v>
      </c>
      <c r="L12" s="2">
        <v>1800</v>
      </c>
      <c r="M12" s="2">
        <v>99</v>
      </c>
      <c r="P12" s="2">
        <v>7</v>
      </c>
      <c r="Q12" s="4">
        <v>6000</v>
      </c>
    </row>
    <row r="13" s="2" customFormat="1" customHeight="1" spans="1:17">
      <c r="C13" s="5">
        <v>8</v>
      </c>
      <c r="D13" s="5" t="s">
        <v>29</v>
      </c>
      <c r="E13" s="14" t="s">
        <v>30</v>
      </c>
      <c r="F13" s="14" t="s">
        <v>30</v>
      </c>
      <c r="G13" s="11">
        <f t="shared" si="0"/>
        <v>720000000</v>
      </c>
      <c r="H13" s="11">
        <f t="shared" si="1"/>
        <v>80</v>
      </c>
      <c r="I13" s="2">
        <v>100</v>
      </c>
      <c r="J13" s="2">
        <v>1800</v>
      </c>
      <c r="K13" s="2">
        <v>1800</v>
      </c>
      <c r="L13" s="2">
        <v>1800</v>
      </c>
      <c r="M13" s="2">
        <v>99</v>
      </c>
      <c r="P13" s="2">
        <v>8</v>
      </c>
      <c r="Q13" s="4">
        <v>6000</v>
      </c>
    </row>
    <row r="14" s="2" customFormat="1" customHeight="1" spans="1:17">
      <c r="C14" s="5">
        <v>9</v>
      </c>
      <c r="D14" s="5" t="s">
        <v>31</v>
      </c>
      <c r="E14" s="14" t="s">
        <v>32</v>
      </c>
      <c r="F14" s="14" t="s">
        <v>32</v>
      </c>
      <c r="G14" s="11">
        <f t="shared" si="0"/>
        <v>1170000000</v>
      </c>
      <c r="H14" s="11">
        <f t="shared" si="1"/>
        <v>90</v>
      </c>
      <c r="I14" s="2">
        <v>100</v>
      </c>
      <c r="J14" s="2">
        <v>1800</v>
      </c>
      <c r="K14" s="2">
        <v>1800</v>
      </c>
      <c r="L14" s="2">
        <v>1800</v>
      </c>
      <c r="M14" s="2">
        <v>99</v>
      </c>
      <c r="P14" s="2">
        <v>9</v>
      </c>
      <c r="Q14" s="4">
        <v>7000</v>
      </c>
    </row>
    <row r="15" s="2" customFormat="1" customHeight="1" spans="1:17">
      <c r="C15" s="5">
        <v>10</v>
      </c>
      <c r="D15" s="5" t="s">
        <v>33</v>
      </c>
      <c r="E15" s="14" t="s">
        <v>34</v>
      </c>
      <c r="F15" s="14" t="s">
        <v>34</v>
      </c>
      <c r="G15" s="11">
        <f t="shared" si="0"/>
        <v>1700000000</v>
      </c>
      <c r="H15" s="11">
        <f t="shared" si="1"/>
        <v>100</v>
      </c>
      <c r="I15" s="2">
        <v>100</v>
      </c>
      <c r="J15" s="2">
        <v>1800</v>
      </c>
      <c r="K15" s="2">
        <v>1800</v>
      </c>
      <c r="L15" s="2">
        <v>1800</v>
      </c>
      <c r="M15" s="2">
        <v>99</v>
      </c>
      <c r="P15" s="2">
        <v>10</v>
      </c>
      <c r="Q15" s="4">
        <v>7000</v>
      </c>
    </row>
    <row r="16" s="2" customFormat="1" customHeight="1" spans="1:17">
      <c r="C16" s="5">
        <v>11</v>
      </c>
      <c r="D16" s="5" t="s">
        <v>35</v>
      </c>
      <c r="E16" s="14" t="s">
        <v>36</v>
      </c>
      <c r="F16" s="14" t="s">
        <v>36</v>
      </c>
      <c r="G16" s="11">
        <f t="shared" si="0"/>
        <v>2530000000</v>
      </c>
      <c r="H16" s="11">
        <f t="shared" si="1"/>
        <v>110</v>
      </c>
      <c r="I16" s="2">
        <v>100</v>
      </c>
      <c r="J16" s="2">
        <v>1800</v>
      </c>
      <c r="K16" s="2">
        <v>1800</v>
      </c>
      <c r="L16" s="2">
        <v>1800</v>
      </c>
      <c r="M16" s="2">
        <v>99</v>
      </c>
      <c r="P16" s="2">
        <v>11</v>
      </c>
      <c r="Q16" s="4">
        <v>8000</v>
      </c>
    </row>
    <row r="17" s="2" customFormat="1" customHeight="1" spans="3:17">
      <c r="C17" s="5">
        <v>12</v>
      </c>
      <c r="D17" s="5" t="s">
        <v>37</v>
      </c>
      <c r="E17" s="14" t="s">
        <v>38</v>
      </c>
      <c r="F17" s="14" t="s">
        <v>38</v>
      </c>
      <c r="G17" s="11">
        <f t="shared" si="0"/>
        <v>3600000000</v>
      </c>
      <c r="H17" s="11">
        <f t="shared" si="1"/>
        <v>120</v>
      </c>
      <c r="I17" s="2">
        <v>100</v>
      </c>
      <c r="J17" s="2">
        <v>1800</v>
      </c>
      <c r="K17" s="2">
        <v>1800</v>
      </c>
      <c r="L17" s="2">
        <v>1800</v>
      </c>
      <c r="M17" s="2">
        <v>99</v>
      </c>
      <c r="P17" s="2">
        <v>12</v>
      </c>
      <c r="Q17" s="4">
        <v>8000</v>
      </c>
    </row>
    <row r="18" s="2" customFormat="1" customHeight="1" spans="3:17">
      <c r="C18" s="5">
        <v>13</v>
      </c>
      <c r="D18" s="5" t="s">
        <v>39</v>
      </c>
      <c r="E18" s="14" t="s">
        <v>40</v>
      </c>
      <c r="F18" s="14" t="s">
        <v>40</v>
      </c>
      <c r="G18" s="11">
        <f t="shared" si="0"/>
        <v>5200000000</v>
      </c>
      <c r="H18" s="11">
        <f t="shared" si="1"/>
        <v>130</v>
      </c>
      <c r="I18" s="2">
        <v>100</v>
      </c>
      <c r="J18" s="2">
        <v>1800</v>
      </c>
      <c r="K18" s="2">
        <v>1800</v>
      </c>
      <c r="L18" s="2">
        <v>1800</v>
      </c>
      <c r="M18" s="2">
        <v>99</v>
      </c>
      <c r="P18" s="2">
        <v>13</v>
      </c>
      <c r="Q18" s="4">
        <v>9000</v>
      </c>
    </row>
    <row r="19" s="2" customFormat="1" customHeight="1" spans="3:17">
      <c r="C19" s="5">
        <v>14</v>
      </c>
      <c r="D19" s="5" t="s">
        <v>41</v>
      </c>
      <c r="E19" s="14" t="s">
        <v>42</v>
      </c>
      <c r="F19" s="14" t="s">
        <v>42</v>
      </c>
      <c r="G19" s="11">
        <f t="shared" si="0"/>
        <v>8400000000</v>
      </c>
      <c r="H19" s="11">
        <f t="shared" si="1"/>
        <v>140</v>
      </c>
      <c r="I19" s="2">
        <v>100</v>
      </c>
      <c r="J19" s="2">
        <v>1800</v>
      </c>
      <c r="K19" s="2">
        <v>1800</v>
      </c>
      <c r="L19" s="2">
        <v>1800</v>
      </c>
      <c r="M19" s="2">
        <v>99</v>
      </c>
      <c r="P19" s="2">
        <v>14</v>
      </c>
      <c r="Q19" s="4">
        <v>9000</v>
      </c>
    </row>
    <row r="20" s="2" customFormat="1" customHeight="1" spans="3:17">
      <c r="C20" s="5">
        <v>15</v>
      </c>
      <c r="D20" s="5" t="s">
        <v>43</v>
      </c>
      <c r="E20" s="14" t="s">
        <v>44</v>
      </c>
      <c r="F20" s="14" t="s">
        <v>44</v>
      </c>
      <c r="G20" s="11">
        <f t="shared" si="0"/>
        <v>12000000000</v>
      </c>
      <c r="H20" s="11">
        <f t="shared" si="1"/>
        <v>150</v>
      </c>
      <c r="I20" s="2">
        <v>100</v>
      </c>
      <c r="J20" s="2">
        <v>1800</v>
      </c>
      <c r="K20" s="2">
        <v>1800</v>
      </c>
      <c r="L20" s="2">
        <v>1800</v>
      </c>
      <c r="M20" s="2">
        <v>99</v>
      </c>
      <c r="P20" s="2">
        <v>15</v>
      </c>
      <c r="Q20" s="4">
        <v>10000</v>
      </c>
    </row>
    <row r="21" s="2" customFormat="1" customHeight="1" spans="3:17">
      <c r="C21" s="5">
        <v>16</v>
      </c>
      <c r="D21" s="5" t="s">
        <v>45</v>
      </c>
      <c r="E21" s="14" t="s">
        <v>46</v>
      </c>
      <c r="F21" s="14" t="s">
        <v>46</v>
      </c>
      <c r="G21" s="11">
        <f t="shared" si="0"/>
        <v>16000000000</v>
      </c>
      <c r="H21" s="11">
        <f t="shared" si="1"/>
        <v>160</v>
      </c>
      <c r="I21" s="2">
        <v>100</v>
      </c>
      <c r="J21" s="2">
        <v>1800</v>
      </c>
      <c r="K21" s="2">
        <v>1800</v>
      </c>
      <c r="L21" s="2">
        <v>1800</v>
      </c>
      <c r="M21" s="2">
        <v>99</v>
      </c>
      <c r="P21" s="2">
        <v>16</v>
      </c>
      <c r="Q21" s="4">
        <v>10000</v>
      </c>
    </row>
    <row r="22" s="2" customFormat="1" customHeight="1" spans="3:17">
      <c r="C22" s="5">
        <v>17</v>
      </c>
      <c r="D22" s="5" t="s">
        <v>47</v>
      </c>
      <c r="E22" s="14" t="s">
        <v>48</v>
      </c>
      <c r="F22" s="14" t="s">
        <v>48</v>
      </c>
      <c r="G22" s="11">
        <f t="shared" si="0"/>
        <v>20400000000</v>
      </c>
      <c r="H22" s="11">
        <f t="shared" si="1"/>
        <v>170</v>
      </c>
      <c r="I22" s="2">
        <v>100</v>
      </c>
      <c r="J22" s="2">
        <v>1800</v>
      </c>
      <c r="K22" s="2">
        <v>1800</v>
      </c>
      <c r="L22" s="2">
        <v>1800</v>
      </c>
      <c r="M22" s="2">
        <v>99</v>
      </c>
      <c r="P22" s="2">
        <v>17</v>
      </c>
      <c r="Q22" s="2">
        <v>11000</v>
      </c>
    </row>
    <row r="23" s="2" customFormat="1" customHeight="1" spans="3:17">
      <c r="C23" s="5">
        <v>18</v>
      </c>
      <c r="D23" s="5" t="s">
        <v>49</v>
      </c>
      <c r="E23" s="14" t="s">
        <v>50</v>
      </c>
      <c r="F23" s="14" t="s">
        <v>50</v>
      </c>
      <c r="G23" s="11">
        <f t="shared" si="0"/>
        <v>25200000000</v>
      </c>
      <c r="H23" s="11">
        <f t="shared" si="1"/>
        <v>180</v>
      </c>
      <c r="I23" s="2">
        <v>100</v>
      </c>
      <c r="J23" s="2">
        <v>1800</v>
      </c>
      <c r="K23" s="2">
        <v>1800</v>
      </c>
      <c r="L23" s="2">
        <v>1800</v>
      </c>
      <c r="M23" s="2">
        <v>99</v>
      </c>
      <c r="P23" s="2">
        <v>18</v>
      </c>
      <c r="Q23" s="2">
        <v>11000</v>
      </c>
    </row>
    <row r="24" s="2" customFormat="1" customHeight="1" spans="3:17">
      <c r="C24" s="5">
        <v>19</v>
      </c>
      <c r="D24" s="5" t="s">
        <v>51</v>
      </c>
      <c r="E24" s="14" t="s">
        <v>52</v>
      </c>
      <c r="F24" s="14" t="s">
        <v>52</v>
      </c>
      <c r="G24" s="11">
        <f t="shared" si="0"/>
        <v>30400000000</v>
      </c>
      <c r="H24" s="11">
        <f t="shared" si="1"/>
        <v>190</v>
      </c>
      <c r="I24" s="2">
        <v>100</v>
      </c>
      <c r="J24" s="2">
        <v>1800</v>
      </c>
      <c r="K24" s="2">
        <v>1800</v>
      </c>
      <c r="L24" s="2">
        <v>1800</v>
      </c>
      <c r="M24" s="2">
        <v>99</v>
      </c>
      <c r="P24" s="2">
        <v>19</v>
      </c>
      <c r="Q24" s="4">
        <v>12000</v>
      </c>
    </row>
    <row r="25" s="2" customFormat="1" customHeight="1" spans="3:17">
      <c r="C25" s="5">
        <v>20</v>
      </c>
      <c r="D25" s="5" t="s">
        <v>53</v>
      </c>
      <c r="E25" s="14" t="s">
        <v>54</v>
      </c>
      <c r="F25" s="14" t="s">
        <v>54</v>
      </c>
      <c r="G25" s="11">
        <f t="shared" si="0"/>
        <v>36000000000</v>
      </c>
      <c r="H25" s="11">
        <f t="shared" si="1"/>
        <v>200</v>
      </c>
      <c r="I25" s="2">
        <v>100</v>
      </c>
      <c r="J25" s="2">
        <v>1800</v>
      </c>
      <c r="K25" s="2">
        <v>1800</v>
      </c>
      <c r="L25" s="2">
        <v>1800</v>
      </c>
      <c r="M25" s="2">
        <v>99</v>
      </c>
      <c r="P25" s="2">
        <v>20</v>
      </c>
      <c r="Q25" s="4">
        <v>15000</v>
      </c>
    </row>
    <row r="26" s="3" customFormat="1" customHeight="1" spans="3:17">
      <c r="C26" s="12">
        <v>21</v>
      </c>
      <c r="D26" s="12" t="s">
        <v>35</v>
      </c>
      <c r="E26" s="15" t="s">
        <v>55</v>
      </c>
      <c r="F26" s="15" t="s">
        <v>55</v>
      </c>
      <c r="G26" s="13">
        <f>F26*P26*2000</f>
        <v>79200000000</v>
      </c>
      <c r="H26" s="11">
        <f t="shared" ref="H26:H35" si="2">H25+20</f>
        <v>220</v>
      </c>
      <c r="I26" s="3">
        <v>100</v>
      </c>
      <c r="J26" s="3">
        <v>1800</v>
      </c>
      <c r="K26" s="3">
        <v>1800</v>
      </c>
      <c r="L26" s="3">
        <v>1800</v>
      </c>
      <c r="M26" s="3">
        <v>99</v>
      </c>
      <c r="N26" s="3"/>
      <c r="O26" s="3"/>
      <c r="P26" s="3">
        <v>11</v>
      </c>
      <c r="Q26" s="3">
        <v>8000</v>
      </c>
    </row>
    <row r="27" customHeight="1" spans="3:17">
      <c r="C27" s="5">
        <v>22</v>
      </c>
      <c r="D27" s="5" t="s">
        <v>37</v>
      </c>
      <c r="E27" s="14" t="s">
        <v>56</v>
      </c>
      <c r="F27" s="14" t="s">
        <v>56</v>
      </c>
      <c r="G27" s="11">
        <f>F27*P27*2100</f>
        <v>181440000000</v>
      </c>
      <c r="H27" s="11">
        <f t="shared" si="2"/>
        <v>240</v>
      </c>
      <c r="I27" s="2">
        <v>100</v>
      </c>
      <c r="J27" s="2">
        <v>1800</v>
      </c>
      <c r="K27" s="2">
        <v>1800</v>
      </c>
      <c r="L27" s="2">
        <v>1800</v>
      </c>
      <c r="M27" s="2">
        <v>99</v>
      </c>
      <c r="N27" s="2"/>
      <c r="O27" s="2"/>
      <c r="P27" s="2">
        <v>12</v>
      </c>
      <c r="Q27" s="4">
        <v>8000</v>
      </c>
    </row>
    <row r="28" customHeight="1" spans="3:17">
      <c r="C28" s="5">
        <v>23</v>
      </c>
      <c r="D28" s="5" t="s">
        <v>39</v>
      </c>
      <c r="E28" s="14" t="s">
        <v>57</v>
      </c>
      <c r="F28" s="14" t="s">
        <v>57</v>
      </c>
      <c r="G28" s="11">
        <f>F28*P28*2200</f>
        <v>429000000000</v>
      </c>
      <c r="H28" s="11">
        <f t="shared" si="2"/>
        <v>260</v>
      </c>
      <c r="I28" s="2">
        <v>100</v>
      </c>
      <c r="J28" s="2">
        <v>1800</v>
      </c>
      <c r="K28" s="2">
        <v>1800</v>
      </c>
      <c r="L28" s="2">
        <v>1800</v>
      </c>
      <c r="M28" s="2">
        <v>99</v>
      </c>
      <c r="N28" s="2"/>
      <c r="O28" s="2"/>
      <c r="P28" s="2">
        <v>13</v>
      </c>
      <c r="Q28" s="4">
        <v>9000</v>
      </c>
    </row>
    <row r="29" customHeight="1" spans="3:17">
      <c r="C29" s="5">
        <v>24</v>
      </c>
      <c r="D29" s="5" t="s">
        <v>41</v>
      </c>
      <c r="E29" s="14" t="s">
        <v>58</v>
      </c>
      <c r="F29" s="14" t="s">
        <v>58</v>
      </c>
      <c r="G29" s="11">
        <f>F29*P29*2300</f>
        <v>966000000000</v>
      </c>
      <c r="H29" s="11">
        <f t="shared" si="2"/>
        <v>280</v>
      </c>
      <c r="I29" s="2">
        <v>100</v>
      </c>
      <c r="J29" s="2">
        <v>1800</v>
      </c>
      <c r="K29" s="2">
        <v>1800</v>
      </c>
      <c r="L29" s="2">
        <v>1800</v>
      </c>
      <c r="M29" s="2">
        <v>99</v>
      </c>
      <c r="N29" s="2"/>
      <c r="O29" s="2"/>
      <c r="P29" s="2">
        <v>14</v>
      </c>
      <c r="Q29" s="4">
        <v>9000</v>
      </c>
    </row>
    <row r="30" customHeight="1" spans="3:17">
      <c r="C30" s="5">
        <v>25</v>
      </c>
      <c r="D30" s="5" t="s">
        <v>43</v>
      </c>
      <c r="E30" s="14" t="s">
        <v>59</v>
      </c>
      <c r="F30" s="14" t="s">
        <v>59</v>
      </c>
      <c r="G30" s="11">
        <f>F30*P30*2200</f>
        <v>1980000000000</v>
      </c>
      <c r="H30" s="11">
        <f t="shared" si="2"/>
        <v>300</v>
      </c>
      <c r="I30" s="2">
        <v>100</v>
      </c>
      <c r="J30" s="2">
        <v>1800</v>
      </c>
      <c r="K30" s="2">
        <v>1800</v>
      </c>
      <c r="L30" s="2">
        <v>1800</v>
      </c>
      <c r="M30" s="2">
        <v>99</v>
      </c>
      <c r="N30" s="2"/>
      <c r="O30" s="2"/>
      <c r="P30" s="2">
        <v>15</v>
      </c>
      <c r="Q30" s="4">
        <v>10000</v>
      </c>
    </row>
    <row r="31" customHeight="1" spans="3:17">
      <c r="C31" s="5">
        <v>26</v>
      </c>
      <c r="D31" s="5" t="s">
        <v>45</v>
      </c>
      <c r="E31" s="14" t="s">
        <v>60</v>
      </c>
      <c r="F31" s="14" t="s">
        <v>60</v>
      </c>
      <c r="G31" s="11">
        <f>F31*P31*2400</f>
        <v>4608000000000</v>
      </c>
      <c r="H31" s="11">
        <f t="shared" si="2"/>
        <v>320</v>
      </c>
      <c r="I31" s="2">
        <v>100</v>
      </c>
      <c r="J31" s="2">
        <v>1800</v>
      </c>
      <c r="K31" s="2">
        <v>1800</v>
      </c>
      <c r="L31" s="2">
        <v>1800</v>
      </c>
      <c r="M31" s="2">
        <v>99</v>
      </c>
      <c r="N31" s="2"/>
      <c r="O31" s="2"/>
      <c r="P31" s="2">
        <v>16</v>
      </c>
      <c r="Q31" s="4">
        <v>10000</v>
      </c>
    </row>
    <row r="32" customHeight="1" spans="3:17">
      <c r="C32" s="5">
        <v>27</v>
      </c>
      <c r="D32" s="5" t="s">
        <v>47</v>
      </c>
      <c r="E32" s="14" t="s">
        <v>61</v>
      </c>
      <c r="F32" s="14" t="s">
        <v>61</v>
      </c>
      <c r="G32" s="11">
        <f>F32*P32*2200</f>
        <v>8976000000000</v>
      </c>
      <c r="H32" s="11">
        <f t="shared" si="2"/>
        <v>340</v>
      </c>
      <c r="I32" s="2">
        <v>100</v>
      </c>
      <c r="J32" s="2">
        <v>1800</v>
      </c>
      <c r="K32" s="2">
        <v>1800</v>
      </c>
      <c r="L32" s="2">
        <v>1800</v>
      </c>
      <c r="M32" s="2">
        <v>99</v>
      </c>
      <c r="N32" s="2"/>
      <c r="O32" s="2"/>
      <c r="P32" s="2">
        <v>17</v>
      </c>
      <c r="Q32" s="2">
        <v>11000</v>
      </c>
    </row>
    <row r="33" customHeight="1" spans="3:17">
      <c r="C33" s="5">
        <v>28</v>
      </c>
      <c r="D33" s="5" t="s">
        <v>49</v>
      </c>
      <c r="E33" s="14" t="s">
        <v>62</v>
      </c>
      <c r="F33" s="14" t="s">
        <v>62</v>
      </c>
      <c r="G33" s="11">
        <f>F33*P33*2500</f>
        <v>21600000000000</v>
      </c>
      <c r="H33" s="11">
        <f t="shared" si="2"/>
        <v>360</v>
      </c>
      <c r="I33" s="2">
        <v>100</v>
      </c>
      <c r="J33" s="2">
        <v>1800</v>
      </c>
      <c r="K33" s="2">
        <v>1800</v>
      </c>
      <c r="L33" s="2">
        <v>1800</v>
      </c>
      <c r="M33" s="2">
        <v>99</v>
      </c>
      <c r="N33" s="2"/>
      <c r="O33" s="2"/>
      <c r="P33" s="2">
        <v>18</v>
      </c>
      <c r="Q33" s="2">
        <v>11000</v>
      </c>
    </row>
    <row r="34" customHeight="1" spans="3:17">
      <c r="C34" s="5">
        <v>29</v>
      </c>
      <c r="D34" s="5" t="s">
        <v>51</v>
      </c>
      <c r="E34" s="14" t="s">
        <v>63</v>
      </c>
      <c r="F34" s="14" t="s">
        <v>63</v>
      </c>
      <c r="G34" s="11">
        <f>F34*P34*2600</f>
        <v>49400000000000</v>
      </c>
      <c r="H34" s="11">
        <f t="shared" si="2"/>
        <v>380</v>
      </c>
      <c r="I34" s="2">
        <v>100</v>
      </c>
      <c r="J34" s="2">
        <v>1800</v>
      </c>
      <c r="K34" s="2">
        <v>1800</v>
      </c>
      <c r="L34" s="2">
        <v>1800</v>
      </c>
      <c r="M34" s="2">
        <v>99</v>
      </c>
      <c r="N34" s="2"/>
      <c r="O34" s="2"/>
      <c r="P34" s="2">
        <v>19</v>
      </c>
      <c r="Q34" s="4">
        <v>12000</v>
      </c>
    </row>
    <row r="35" customHeight="1" spans="3:17">
      <c r="C35" s="5">
        <v>30</v>
      </c>
      <c r="D35" s="5" t="s">
        <v>53</v>
      </c>
      <c r="E35" s="14" t="s">
        <v>64</v>
      </c>
      <c r="F35" s="14" t="s">
        <v>64</v>
      </c>
      <c r="G35" s="11">
        <f>F35*P35*2700</f>
        <v>108000000000000</v>
      </c>
      <c r="H35" s="11">
        <f t="shared" si="2"/>
        <v>400</v>
      </c>
      <c r="I35" s="2">
        <v>100</v>
      </c>
      <c r="J35" s="2">
        <v>1800</v>
      </c>
      <c r="K35" s="2">
        <v>1800</v>
      </c>
      <c r="L35" s="2">
        <v>1800</v>
      </c>
      <c r="M35" s="2">
        <v>99</v>
      </c>
      <c r="N35" s="2"/>
      <c r="O35" s="2"/>
      <c r="P35" s="2">
        <v>20</v>
      </c>
      <c r="Q35" s="4">
        <v>15000</v>
      </c>
    </row>
    <row r="36" customHeight="1" spans="3:17">
      <c r="E36" s="11"/>
      <c r="F36" s="11"/>
      <c r="G36" s="1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2026-07-16T09:13:23Z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
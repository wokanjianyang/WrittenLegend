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<sst xmlns="http://schemas.openxmlformats.org/spreadsheetml/2006/main" count="63" uniqueCount="35">
  <si>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ID</t>
  </si>
  <si>
    <t>StartLevel</t>
  </si>
  <si>
    <t>EndLevel</t>
  </si>
  <si>
    <t>Attr</t>
  </si>
  <si>
    <t>AttrRise</t>
  </si>
  <si>
    <t>Def</t>
  </si>
  <si>
    <t>DefRise</t>
  </si>
  <si>
    <t>HP</t>
  </si>
  <si>
    <t>HpRise</t>
  </si>
  <si>
    <t>Speed</t>
  </si>
  <si>
    <t>DamageIncrea</t>
  </si>
  <si>
    <t>DamageResist</t>
  </si>
  <si>
    <t>CritRateResist</t>
  </si>
  <si>
    <t>CritDamageResist</t>
  </si>
  <si>
    <t>Protect</t>
  </si>
  <si>
    <t>Id</t>
  </si>
  <si>
    <t>int</t>
  </si>
  <si>
    <t>string</t>
  </si>
  <si>
    <t>double</t>
  </si>
  <si>
    <t>1E+6</t>
  </si>
  <si>
    <t>1E+9</t>
  </si>
  <si>
    <t>5E+6</t>
  </si>
  <si>
    <t>4E+6</t>
  </si>
  <si>
    <t>1E+10</t>
  </si>
  <si>
    <t>3E+7</t>
  </si>
  <si>
    <t>16E+6</t>
  </si>
  <si>
    <t>1E+11</t>
  </si>
  <si>
    <t>15E+7</t>
  </si>
  <si>
    <t>64E+6</t>
  </si>
  <si>
    <t>1E+12</t>
  </si>
  <si>
    <t>75E+7</t>
  </si>
  <si>
    <t>256E+6</t>
  </si>
  <si>
    <t>1E+13</t>
  </si>
  <si>
    <t>375E+7</t>
  </si>
  <si>
    <t>1E+14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</si>
</sst>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176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pane ySplit="5" topLeftCell="A6" activePane="bottomLeft" state="frozen"/>
      <selection/>
      <selection pane="bottomLeft" activeCell="E27" sqref="E27"/>
    </sheetView>
  </sheetViews>
  <sheetFormatPr defaultColWidth="9" defaultRowHeight="16" customHeight="1"/>
  <cols>
    <col min="1" max="1" width="5.66666666666667" style="2" customWidth="1"/>
    <col min="2" max="2" width="8.16666666666667" style="2" customWidth="1"/>
    <col min="3" max="3" width="8.58333333333333" style="1" customWidth="1"/>
    <col min="4" max="4" width="7.875" style="1" customWidth="1"/>
    <col min="5" max="5" width="7.25" style="1" customWidth="1"/>
    <col min="6" max="6" width="20.8333333333333" style="3" customWidth="1"/>
    <col min="7" max="7" width="13.25" style="4" customWidth="1"/>
    <col min="8" max="8" width="20.4166666666667" style="3" customWidth="1"/>
    <col min="9" max="9" width="9.75" style="4" customWidth="1"/>
    <col min="10" max="10" width="19.9166666666667" style="3" customWidth="1"/>
    <col min="11" max="11" width="9.75" style="4" customWidth="1"/>
    <col min="12" max="12" width="15.5833333333333" style="3" customWidth="1"/>
    <col min="13" max="13" width="12.6666666666667" style="2" customWidth="1"/>
    <col min="14" max="14" width="11.4166666666667" style="2" customWidth="1"/>
    <col min="15" max="15" width="13.9166666666667" style="2" customWidth="1"/>
    <col min="16" max="16" width="14.3333333333333" style="2" customWidth="1"/>
    <col min="17" max="17" width="16.5" style="2" customWidth="1"/>
    <col min="18" max="16384" width="9" style="2"/>
  </cols>
  <sheetData>
    <row r="1" s="1" customFormat="1" customHeight="1" spans="1:17">
      <c r="A1" s="2"/>
      <c r="B1" s="2"/>
      <c r="F1" s="5"/>
      <c r="G1" s="2"/>
      <c r="H1" s="5"/>
      <c r="I1" s="2"/>
      <c r="J1" s="5"/>
      <c r="K1" s="2"/>
      <c r="L1" s="5"/>
      <c r="M1" s="2"/>
      <c r="N1" s="2"/>
      <c r="O1" s="2"/>
      <c r="P1" s="2"/>
      <c r="Q1" s="2"/>
    </row>
    <row r="2" s="1" customFormat="1" customHeight="1" spans="1:17">
      <c r="A2" s="2"/>
      <c r="B2" s="2"/>
      <c r="F2" s="5"/>
      <c r="G2" s="2"/>
      <c r="H2" s="5"/>
      <c r="I2" s="2"/>
      <c r="J2" s="5"/>
      <c r="K2" s="2"/>
      <c r="L2" s="5"/>
      <c r="M2" s="2"/>
      <c r="N2" s="2"/>
      <c r="O2" s="2"/>
      <c r="P2" s="2"/>
      <c r="Q2" s="2"/>
    </row>
    <row r="3" s="1" customFormat="1" customHeight="1" spans="1:17">
      <c r="A3" s="2"/>
      <c r="B3" s="2"/>
      <c r="C3" s="6" t="s">
        <v>0</v>
      </c>
      <c r="D3" s="6" t="s">
        <v>1</v>
      </c>
      <c r="E3" s="6" t="s">
        <v>2</v>
      </c>
      <c r="F3" s="7" t="s">
        <v>3</v>
      </c>
      <c r="G3" s="8" t="s">
        <v>4</v>
      </c>
      <c r="H3" s="7" t="s">
        <v>5</v>
      </c>
      <c r="I3" s="8" t="s">
        <v>6</v>
      </c>
      <c r="J3" s="7" t="s">
        <v>7</v>
      </c>
      <c r="K3" s="8" t="s">
        <v>8</v>
      </c>
      <c r="L3" s="7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</row>
    <row r="4" s="1" customFormat="1" customHeight="1" spans="1:17">
      <c r="A4" s="2"/>
      <c r="B4" s="2"/>
      <c r="C4" s="6" t="s">
        <v>15</v>
      </c>
      <c r="D4" s="6" t="s">
        <v>1</v>
      </c>
      <c r="E4" s="6" t="s">
        <v>2</v>
      </c>
      <c r="F4" s="7" t="s">
        <v>3</v>
      </c>
      <c r="G4" s="8" t="s">
        <v>4</v>
      </c>
      <c r="H4" s="7" t="s">
        <v>5</v>
      </c>
      <c r="I4" s="8" t="s">
        <v>6</v>
      </c>
      <c r="J4" s="7" t="s">
        <v>7</v>
      </c>
      <c r="K4" s="8" t="s">
        <v>8</v>
      </c>
      <c r="L4" s="7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</row>
    <row r="5" s="1" customFormat="1" customHeight="1" spans="1:17">
      <c r="A5" s="2"/>
      <c r="B5" s="2"/>
      <c r="C5" s="6" t="s">
        <v>16</v>
      </c>
      <c r="D5" s="6" t="s">
        <v>16</v>
      </c>
      <c r="E5" s="6" t="s">
        <v>16</v>
      </c>
      <c r="F5" s="7" t="s">
        <v>17</v>
      </c>
      <c r="G5" s="8" t="s">
        <v>18</v>
      </c>
      <c r="H5" s="7" t="s">
        <v>17</v>
      </c>
      <c r="I5" s="8" t="s">
        <v>18</v>
      </c>
      <c r="J5" s="7" t="s">
        <v>17</v>
      </c>
      <c r="K5" s="8" t="s">
        <v>18</v>
      </c>
      <c r="L5" s="7" t="s">
        <v>16</v>
      </c>
      <c r="M5" s="6" t="s">
        <v>16</v>
      </c>
      <c r="N5" s="6" t="s">
        <v>16</v>
      </c>
      <c r="O5" s="6" t="s">
        <v>16</v>
      </c>
      <c r="P5" s="6" t="s">
        <v>16</v>
      </c>
      <c r="Q5" s="6" t="s">
        <v>16</v>
      </c>
    </row>
    <row r="6" customHeight="1" spans="1:17">
      <c r="C6" s="1">
        <v>1</v>
      </c>
      <c r="D6" s="9">
        <v>1</v>
      </c>
      <c r="E6" s="9">
        <v>400</v>
      </c>
      <c r="F6" s="13" t="s">
        <v>19</v>
      </c>
      <c r="G6" s="11">
        <v>1.00403</v>
      </c>
      <c r="H6" s="13" t="s">
        <v>19</v>
      </c>
      <c r="I6" s="11">
        <v>1.00347</v>
      </c>
      <c r="J6" s="13" t="s">
        <v>20</v>
      </c>
      <c r="K6" s="11">
        <v>1.00577</v>
      </c>
      <c r="L6" s="12">
        <v>50</v>
      </c>
      <c r="M6" s="12">
        <v>50</v>
      </c>
      <c r="N6" s="12">
        <v>1800</v>
      </c>
      <c r="O6" s="12">
        <v>1800</v>
      </c>
      <c r="P6" s="12">
        <v>1800</v>
      </c>
      <c r="Q6" s="12">
        <v>99</v>
      </c>
    </row>
    <row r="7" customHeight="1" spans="1:17">
      <c r="C7" s="1">
        <v>2</v>
      </c>
      <c r="D7" s="1">
        <f t="shared" ref="D7:D11" si="0">E6+1</f>
        <v>401</v>
      </c>
      <c r="E7" s="1">
        <f t="shared" ref="E7:E11" si="1">E6+400</f>
        <v>800</v>
      </c>
      <c r="F7" s="13" t="s">
        <v>21</v>
      </c>
      <c r="G7" s="11">
        <v>1.00403</v>
      </c>
      <c r="H7" s="13" t="s">
        <v>22</v>
      </c>
      <c r="I7" s="11">
        <v>1.00347</v>
      </c>
      <c r="J7" s="13" t="s">
        <v>23</v>
      </c>
      <c r="K7" s="11">
        <v>1.00577</v>
      </c>
      <c r="L7" s="12">
        <f t="shared" ref="L7:L11" si="2">L6+25</f>
        <v>75</v>
      </c>
      <c r="M7" s="12">
        <f t="shared" ref="M7:M11" si="3">M6+25</f>
        <v>75</v>
      </c>
      <c r="N7" s="12">
        <v>1800</v>
      </c>
      <c r="O7" s="12">
        <v>1800</v>
      </c>
      <c r="P7" s="12">
        <v>1800</v>
      </c>
      <c r="Q7" s="12">
        <v>99</v>
      </c>
    </row>
    <row r="8" customHeight="1" spans="1:17">
      <c r="C8" s="1">
        <v>3</v>
      </c>
      <c r="D8" s="1">
        <f t="shared" si="0"/>
        <v>801</v>
      </c>
      <c r="E8" s="1">
        <f t="shared" si="1"/>
        <v>1200</v>
      </c>
      <c r="F8" s="13" t="s">
        <v>24</v>
      </c>
      <c r="G8" s="11">
        <v>1.00403</v>
      </c>
      <c r="H8" s="13" t="s">
        <v>25</v>
      </c>
      <c r="I8" s="11">
        <v>1.00347</v>
      </c>
      <c r="J8" s="13" t="s">
        <v>26</v>
      </c>
      <c r="K8" s="11">
        <v>1.00577</v>
      </c>
      <c r="L8" s="12">
        <f t="shared" si="2"/>
        <v>100</v>
      </c>
      <c r="M8" s="12">
        <f t="shared" si="3"/>
        <v>100</v>
      </c>
      <c r="N8" s="12">
        <v>1800</v>
      </c>
      <c r="O8" s="12">
        <v>1800</v>
      </c>
      <c r="P8" s="12">
        <v>1800</v>
      </c>
      <c r="Q8" s="12">
        <v>99</v>
      </c>
    </row>
    <row r="9" customHeight="1" spans="1:17">
      <c r="C9" s="1">
        <v>4</v>
      </c>
      <c r="D9" s="1">
        <f t="shared" si="0"/>
        <v>1201</v>
      </c>
      <c r="E9" s="1">
        <f t="shared" si="1"/>
        <v>1600</v>
      </c>
      <c r="F9" s="13" t="s">
        <v>27</v>
      </c>
      <c r="G9" s="11">
        <v>1.00403</v>
      </c>
      <c r="H9" s="13" t="s">
        <v>28</v>
      </c>
      <c r="I9" s="11">
        <v>1.00347</v>
      </c>
      <c r="J9" s="13" t="s">
        <v>29</v>
      </c>
      <c r="K9" s="11">
        <v>1.00577</v>
      </c>
      <c r="L9" s="12">
        <f t="shared" si="2"/>
        <v>125</v>
      </c>
      <c r="M9" s="12">
        <f t="shared" si="3"/>
        <v>125</v>
      </c>
      <c r="N9" s="12">
        <v>1800</v>
      </c>
      <c r="O9" s="12">
        <v>1800</v>
      </c>
      <c r="P9" s="12">
        <v>1800</v>
      </c>
      <c r="Q9" s="12">
        <v>99</v>
      </c>
    </row>
    <row r="10" customHeight="1" spans="1:17">
      <c r="C10" s="1">
        <v>5</v>
      </c>
      <c r="D10" s="1">
        <f t="shared" si="0"/>
        <v>1601</v>
      </c>
      <c r="E10" s="1">
        <f t="shared" si="1"/>
        <v>2000</v>
      </c>
      <c r="F10" s="13" t="s">
        <v>30</v>
      </c>
      <c r="G10" s="11">
        <v>1.00403</v>
      </c>
      <c r="H10" s="13" t="s">
        <v>31</v>
      </c>
      <c r="I10" s="11">
        <v>1.00347</v>
      </c>
      <c r="J10" s="13" t="s">
        <v>32</v>
      </c>
      <c r="K10" s="11">
        <v>1.00577</v>
      </c>
      <c r="L10" s="12">
        <f t="shared" si="2"/>
        <v>150</v>
      </c>
      <c r="M10" s="12">
        <f t="shared" si="3"/>
        <v>150</v>
      </c>
      <c r="N10" s="12">
        <v>1800</v>
      </c>
      <c r="O10" s="12">
        <v>1800</v>
      </c>
      <c r="P10" s="12">
        <v>1800</v>
      </c>
      <c r="Q10" s="12">
        <v>99</v>
      </c>
    </row>
    <row r="11" customHeight="1" spans="1:17">
      <c r="C11" s="1">
        <v>6</v>
      </c>
      <c r="D11" s="1">
        <f t="shared" si="0"/>
        <v>2001</v>
      </c>
      <c r="E11" s="1">
        <f>E10+1400</f>
        <v>3400</v>
      </c>
      <c r="F11" s="13" t="s">
        <v>33</v>
      </c>
      <c r="G11" s="11">
        <v>1.00403</v>
      </c>
      <c r="H11" s="13" t="s">
        <v>20</v>
      </c>
      <c r="I11" s="11">
        <v>1.00347</v>
      </c>
      <c r="J11" s="13" t="s">
        <v>34</v>
      </c>
      <c r="K11" s="11">
        <v>1.00577</v>
      </c>
      <c r="L11" s="12">
        <f t="shared" si="2"/>
        <v>175</v>
      </c>
      <c r="M11" s="12">
        <f t="shared" si="3"/>
        <v>175</v>
      </c>
      <c r="N11" s="12">
        <v>1800</v>
      </c>
      <c r="O11" s="12">
        <v>1800</v>
      </c>
      <c r="P11" s="12">
        <v>1800</v>
      </c>
      <c r="Q11" s="12">
        <v>99</v>
      </c>
    </row>
  </sheetData>
  <dataValidations count="1">
    <dataValidation type="custom" allowBlank="1" showErrorMessage="1" errorTitle="拒绝重复输入" error="当前输入的内容，与本区域的其他单元格内容重复。" sqref="C3:Q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2026-08-15T02:25:20Z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
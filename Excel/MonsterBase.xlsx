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<sst xmlns="http://schemas.openxmlformats.org/spreadsheetml/2006/main" count="1415" uniqueCount="1129">
  <si>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</si>
  <si>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</si>
  <si>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</si>
  <si>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</si>
  <si>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</si>
  <si>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</si>
  <si>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</si>
  <si>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</si>
  <si>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</si>
  <si>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</si>
  <si>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</si>
  <si>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</si>
  <si>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</si>
  <si>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</si>
  <si>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</si>
  <si>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</si>
  <si>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</si>
  <si>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</si>
  <si>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</si>
  <si>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</si>
  <si>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</si>
  <si>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</si>
  <si>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</si>
  <si>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</si>
  <si>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</si>
  <si>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</si>
  <si>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</si>
  <si>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</si>
  <si>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</si>
  <si>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</si>
  <si>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</si>
  <si>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</si>
  <si>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</si>
  <si>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</si>
  <si>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</si>
  <si>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</si>
  <si>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</si>
  <si>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</si>
  <si>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</si>
  <si>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</si>
  <si>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</si>
  <si>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</si>
  <si>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</si>
  <si>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</si>
  <si>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</si>
  <si>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</si>
  <si>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</si>
  <si>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</si>
  <si>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</si>
  <si>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</si>
  <si>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</si>
  <si>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</si>
  <si>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</si>
  <si>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</si>
  <si>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</si>
  <si>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</si>
  <si>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</si>
  <si>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</si>
  <si>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</si>
  <si>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</si>
  <si>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</si>
  <si>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</si>
  <si>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</si>
  <si>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</si>
  <si>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</si>
  <si>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</si>
  <si>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</si>
  <si>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</si>
  <si>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</si>
  <si>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</si>
  <si>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</si>
  <si>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</si>
  <si>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</si>
  <si>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</si>
  <si>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</si>
  <si>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</si>
  <si>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</si>
  <si>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</si>
  <si>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</si>
  <si>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</si>
  <si>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</si>
  <si>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</si>
  <si>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</si>
  <si>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</si>
  <si>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</si>
  <si>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</si>
  <si>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</si>
  <si>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</si>
  <si>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</si>
  <si>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</si>
  <si>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</si>
  <si>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</si>
  <si>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</si>
  <si>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</si>
  <si>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</si>
  <si>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</si>
  <si>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</si>
  <si>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</si>
  <si>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</si>
  <si>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</si>
  <si>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</si>
  <si>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</si>
  <si>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</si>
  <si>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</si>
  <si>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</si>
  <si>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</si>
  <si>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</si>
  <si>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</si>
  <si>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</si>
  <si>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</si>
  <si>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</si>
  <si>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</si>
  <si>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</si>
  <si>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</si>
  <si>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</si>
  <si>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</si>
  <si>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</si>
  <si>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</si>
  <si>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</si>
  <si>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</si>
  <si>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</si>
  <si>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</si>
  <si>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</si>
  <si>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</si>
  <si>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</si>
  <si>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</si>
  <si>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</si>
  <si>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</si>
  <si>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</si>
  <si>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</si>
  <si>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</si>
  <si>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</si>
  <si>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</si>
  <si>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</si>
  <si>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</si>
  <si>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</si>
  <si>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</si>
  <si>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</si>
  <si>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</si>
  <si>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</si>
  <si>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</si>
  <si>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</si>
  <si>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</si>
  <si>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</si>
  <si>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</si>
  <si>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</si>
  <si>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</si>
  <si>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</si>
  <si>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</si>
  <si>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</si>
  <si>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</si>
  <si>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</si>
  <si>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</si>
  <si>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</si>
  <si>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</si>
  <si>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</si>
  <si>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</si>
  <si>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</si>
  <si>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</si>
  <si>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</si>
  <si>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</si>
  <si>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</si>
  <si>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</si>
  <si>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</si>
  <si>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</si>
  <si>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</si>
  <si>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</si>
  <si>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</si>
  <si>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</si>
  <si>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</si>
  <si>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</si>
  <si>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</si>
  <si>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</si>
  <si>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</si>
  <si>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</si>
  <si>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</si>
  <si>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</si>
  <si>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</si>
  <si>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</si>
  <si>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</si>
  <si>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</si>
  <si>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</si>
  <si>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</si>
  <si>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</si>
  <si>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</si>
  <si>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</si>
  <si>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</si>
  <si>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</si>
  <si>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</si>
  <si>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</si>
  <si>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</si>
  <si>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</si>
  <si>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</si>
  <si>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</si>
  <si>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</si>
  <si>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</si>
  <si>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</si>
  <si>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</si>
  <si>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</si>
  <si>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</si>
  <si>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</si>
  <si>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</si>
  <si>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</si>
  <si>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</si>
  <si>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</si>
  <si>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</si>
  <si>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</si>
  <si>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</si>
  <si>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</si>
  <si>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</si>
  <si>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</si>
  <si>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</si>
  <si>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</si>
  <si>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</si>
  <si>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</si>
  <si>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</si>
  <si>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</si>
  <si>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</si>
  <si>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</si>
  <si>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</si>
  <si>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</si>
  <si>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</si>
  <si>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</si>
  <si>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</si>
  <si>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</si>
  <si>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</si>
  <si>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</si>
  <si>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</si>
  <si>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</si>
  <si>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</si>
  <si>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</si>
  <si>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</si>
  <si>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</si>
  <si>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</si>
  <si>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</si>
  <si>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</si>
  <si>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</si>
  <si>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</si>
  <si>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</si>
  <si>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</si>
  <si>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</si>
  <si>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</si>
  <si>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</si>
  <si>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</si>
  <si>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</si>
  <si>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</si>
  <si>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</si>
  <si>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</si>
  <si>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</si>
  <si>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</si>
  <si>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</si>
  <si>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</si>
  <si>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</si>
  <si>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</si>
  <si>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</si>
  <si>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</si>
  <si>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</si>
  <si>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</si>
  <si>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</si>
  <si>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</si>
  <si>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</si>
  <si>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</si>
  <si>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</si>
  <si>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</si>
  <si>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</si>
  <si>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</si>
  <si>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</si>
  <si>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</si>
  <si>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</si>
  <si>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</si>
  <si>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</si>
  <si>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</si>
  <si>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</si>
  <si>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</si>
  <si>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</si>
  <si>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</si>
  <si>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</si>
  <si>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</si>
  <si>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</si>
  <si>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</si>
  <si>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</si>
  <si>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</si>
  <si>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</si>
  <si>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</si>
  <si>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</si>
  <si>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</si>
  <si>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</si>
  <si>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</si>
  <si>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</si>
  <si>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</si>
  <si>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</si>
  <si>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</si>
  <si>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</si>
  <si>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</si>
  <si>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</si>
  <si>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</si>
  <si>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</si>
  <si>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</si>
  <si>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</si>
  <si>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</si>
  <si>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</si>
  <si>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</si>
  <si>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</si>
  <si>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</si>
  <si>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</si>
  <si>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</si>
  <si>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</si>
  <si>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</si>
  <si>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</si>
  <si>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</si>
  <si>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</si>
  <si>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</si>
  <si>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</si>
  <si>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</si>
  <si>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</si>
  <si>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</si>
  <si>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</si>
  <si>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</si>
  <si>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</si>
  <si>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</si>
  <si>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</si>
  <si>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</si>
  <si>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</si>
  <si>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</si>
  <si>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</si>
  <si>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</si>
  <si>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</si>
  <si>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</si>
  <si>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</si>
  <si>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</si>
  <si>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</si>
  <si>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</si>
  <si>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</si>
  <si>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</si>
  <si>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</si>
  <si>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</si>
  <si>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</si>
  <si>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</si>
  <si>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</si>
  <si>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</si>
  <si>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</si>
  <si>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</si>
  <si>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</si>
  <si>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</si>
  <si>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</si>
  <si>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</si>
  <si>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</si>
  <si>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</si>
  <si>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</si>
  <si>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</si>
  <si>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</si>
  <si>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</si>
  <si>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</si>
  <si>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</si>
  <si>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</si>
  <si>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</si>
  <si>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</si>
  <si>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</si>
  <si>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</si>
  <si>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</si>
  <si>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</si>
  <si>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</si>
  <si>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</si>
  <si>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</si>
  <si>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</si>
  <si>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</si>
  <si>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</si>
  <si>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</si>
  <si>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</si>
  <si>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</si>
  <si>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</si>
  <si>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</si>
  <si>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</si>
  <si>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</si>
  <si>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</si>
  <si>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</si>
  <si>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</si>
  <si>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</si>
  <si>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</si>
  <si>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</si>
  <si>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</si>
  <si>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</si>
  <si>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</si>
  <si>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</si>
  <si>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</si>
  <si>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</si>
  <si>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</si>
  <si>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</si>
  <si>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</si>
  <si>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</si>
  <si>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</si>
  <si>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</si>
  <si>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</si>
  <si>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</si>
  <si>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</si>
  <si>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</si>
  <si>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</si>
  <si>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</si>
  <si>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</si>
  <si>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</si>
  <si>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</si>
  <si>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</si>
  <si>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</si>
  <si>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</si>
  <si>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</si>
  <si>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</si>
  <si>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</si>
  <si>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</si>
  <si>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</si>
  <si>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</si>
  <si>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</si>
  <si>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</si>
  <si>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</si>
  <si>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</si>
  <si>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</si>
  <si>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</si>
  <si>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</si>
  <si>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</si>
  <si>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</si>
  <si>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</si>
  <si>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</si>
  <si>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</si>
  <si>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</si>
  <si>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</si>
  <si>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</si>
  <si>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</si>
  <si>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</si>
  <si>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</si>
  <si>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</si>
  <si>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</si>
  <si>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</si>
  <si>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</si>
  <si>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</si>
  <si>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</si>
  <si>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</si>
  <si>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</si>
  <si>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</si>
  <si>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</si>
  <si>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</si>
  <si>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</si>
  <si>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</si>
  <si>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</si>
  <si>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</si>
  <si>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</si>
  <si>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</si>
  <si>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</si>
  <si>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</si>
  <si>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</si>
  <si>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</si>
  <si>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</si>
  <si>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</si>
  <si>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</si>
  <si>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</si>
  <si>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</si>
  <si>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</si>
  <si>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</si>
  <si>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</si>
  <si>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</si>
  <si>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</si>
  <si>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</si>
  <si>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</si>
  <si>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</si>
  <si>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</si>
  <si>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</si>
  <si>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</si>
  <si>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</si>
  <si>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</si>
  <si>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</si>
  <si>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</si>
  <si>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</si>
  <si>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</si>
  <si>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</si>
  <si>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</si>
  <si>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</si>
  <si>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</si>
  <si>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</si>
  <si>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</si>
  <si>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</si>
  <si>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</si>
  <si>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</si>
  <si>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</si>
  <si>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</si>
  <si>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</si>
  <si>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</si>
  <si>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</si>
  <si>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</si>
  <si>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</si>
  <si>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</si>
  <si>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</si>
  <si>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</si>
  <si>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</si>
  <si>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</si>
  <si>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</si>
  <si>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</si>
  <si>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</si>
  <si>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</si>
  <si>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</si>
  <si>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</si>
  <si>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</si>
  <si>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</si>
  <si>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</si>
  <si>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</si>
  <si>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</si>
  <si>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</si>
  <si>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</si>
  <si>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</si>
  <si>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</si>
  <si>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</si>
  <si>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</si>
  <si>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</si>
  <si>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</si>
  <si>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</si>
  <si>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</si>
  <si>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</si>
  <si>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</si>
  <si>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</si>
  <si>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</si>
  <si>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</si>
  <si>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</si>
  <si>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</si>
  <si>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</si>
  <si>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</si>
  <si>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</si>
  <si>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</si>
  <si>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</si>
  <si>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</si>
  <si>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</si>
  <si>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</si>
  <si>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</si>
  <si>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</si>
  <si>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</si>
  <si>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</si>
  <si>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</si>
  <si>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</si>
  <si>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</si>
  <si>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</si>
  <si>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</si>
  <si>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</si>
  <si>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</si>
  <si>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</si>
  <si>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</si>
  <si>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</si>
  <si>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</si>
  <si>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</si>
  <si>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</si>
  <si>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</si>
  <si>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</si>
  <si>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</si>
  <si>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</si>
  <si>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</si>
  <si>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</si>
  <si>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</si>
  <si>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</si>
  <si>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</si>
  <si>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</si>
  <si>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</si>
  <si>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</si>
  <si>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</si>
  <si>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</si>
  <si>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</si>
  <si>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</si>
  <si>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</si>
  <si>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</si>
  <si>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</si>
  <si>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</si>
  <si>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</si>
  <si>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</si>
  <si>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</si>
  <si>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</si>
  <si>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</si>
  <si>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</si>
  <si>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</si>
  <si>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</si>
  <si>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</si>
  <si>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</si>
  <si>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</si>
  <si>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</si>
  <si>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</si>
  <si>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</si>
  <si>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</si>
  <si>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</si>
  <si>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</si>
  <si>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</si>
  <si>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</si>
  <si>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</si>
  <si>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</si>
  <si>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</si>
  <si>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</si>
  <si>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</si>
  <si>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</si>
  <si>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</si>
  <si>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</si>
  <si>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</si>
  <si>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</si>
  <si>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</si>
  <si>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</si>
  <si>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</si>
  <si>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</si>
  <si>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</si>
  <si>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</si>
  <si>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</si>
  <si>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</si>
  <si>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</si>
  <si>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</si>
  <si>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</si>
  <si>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</si>
  <si>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</si>
  <si>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</si>
  <si>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</si>
  <si>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</si>
  <si>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</si>
  <si>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</si>
  <si>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</si>
  <si>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</si>
  <si>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</si>
  <si>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</si>
  <si>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</si>
  <si>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</si>
  <si>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</si>
  <si>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</si>
  <si>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</si>
  <si>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</si>
  <si>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</si>
  <si>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</si>
  <si>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</si>
  <si>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</si>
  <si>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</si>
  <si>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</si>
  <si>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</si>
  <si>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</si>
  <si>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</si>
  <si>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</si>
  <si>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</si>
  <si>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</si>
  <si>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</si>
  <si>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</si>
  <si>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</si>
  <si>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</si>
  <si>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</si>
  <si>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</si>
  <si>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</si>
  <si>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</si>
  <si>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</si>
  <si>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</si>
  <si>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</si>
  <si>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</si>
  <si>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</si>
  <si>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</si>
  <si>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</si>
  <si>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</si>
  <si>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</si>
  <si>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</si>
  <si>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</si>
  <si>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</si>
  <si>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</si>
  <si>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</si>
  <si>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</si>
  <si>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</si>
  <si>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</si>
  <si>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</si>
  <si>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</si>
  <si>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</si>
  <si>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</si>
  <si>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</si>
  <si>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</si>
  <si>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</si>
  <si>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</si>
  <si>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</si>
  <si>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</si>
  <si>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</si>
  <si>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</si>
  <si>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</si>
  <si>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</si>
  <si>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</si>
  <si>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</si>
  <si>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</si>
  <si>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</si>
  <si>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</si>
  <si>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</si>
  <si>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</si>
  <si>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</si>
  <si>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</si>
  <si>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</si>
  <si>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</si>
  <si>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</si>
  <si>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</si>
  <si>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</si>
  <si>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</si>
  <si>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</si>
  <si>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</si>
  <si>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</si>
  <si>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</si>
  <si>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</si>
  <si>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</si>
  <si>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</si>
  <si>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</si>
  <si>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</si>
  <si>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</si>
  <si>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</si>
  <si>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</si>
  <si>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</si>
  <si>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</si>
  <si>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</si>
  <si>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</si>
  <si>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</si>
  <si>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</si>
  <si>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</si>
  <si>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</si>
  <si>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</si>
  <si>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</si>
  <si>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</si>
  <si>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</si>
  <si>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</si>
  <si>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</si>
  <si>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</si>
  <si>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</si>
  <si>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</si>
  <si>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</si>
  <si>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</si>
  <si>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</si>
  <si>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</si>
  <si>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</si>
  <si>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</si>
  <si>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</si>
  <si>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</si>
  <si>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</si>
  <si>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</si>
  <si>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</si>
  <si>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</si>
  <si>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</si>
  <si>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</si>
  <si>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</si>
  <si>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</si>
  <si>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</si>
  <si>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</si>
  <si>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</si>
  <si>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</si>
  <si>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</si>
  <si>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</si>
  <si>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</si>
  <si>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</si>
  <si>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</si>
  <si>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</si>
  <si>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</si>
  <si>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</si>
  <si>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</si>
  <si>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</si>
  <si>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</si>
  <si>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</si>
  <si>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</si>
  <si>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</si>
  <si>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</si>
  <si>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</si>
  <si>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</si>
  <si>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</si>
  <si>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</si>
  <si>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</si>
  <si>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</si>
  <si>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</si>
  <si>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</si>
  <si>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</si>
  <si>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</si>
  <si>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</si>
  <si>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</si>
  <si>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</si>
  <si>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</si>
  <si>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</si>
  <si>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</si>
  <si>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</si>
  <si>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</si>
  <si>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</si>
  <si>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</si>
  <si>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</si>
  <si>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</si>
  <si>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</si>
  <si>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</si>
  <si>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</si>
  <si>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</si>
  <si>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</si>
  <si>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</si>
  <si>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</si>
  <si>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</si>
  <si>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</si>
  <si>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</si>
  <si>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</si>
  <si>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</si>
  <si>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</si>
  <si>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</si>
  <si>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</si>
  <si>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</si>
  <si>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</si>
  <si>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</si>
  <si>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</si>
  <si>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</si>
  <si>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</si>
  <si>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</si>
  <si>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</si>
  <si>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</si>
  <si>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</si>
  <si>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</si>
  <si>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</si>
  <si>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</si>
  <si>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</si>
  <si>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</si>
  <si>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</si>
  <si>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</si>
  <si>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</si>
  <si>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</si>
  <si>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</si>
  <si>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</si>
  <si>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</si>
  <si>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</si>
  <si>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</si>
  <si>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</si>
  <si>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</si>
  <si>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</si>
  <si>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</si>
  <si>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</si>
  <si>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</si>
  <si>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</si>
  <si>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</si>
  <si>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</si>
  <si>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</si>
  <si>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</si>
  <si>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</si>
  <si>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</si>
  <si>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</si>
  <si>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</si>
  <si>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</si>
  <si>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</si>
  <si>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</si>
  <si>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</si>
  <si>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</si>
  <si>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</si>
  <si>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</si>
  <si>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</si>
  <si>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</si>
  <si>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</si>
  <si>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</si>
  <si>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</si>
  <si>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</si>
  <si>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</si>
  <si>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</si>
  <si>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</si>
  <si>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</si>
  <si>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</si>
  <si>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</si>
  <si>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</si>
  <si>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</si>
  <si>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</si>
  <si>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</si>
  <si>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</si>
  <si>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</si>
  <si>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</si>
  <si>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</si>
  <si>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</si>
  <si>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</si>
  <si>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</si>
  <si>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</si>
  <si>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</si>
  <si>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</si>
  <si>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</si>
  <si>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</si>
  <si>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</si>
  <si>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</si>
  <si>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</si>
  <si>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</si>
  <si>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</si>
  <si>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</si>
  <si>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</si>
  <si>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</si>
  <si>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</si>
  <si>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</si>
  <si>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</si>
  <si>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</si>
  <si>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</si>
  <si>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</si>
  <si>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</si>
  <si>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</si>
  <si>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</si>
  <si>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</si>
  <si>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</si>
  <si>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</si>
  <si>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</si>
  <si>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</si>
  <si>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</si>
  <si>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</si>
  <si>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</si>
  <si>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</si>
  <si>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</si>
  <si>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</si>
  <si>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</si>
  <si>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</si>
  <si>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</si>
  <si>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</si>
  <si>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</si>
  <si>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</si>
  <si>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</si>
  <si>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</si>
  <si>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</si>
  <si>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</si>
  <si>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</si>
  <si>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</si>
  <si>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</si>
  <si>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</si>
  <si>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</si>
  <si>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</si>
  <si>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</si>
  <si>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</si>
  <si>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</si>
  <si>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</si>
  <si>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</si>
  <si>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</si>
  <si>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</si>
  <si>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</si>
  <si>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9000000000000000000000000000000000000000000000000000000000000000000000</t>
  </si>
  <si>
    <t>1600000000000000000000000000000000000000000000000000000000000000000000000000000000000000000</t>
  </si>
  <si>
    <t>30000000000</t>
  </si>
  <si>
    <t>10141</t>
  </si>
  <si>
    <t>1140</t>
  </si>
  <si>
    <t>深渊鸡</t>
  </si>
  <si>
    <t>1000恒</t>
  </si>
  <si>
    <t>900僧</t>
  </si>
  <si>
    <t>3200不</t>
  </si>
  <si>
    <t>1垓</t>
  </si>
  <si>
    <t>33000000000</t>
  </si>
  <si>
    <t>10142</t>
  </si>
  <si>
    <t>1141</t>
  </si>
  <si>
    <t>深渊鹿</t>
  </si>
  <si>
    <t>4000恒</t>
  </si>
  <si>
    <t>9000僧</t>
  </si>
  <si>
    <t>64000不</t>
  </si>
  <si>
    <t>5垓</t>
  </si>
  <si>
    <t>36000000000</t>
  </si>
  <si>
    <t>10143</t>
  </si>
  <si>
    <t>1142</t>
  </si>
  <si>
    <t>深渊草人</t>
  </si>
  <si>
    <t>16000恒</t>
  </si>
  <si>
    <t>9祇</t>
  </si>
  <si>
    <t>128可</t>
  </si>
  <si>
    <t>25垓</t>
  </si>
  <si>
    <t>39000000000</t>
  </si>
  <si>
    <t>10144</t>
  </si>
  <si>
    <t>1143</t>
  </si>
  <si>
    <t>深渊猫</t>
  </si>
  <si>
    <t>64000恒</t>
  </si>
  <si>
    <t>90祇</t>
  </si>
  <si>
    <t>2560可</t>
  </si>
  <si>
    <t>125垓</t>
  </si>
  <si>
    <t>42000000000</t>
  </si>
  <si>
    <t>10145</t>
  </si>
  <si>
    <t>1144</t>
  </si>
  <si>
    <t>深渊花</t>
  </si>
  <si>
    <t>24河</t>
  </si>
  <si>
    <t>900祇</t>
  </si>
  <si>
    <t>5思</t>
  </si>
  <si>
    <t>625垓</t>
  </si>
  <si>
    <t>45000000000</t>
  </si>
  <si>
    <t>10146</t>
  </si>
  <si>
    <t>1145</t>
  </si>
  <si>
    <t>深渊雪人</t>
  </si>
  <si>
    <t>96河</t>
  </si>
  <si>
    <t>9000祇</t>
  </si>
  <si>
    <t>100思</t>
  </si>
  <si>
    <t>2500垓</t>
  </si>
  <si>
    <t>48000000000</t>
  </si>
  <si>
    <t>10147</t>
  </si>
  <si>
    <t>1146</t>
  </si>
  <si>
    <t>深渊蝙蝠</t>
  </si>
  <si>
    <t>9那</t>
  </si>
  <si>
    <t>2000思</t>
  </si>
  <si>
    <t>51000000000</t>
  </si>
  <si>
    <t>10148</t>
  </si>
  <si>
    <t>1147</t>
  </si>
  <si>
    <t>深渊骷髅</t>
  </si>
  <si>
    <t>90那</t>
  </si>
  <si>
    <t>4议</t>
  </si>
  <si>
    <t>54000000000</t>
  </si>
  <si>
    <t>10149</t>
  </si>
  <si>
    <t>1148</t>
  </si>
  <si>
    <t>深渊僵尸</t>
  </si>
  <si>
    <t>900那</t>
  </si>
  <si>
    <t>80议</t>
  </si>
  <si>
    <t>57000000000</t>
  </si>
  <si>
    <t>10150</t>
  </si>
  <si>
    <t>1149</t>
  </si>
  <si>
    <t>深渊毒蛇</t>
  </si>
  <si>
    <t>9000那</t>
  </si>
  <si>
    <t>1600议</t>
  </si>
  <si>
    <t>60000000000</t>
  </si>
  <si>
    <t>10151</t>
  </si>
  <si>
    <t>1150</t>
  </si>
  <si>
    <t>深渊野狼</t>
  </si>
  <si>
    <t>9由</t>
  </si>
  <si>
    <t>32000无</t>
  </si>
  <si>
    <t>1亿</t>
  </si>
  <si>
    <t>10152</t>
  </si>
  <si>
    <t>1151</t>
  </si>
  <si>
    <t>深渊沙虫</t>
  </si>
  <si>
    <t>90由</t>
  </si>
  <si>
    <t>64无</t>
  </si>
  <si>
    <t>5亿</t>
  </si>
  <si>
    <t>10153</t>
  </si>
  <si>
    <t>1152</t>
  </si>
  <si>
    <t>深渊小鹰</t>
  </si>
  <si>
    <t>900由</t>
  </si>
  <si>
    <t>1280无</t>
  </si>
  <si>
    <t>20亿</t>
  </si>
  <si>
    <t>10154</t>
  </si>
  <si>
    <t>1153</t>
  </si>
  <si>
    <t>深渊角虫</t>
  </si>
  <si>
    <t>9000由</t>
  </si>
  <si>
    <t>51200无</t>
  </si>
  <si>
    <t>100亿</t>
  </si>
  <si>
    <t>10155</t>
  </si>
  <si>
    <t>1154</t>
  </si>
  <si>
    <t>深渊蜈蚣</t>
  </si>
  <si>
    <t>9他</t>
  </si>
  <si>
    <t>10量</t>
  </si>
  <si>
    <t>500亿</t>
  </si>
  <si>
    <t>10156</t>
  </si>
  <si>
    <t>1155</t>
  </si>
  <si>
    <t>深渊钳虫</t>
  </si>
  <si>
    <t>90他</t>
  </si>
  <si>
    <t>200量</t>
  </si>
  <si>
    <t>2500亿</t>
  </si>
  <si>
    <t>10157</t>
  </si>
  <si>
    <t>1156</t>
  </si>
  <si>
    <t>深渊蠕虫</t>
  </si>
  <si>
    <t>900他</t>
  </si>
  <si>
    <t>4000量</t>
  </si>
  <si>
    <t>12500亿</t>
  </si>
  <si>
    <t>10158</t>
  </si>
  <si>
    <t>1157</t>
  </si>
  <si>
    <t>深渊黑猪</t>
  </si>
  <si>
    <t>9000他</t>
  </si>
  <si>
    <t>8大</t>
  </si>
  <si>
    <t>62500亿</t>
  </si>
  <si>
    <t>10159</t>
  </si>
  <si>
    <t>1158</t>
  </si>
  <si>
    <t>深渊红猪</t>
  </si>
  <si>
    <t>9不</t>
  </si>
  <si>
    <t>160大</t>
  </si>
  <si>
    <t>32兆</t>
  </si>
  <si>
    <t>10160</t>
  </si>
  <si>
    <t>1159</t>
  </si>
  <si>
    <t>深渊蝎蛇</t>
  </si>
  <si>
    <t>90不</t>
  </si>
  <si>
    <t>3200大</t>
  </si>
  <si>
    <t>160兆</t>
  </si>
  <si>
    <t>10161</t>
  </si>
  <si>
    <t>1160</t>
  </si>
  <si>
    <t>深渊恶魔</t>
  </si>
  <si>
    <t>900不</t>
  </si>
  <si>
    <t>64000大</t>
  </si>
  <si>
    <t>800兆</t>
  </si>
  <si>
    <t>10162</t>
  </si>
  <si>
    <t>1161</t>
  </si>
  <si>
    <t>深渊勇士</t>
  </si>
  <si>
    <t>9000不</t>
  </si>
  <si>
    <t>128数</t>
  </si>
  <si>
    <t>4000兆</t>
  </si>
  <si>
    <t>10163</t>
  </si>
  <si>
    <t>1162</t>
  </si>
  <si>
    <t>深渊雕像</t>
  </si>
  <si>
    <t>9可</t>
  </si>
  <si>
    <t>2560数</t>
  </si>
  <si>
    <t>2京</t>
  </si>
  <si>
    <t>10164</t>
  </si>
  <si>
    <t>1163</t>
  </si>
  <si>
    <t>深渊卫士</t>
  </si>
  <si>
    <t>90可</t>
  </si>
  <si>
    <t>5120数</t>
  </si>
  <si>
    <t>10京</t>
  </si>
  <si>
    <t>10165</t>
  </si>
  <si>
    <t>1164</t>
  </si>
  <si>
    <t>深渊魔猪</t>
  </si>
  <si>
    <t>900可</t>
  </si>
  <si>
    <t>50京</t>
  </si>
  <si>
    <t>10166</t>
  </si>
  <si>
    <t>1165</t>
  </si>
  <si>
    <t>深渊树妖</t>
  </si>
  <si>
    <t>9000可</t>
  </si>
  <si>
    <t>250京</t>
  </si>
  <si>
    <t>10167</t>
  </si>
  <si>
    <t>1166</t>
  </si>
  <si>
    <t>深渊侍卫</t>
  </si>
  <si>
    <t>9思</t>
  </si>
  <si>
    <t>1250京</t>
  </si>
  <si>
    <t>10168</t>
  </si>
  <si>
    <t>1167</t>
  </si>
  <si>
    <t>深渊剧毒</t>
  </si>
  <si>
    <t>90思</t>
  </si>
  <si>
    <t>6250京</t>
  </si>
  <si>
    <t>10169</t>
  </si>
  <si>
    <t>1168</t>
  </si>
  <si>
    <t>深渊锤兵</t>
  </si>
  <si>
    <t>900思</t>
  </si>
  <si>
    <t>3垓</t>
  </si>
  <si>
    <t>10170</t>
  </si>
  <si>
    <t>1169</t>
  </si>
  <si>
    <t>深渊魔牛</t>
  </si>
  <si>
    <t>9000思</t>
  </si>
  <si>
    <t>15垓</t>
  </si>
  <si>
    <t>10171</t>
  </si>
  <si>
    <t>1170</t>
  </si>
  <si>
    <t>深渊水龙</t>
  </si>
  <si>
    <t>9议</t>
  </si>
  <si>
    <t>75垓</t>
  </si>
  <si>
    <t>10172</t>
  </si>
  <si>
    <t>1171</t>
  </si>
  <si>
    <t>深渊土龙</t>
  </si>
  <si>
    <t>90议</t>
  </si>
  <si>
    <t>375垓</t>
  </si>
  <si>
    <t>10173</t>
  </si>
  <si>
    <t>1172</t>
  </si>
  <si>
    <t>深渊毒龙</t>
  </si>
  <si>
    <t>900议</t>
  </si>
  <si>
    <t>2000垓</t>
  </si>
  <si>
    <t>10174</t>
  </si>
  <si>
    <t>1173</t>
  </si>
  <si>
    <t>深渊火龙</t>
  </si>
  <si>
    <t>9000议</t>
  </si>
  <si>
    <t>1秭</t>
  </si>
  <si>
    <t>10175</t>
  </si>
  <si>
    <t>1174</t>
  </si>
  <si>
    <t>深渊冰龙</t>
  </si>
  <si>
    <t>9无</t>
  </si>
  <si>
    <t>5秭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</si>
</sst>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2" borderId="0" xfId="0" applyNumberFormat="1" applyFont="1" applyFill="1"/>
    <xf numFmtId="0" fontId="1" fillId="2" borderId="0" xfId="0" applyFont="1" applyFill="1"/>
    <xf numFmtId="176" fontId="1" fillId="0" borderId="0" xfId="0" applyNumberFormat="1" applyFont="1"/>
    <xf numFmtId="49" fontId="1" fillId="2" borderId="0" xfId="0" applyNumberFormat="1" applyFont="1" applyFill="1"/>
    <xf numFmtId="49" fontId="1" fillId="0" borderId="0" xfId="0" applyNumberFormat="1" applyFont="1"/>
    <xf numFmtId="0" fontId="1" fillId="0" borderId="0" xfId="0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topLeftCell="A138" workbookViewId="0">
      <selection activeCell="G156" sqref="G156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" style="2" customWidth="1"/>
    <col min="8" max="8" width="24.6666666666667" style="2" customWidth="1"/>
    <col min="9" max="9" width="21.75" style="2" customWidth="1"/>
    <col min="10" max="11" width="11.75" style="2" customWidth="1"/>
    <col min="12" max="12" width="12.75" style="2" customWidth="1"/>
    <col min="13" max="13" width="9.375" style="2" customWidth="1"/>
    <col min="14" max="14" width="9.125" style="2" customWidth="1"/>
    <col min="15" max="15" width="8.75" style="2" customWidth="1"/>
    <col min="16" max="16" width="9.875" style="2" customWidth="1"/>
    <col min="17" max="17" width="7.5" style="2" customWidth="1"/>
    <col min="18" max="18" width="7.125" style="2" customWidth="1"/>
    <col min="19" max="19" width="16.375" style="2" customWidth="1"/>
    <col min="20" max="20" width="13" style="2" customWidth="1"/>
    <col min="21" max="21" width="11.125" style="1"/>
    <col min="22" max="22" width="9" style="1"/>
    <col min="23" max="23" width="13.625" style="2" customWidth="1"/>
    <col min="24" max="24" width="8.125" style="2" customWidth="1"/>
    <col min="25" max="25" width="9.625" style="2" customWidth="1"/>
    <col min="26" max="16384" width="9" style="2"/>
  </cols>
  <sheetData>
    <row r="1" s="1" customFormat="1" customHeight="1" spans="1:25">
      <c r="A1" s="2"/>
      <c r="B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W1" s="2"/>
      <c r="X1" s="2"/>
      <c r="Y1" s="2"/>
    </row>
    <row r="2" s="1" customFormat="1" customHeight="1" spans="1:25">
      <c r="A2" s="2"/>
      <c r="B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W2" s="2"/>
      <c r="X2" s="2"/>
      <c r="Y2" s="2"/>
    </row>
    <row r="3" s="1" customFormat="1" customHeight="1" spans="1:25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W3" s="2"/>
      <c r="X3" s="2"/>
      <c r="Y3" s="2"/>
    </row>
    <row r="4" s="1" customFormat="1" customHeight="1" spans="1:25">
      <c r="A4" s="2"/>
      <c r="B4" s="2"/>
      <c r="C4" s="3" t="s">
        <v>18</v>
      </c>
      <c r="D4" s="3" t="s">
        <v>19</v>
      </c>
      <c r="E4" s="3" t="s">
        <v>2</v>
      </c>
      <c r="F4" s="3" t="s">
        <v>20</v>
      </c>
      <c r="G4" s="3" t="s">
        <v>21</v>
      </c>
      <c r="H4" s="3" t="s">
        <v>22</v>
      </c>
      <c r="I4" s="3" t="s">
        <v>23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  <c r="R4" s="3" t="s">
        <v>15</v>
      </c>
      <c r="S4" s="3" t="s">
        <v>24</v>
      </c>
      <c r="T4" s="3" t="s">
        <v>25</v>
      </c>
      <c r="W4" s="2"/>
      <c r="X4" s="2"/>
      <c r="Y4" s="2"/>
    </row>
    <row r="5" s="1" customFormat="1" customHeight="1" spans="1:25">
      <c r="A5" s="2"/>
      <c r="B5" s="2"/>
      <c r="C5" s="3" t="s">
        <v>26</v>
      </c>
      <c r="D5" s="3" t="s">
        <v>26</v>
      </c>
      <c r="E5" s="3" t="s">
        <v>26</v>
      </c>
      <c r="F5" s="3" t="s">
        <v>27</v>
      </c>
      <c r="G5" s="3" t="s">
        <v>27</v>
      </c>
      <c r="H5" s="3" t="s">
        <v>27</v>
      </c>
      <c r="I5" s="3" t="s">
        <v>27</v>
      </c>
      <c r="J5" s="3" t="s">
        <v>27</v>
      </c>
      <c r="K5" s="3" t="s">
        <v>27</v>
      </c>
      <c r="L5" s="3" t="s">
        <v>26</v>
      </c>
      <c r="M5" s="3" t="s">
        <v>26</v>
      </c>
      <c r="N5" s="3" t="s">
        <v>26</v>
      </c>
      <c r="O5" s="3" t="s">
        <v>26</v>
      </c>
      <c r="P5" s="3" t="s">
        <v>26</v>
      </c>
      <c r="Q5" s="3" t="s">
        <v>26</v>
      </c>
      <c r="R5" s="3" t="s">
        <v>28</v>
      </c>
      <c r="S5" s="3" t="s">
        <v>29</v>
      </c>
      <c r="T5" s="3" t="s">
        <v>29</v>
      </c>
      <c r="W5" s="2"/>
      <c r="X5" s="2"/>
      <c r="Y5" s="2"/>
    </row>
    <row r="6" ht="14" spans="3:20">
      <c r="C6" s="1" t="s">
        <v>30</v>
      </c>
      <c r="D6" s="1" t="s">
        <v>31</v>
      </c>
      <c r="E6" s="1">
        <v>1</v>
      </c>
      <c r="F6" s="1" t="s">
        <v>32</v>
      </c>
      <c r="G6" s="10" t="s">
        <v>33</v>
      </c>
      <c r="H6" s="10" t="s">
        <v>34</v>
      </c>
      <c r="I6" s="10" t="s">
        <v>35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4">
        <v>0</v>
      </c>
      <c r="Q6" s="4">
        <v>0</v>
      </c>
      <c r="R6" s="4">
        <v>0</v>
      </c>
      <c r="S6" s="1" t="s">
        <v>36</v>
      </c>
      <c r="T6" s="1" t="s">
        <v>36</v>
      </c>
    </row>
    <row r="7" customHeight="1" spans="3:20">
      <c r="C7" s="1" t="s">
        <v>37</v>
      </c>
      <c r="D7" s="1" t="s">
        <v>38</v>
      </c>
      <c r="E7" s="1">
        <v>1</v>
      </c>
      <c r="F7" s="1" t="s">
        <v>39</v>
      </c>
      <c r="G7" s="1" t="s">
        <v>35</v>
      </c>
      <c r="H7" s="1" t="s">
        <v>36</v>
      </c>
      <c r="I7" s="1" t="s">
        <v>40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4">
        <v>0</v>
      </c>
      <c r="Q7" s="4">
        <v>0</v>
      </c>
      <c r="R7" s="4">
        <v>0</v>
      </c>
      <c r="S7" s="1" t="s">
        <v>35</v>
      </c>
      <c r="T7" s="1" t="s">
        <v>35</v>
      </c>
    </row>
    <row r="8" customHeight="1" spans="3:20">
      <c r="C8" s="1" t="s">
        <v>41</v>
      </c>
      <c r="D8" s="1" t="s">
        <v>42</v>
      </c>
      <c r="E8" s="1">
        <v>1</v>
      </c>
      <c r="F8" s="1" t="s">
        <v>43</v>
      </c>
      <c r="G8" s="1" t="s">
        <v>44</v>
      </c>
      <c r="H8" s="1" t="s">
        <v>45</v>
      </c>
      <c r="I8" s="1" t="s">
        <v>46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4">
        <v>0</v>
      </c>
      <c r="Q8" s="4">
        <v>0</v>
      </c>
      <c r="R8" s="4">
        <v>0</v>
      </c>
      <c r="S8" s="1" t="s">
        <v>44</v>
      </c>
      <c r="T8" s="1" t="s">
        <v>44</v>
      </c>
    </row>
    <row r="9" customHeight="1" spans="3:20">
      <c r="C9" s="1" t="s">
        <v>47</v>
      </c>
      <c r="D9" s="1" t="s">
        <v>48</v>
      </c>
      <c r="E9" s="1">
        <v>1</v>
      </c>
      <c r="F9" s="1" t="s">
        <v>49</v>
      </c>
      <c r="G9" s="1" t="s">
        <v>40</v>
      </c>
      <c r="H9" s="1" t="s">
        <v>31</v>
      </c>
      <c r="I9" s="1" t="s">
        <v>50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4">
        <v>0</v>
      </c>
      <c r="Q9" s="4">
        <v>0</v>
      </c>
      <c r="R9" s="4">
        <v>0</v>
      </c>
      <c r="S9" s="1" t="s">
        <v>40</v>
      </c>
      <c r="T9" s="1" t="s">
        <v>40</v>
      </c>
    </row>
    <row r="10" customHeight="1" spans="3:20">
      <c r="C10" s="1" t="s">
        <v>51</v>
      </c>
      <c r="D10" s="1" t="s">
        <v>52</v>
      </c>
      <c r="E10" s="1">
        <v>1</v>
      </c>
      <c r="F10" s="1" t="s">
        <v>53</v>
      </c>
      <c r="G10" s="1" t="s">
        <v>54</v>
      </c>
      <c r="H10" s="1" t="s">
        <v>44</v>
      </c>
      <c r="I10" s="1" t="s">
        <v>55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4">
        <v>0</v>
      </c>
      <c r="Q10" s="4">
        <v>0</v>
      </c>
      <c r="R10" s="4">
        <v>0</v>
      </c>
      <c r="S10" s="1" t="s">
        <v>54</v>
      </c>
      <c r="T10" s="1" t="s">
        <v>54</v>
      </c>
    </row>
    <row r="11" customHeight="1" spans="3:20">
      <c r="C11" s="1" t="s">
        <v>56</v>
      </c>
      <c r="D11" s="1" t="s">
        <v>57</v>
      </c>
      <c r="E11" s="1">
        <v>1</v>
      </c>
      <c r="F11" s="1" t="s">
        <v>58</v>
      </c>
      <c r="G11" s="1" t="s">
        <v>59</v>
      </c>
      <c r="H11" s="1" t="s">
        <v>60</v>
      </c>
      <c r="I11" s="1" t="s">
        <v>61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4">
        <v>0</v>
      </c>
      <c r="Q11" s="4">
        <v>0</v>
      </c>
      <c r="R11" s="4">
        <v>0</v>
      </c>
      <c r="S11" s="1" t="s">
        <v>62</v>
      </c>
      <c r="T11" s="1" t="s">
        <v>62</v>
      </c>
    </row>
    <row r="12" customHeight="1" spans="3:20">
      <c r="C12" s="1" t="s">
        <v>63</v>
      </c>
      <c r="D12" s="1" t="s">
        <v>64</v>
      </c>
      <c r="E12" s="1">
        <v>1</v>
      </c>
      <c r="F12" s="1" t="s">
        <v>65</v>
      </c>
      <c r="G12" s="1" t="s">
        <v>66</v>
      </c>
      <c r="H12" s="1" t="s">
        <v>67</v>
      </c>
      <c r="I12" s="1" t="s">
        <v>68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4">
        <v>0</v>
      </c>
      <c r="Q12" s="4">
        <v>0</v>
      </c>
      <c r="R12" s="4">
        <v>0</v>
      </c>
      <c r="S12" s="1" t="s">
        <v>69</v>
      </c>
      <c r="T12" s="1" t="s">
        <v>69</v>
      </c>
    </row>
    <row r="13" customHeight="1" spans="3:20">
      <c r="C13" s="1" t="s">
        <v>70</v>
      </c>
      <c r="D13" s="1" t="s">
        <v>71</v>
      </c>
      <c r="E13" s="1">
        <v>1</v>
      </c>
      <c r="F13" s="1" t="s">
        <v>72</v>
      </c>
      <c r="G13" s="1" t="s">
        <v>73</v>
      </c>
      <c r="H13" s="1" t="s">
        <v>74</v>
      </c>
      <c r="I13" s="1" t="s">
        <v>75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4">
        <v>0</v>
      </c>
      <c r="Q13" s="4">
        <v>0</v>
      </c>
      <c r="R13" s="4">
        <v>0</v>
      </c>
      <c r="S13" s="1" t="s">
        <v>55</v>
      </c>
      <c r="T13" s="1" t="s">
        <v>55</v>
      </c>
    </row>
    <row r="14" customHeight="1" spans="3:20">
      <c r="C14" s="1" t="s">
        <v>76</v>
      </c>
      <c r="D14" s="1" t="s">
        <v>77</v>
      </c>
      <c r="E14" s="1">
        <v>1</v>
      </c>
      <c r="F14" s="1" t="s">
        <v>78</v>
      </c>
      <c r="G14" s="1" t="s">
        <v>79</v>
      </c>
      <c r="H14" s="1" t="s">
        <v>80</v>
      </c>
      <c r="I14" s="1" t="s">
        <v>81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4">
        <v>0</v>
      </c>
      <c r="Q14" s="4">
        <v>0</v>
      </c>
      <c r="R14" s="4">
        <v>0</v>
      </c>
      <c r="S14" s="1" t="s">
        <v>82</v>
      </c>
      <c r="T14" s="1" t="s">
        <v>82</v>
      </c>
    </row>
    <row r="15" customHeight="1" spans="3:20">
      <c r="C15" s="1" t="s">
        <v>83</v>
      </c>
      <c r="D15" s="1" t="s">
        <v>84</v>
      </c>
      <c r="E15" s="1">
        <v>1</v>
      </c>
      <c r="F15" s="1" t="s">
        <v>85</v>
      </c>
      <c r="G15" s="1" t="s">
        <v>86</v>
      </c>
      <c r="H15" s="1" t="s">
        <v>87</v>
      </c>
      <c r="I15" s="1" t="s">
        <v>88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4">
        <v>0</v>
      </c>
      <c r="Q15" s="4">
        <v>0</v>
      </c>
      <c r="R15" s="4">
        <v>0</v>
      </c>
      <c r="S15" s="1" t="s">
        <v>89</v>
      </c>
      <c r="T15" s="1" t="s">
        <v>89</v>
      </c>
    </row>
    <row r="16" customHeight="1" spans="3:20">
      <c r="C16" s="1" t="s">
        <v>90</v>
      </c>
      <c r="D16" s="1" t="s">
        <v>91</v>
      </c>
      <c r="E16" s="1">
        <v>1</v>
      </c>
      <c r="F16" s="1" t="s">
        <v>92</v>
      </c>
      <c r="G16" s="1" t="s">
        <v>93</v>
      </c>
      <c r="H16" s="1" t="s">
        <v>94</v>
      </c>
      <c r="I16" s="1" t="s">
        <v>95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4">
        <v>0</v>
      </c>
      <c r="Q16" s="4">
        <v>0</v>
      </c>
      <c r="R16" s="4">
        <v>0</v>
      </c>
      <c r="S16" s="1" t="s">
        <v>96</v>
      </c>
      <c r="T16" s="1" t="s">
        <v>96</v>
      </c>
    </row>
    <row r="17" customHeight="1" spans="3:20">
      <c r="C17" s="1" t="s">
        <v>97</v>
      </c>
      <c r="D17" s="1" t="s">
        <v>98</v>
      </c>
      <c r="E17" s="1">
        <v>1</v>
      </c>
      <c r="F17" s="1" t="s">
        <v>99</v>
      </c>
      <c r="G17" s="1" t="s">
        <v>100</v>
      </c>
      <c r="H17" s="1" t="s">
        <v>101</v>
      </c>
      <c r="I17" s="1" t="s">
        <v>102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4">
        <v>0</v>
      </c>
      <c r="Q17" s="4">
        <v>0</v>
      </c>
      <c r="R17" s="4">
        <v>0</v>
      </c>
      <c r="S17" s="1" t="s">
        <v>103</v>
      </c>
      <c r="T17" s="1" t="s">
        <v>103</v>
      </c>
    </row>
    <row r="18" customHeight="1" spans="3:20">
      <c r="C18" s="1" t="s">
        <v>104</v>
      </c>
      <c r="D18" s="1" t="s">
        <v>105</v>
      </c>
      <c r="E18" s="1">
        <v>1</v>
      </c>
      <c r="F18" s="1" t="s">
        <v>106</v>
      </c>
      <c r="G18" s="1" t="s">
        <v>107</v>
      </c>
      <c r="H18" s="1" t="s">
        <v>108</v>
      </c>
      <c r="I18" s="1" t="s">
        <v>109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4">
        <v>0</v>
      </c>
      <c r="Q18" s="4">
        <v>0</v>
      </c>
      <c r="R18" s="4">
        <v>0</v>
      </c>
      <c r="S18" s="1" t="s">
        <v>110</v>
      </c>
      <c r="T18" s="1" t="s">
        <v>110</v>
      </c>
    </row>
    <row r="19" customHeight="1" spans="3:20">
      <c r="C19" s="1" t="s">
        <v>111</v>
      </c>
      <c r="D19" s="1" t="s">
        <v>112</v>
      </c>
      <c r="E19" s="1">
        <v>1</v>
      </c>
      <c r="F19" s="1" t="s">
        <v>113</v>
      </c>
      <c r="G19" s="1" t="s">
        <v>114</v>
      </c>
      <c r="H19" s="1" t="s">
        <v>115</v>
      </c>
      <c r="I19" s="1" t="s">
        <v>116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4">
        <v>0</v>
      </c>
      <c r="Q19" s="4">
        <v>0</v>
      </c>
      <c r="R19" s="4">
        <v>0</v>
      </c>
      <c r="S19" s="1" t="s">
        <v>117</v>
      </c>
      <c r="T19" s="1" t="s">
        <v>117</v>
      </c>
    </row>
    <row r="20" customHeight="1" spans="3:20">
      <c r="C20" s="1" t="s">
        <v>118</v>
      </c>
      <c r="D20" s="1" t="s">
        <v>119</v>
      </c>
      <c r="E20" s="1">
        <v>1</v>
      </c>
      <c r="F20" s="1" t="s">
        <v>120</v>
      </c>
      <c r="G20" s="1" t="s">
        <v>121</v>
      </c>
      <c r="H20" s="1" t="s">
        <v>122</v>
      </c>
      <c r="I20" s="1" t="s">
        <v>123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4">
        <v>0</v>
      </c>
      <c r="Q20" s="4">
        <v>0</v>
      </c>
      <c r="R20" s="4">
        <v>0</v>
      </c>
      <c r="S20" s="1" t="s">
        <v>124</v>
      </c>
      <c r="T20" s="1" t="s">
        <v>124</v>
      </c>
    </row>
    <row r="21" customHeight="1" spans="3:20">
      <c r="C21" s="1" t="s">
        <v>125</v>
      </c>
      <c r="D21" s="1" t="s">
        <v>126</v>
      </c>
      <c r="E21" s="1">
        <v>1</v>
      </c>
      <c r="F21" s="1" t="s">
        <v>127</v>
      </c>
      <c r="G21" s="1" t="s">
        <v>128</v>
      </c>
      <c r="H21" s="1" t="s">
        <v>129</v>
      </c>
      <c r="I21" s="1" t="s">
        <v>130</v>
      </c>
      <c r="J21" s="1">
        <v>0</v>
      </c>
      <c r="K21" s="1">
        <v>0</v>
      </c>
      <c r="L21" s="1">
        <f t="shared" ref="L21:L66" si="0">(D21-1014)*3</f>
        <v>3</v>
      </c>
      <c r="M21" s="1">
        <v>0</v>
      </c>
      <c r="N21" s="1">
        <v>0</v>
      </c>
      <c r="O21" s="1">
        <v>0</v>
      </c>
      <c r="P21" s="4">
        <v>0</v>
      </c>
      <c r="Q21" s="4">
        <v>0</v>
      </c>
      <c r="R21" s="4">
        <v>0</v>
      </c>
      <c r="S21" s="1" t="s">
        <v>131</v>
      </c>
      <c r="T21" s="1" t="s">
        <v>131</v>
      </c>
    </row>
    <row r="22" customHeight="1" spans="3:20">
      <c r="C22" s="1" t="s">
        <v>132</v>
      </c>
      <c r="D22" s="1" t="s">
        <v>133</v>
      </c>
      <c r="E22" s="1">
        <v>1</v>
      </c>
      <c r="F22" s="1" t="s">
        <v>134</v>
      </c>
      <c r="G22" s="1" t="s">
        <v>135</v>
      </c>
      <c r="H22" s="1" t="s">
        <v>136</v>
      </c>
      <c r="I22" s="1" t="s">
        <v>137</v>
      </c>
      <c r="J22" s="1">
        <v>0</v>
      </c>
      <c r="K22" s="1">
        <v>0</v>
      </c>
      <c r="L22" s="1">
        <f t="shared" si="0"/>
        <v>6</v>
      </c>
      <c r="M22" s="1">
        <v>0</v>
      </c>
      <c r="N22" s="1">
        <v>0</v>
      </c>
      <c r="O22" s="1">
        <v>0</v>
      </c>
      <c r="P22" s="4">
        <v>0</v>
      </c>
      <c r="Q22" s="4">
        <v>0</v>
      </c>
      <c r="R22" s="4">
        <v>0</v>
      </c>
      <c r="S22" s="1" t="s">
        <v>138</v>
      </c>
      <c r="T22" s="1" t="s">
        <v>138</v>
      </c>
    </row>
    <row r="23" customHeight="1" spans="3:20">
      <c r="C23" s="1" t="s">
        <v>139</v>
      </c>
      <c r="D23" s="1" t="s">
        <v>140</v>
      </c>
      <c r="E23" s="1">
        <v>1</v>
      </c>
      <c r="F23" s="1" t="s">
        <v>141</v>
      </c>
      <c r="G23" s="1" t="s">
        <v>142</v>
      </c>
      <c r="H23" s="1" t="s">
        <v>143</v>
      </c>
      <c r="I23" s="1" t="s">
        <v>144</v>
      </c>
      <c r="J23" s="1">
        <v>0</v>
      </c>
      <c r="K23" s="1">
        <v>0</v>
      </c>
      <c r="L23" s="1">
        <f t="shared" si="0"/>
        <v>9</v>
      </c>
      <c r="M23" s="1">
        <v>0</v>
      </c>
      <c r="N23" s="1">
        <v>0</v>
      </c>
      <c r="O23" s="1">
        <v>0</v>
      </c>
      <c r="P23" s="4">
        <v>0</v>
      </c>
      <c r="Q23" s="4">
        <v>0</v>
      </c>
      <c r="R23" s="4">
        <v>0</v>
      </c>
      <c r="S23" s="1" t="s">
        <v>145</v>
      </c>
      <c r="T23" s="1" t="s">
        <v>145</v>
      </c>
    </row>
    <row r="24" customHeight="1" spans="3:20">
      <c r="C24" s="1" t="s">
        <v>146</v>
      </c>
      <c r="D24" s="1" t="s">
        <v>147</v>
      </c>
      <c r="E24" s="1">
        <v>1</v>
      </c>
      <c r="F24" s="1" t="s">
        <v>148</v>
      </c>
      <c r="G24" s="1" t="s">
        <v>149</v>
      </c>
      <c r="H24" s="1" t="s">
        <v>150</v>
      </c>
      <c r="I24" s="1" t="s">
        <v>151</v>
      </c>
      <c r="J24" s="1">
        <v>0</v>
      </c>
      <c r="K24" s="1">
        <v>0</v>
      </c>
      <c r="L24" s="1">
        <f t="shared" si="0"/>
        <v>12</v>
      </c>
      <c r="M24" s="1">
        <v>0</v>
      </c>
      <c r="N24" s="1">
        <v>0</v>
      </c>
      <c r="O24" s="1">
        <v>0</v>
      </c>
      <c r="P24" s="4">
        <v>0</v>
      </c>
      <c r="Q24" s="4">
        <v>0</v>
      </c>
      <c r="R24" s="4">
        <v>0</v>
      </c>
      <c r="S24" s="1" t="s">
        <v>152</v>
      </c>
      <c r="T24" s="1" t="s">
        <v>152</v>
      </c>
    </row>
    <row r="25" customHeight="1" spans="3:20">
      <c r="C25" s="1" t="s">
        <v>153</v>
      </c>
      <c r="D25" s="1" t="s">
        <v>154</v>
      </c>
      <c r="E25" s="1">
        <v>1</v>
      </c>
      <c r="F25" s="1" t="s">
        <v>155</v>
      </c>
      <c r="G25" s="1" t="s">
        <v>156</v>
      </c>
      <c r="H25" s="1" t="s">
        <v>157</v>
      </c>
      <c r="I25" s="1" t="s">
        <v>158</v>
      </c>
      <c r="J25" s="1">
        <v>0</v>
      </c>
      <c r="K25" s="1">
        <v>0</v>
      </c>
      <c r="L25" s="1">
        <f t="shared" si="0"/>
        <v>15</v>
      </c>
      <c r="M25" s="1">
        <v>0</v>
      </c>
      <c r="N25" s="1">
        <v>0</v>
      </c>
      <c r="O25" s="1">
        <v>0</v>
      </c>
      <c r="P25" s="4">
        <v>0</v>
      </c>
      <c r="Q25" s="4">
        <v>0</v>
      </c>
      <c r="R25" s="4">
        <v>0</v>
      </c>
      <c r="S25" s="1" t="s">
        <v>159</v>
      </c>
      <c r="T25" s="1" t="s">
        <v>159</v>
      </c>
    </row>
    <row r="26" customHeight="1" spans="3:20">
      <c r="C26" s="1" t="s">
        <v>160</v>
      </c>
      <c r="D26" s="1" t="s">
        <v>161</v>
      </c>
      <c r="E26" s="1">
        <v>1</v>
      </c>
      <c r="F26" s="1" t="s">
        <v>162</v>
      </c>
      <c r="G26" s="1" t="s">
        <v>163</v>
      </c>
      <c r="H26" s="1" t="s">
        <v>164</v>
      </c>
      <c r="I26" s="1" t="s">
        <v>165</v>
      </c>
      <c r="J26" s="1">
        <v>0</v>
      </c>
      <c r="K26" s="1">
        <v>0</v>
      </c>
      <c r="L26" s="1">
        <f t="shared" si="0"/>
        <v>18</v>
      </c>
      <c r="M26" s="1">
        <v>0</v>
      </c>
      <c r="N26" s="1">
        <v>0</v>
      </c>
      <c r="O26" s="1">
        <v>0</v>
      </c>
      <c r="P26" s="4">
        <v>0</v>
      </c>
      <c r="Q26" s="4">
        <v>0</v>
      </c>
      <c r="R26" s="4">
        <v>0</v>
      </c>
      <c r="S26" s="1" t="s">
        <v>166</v>
      </c>
      <c r="T26" s="1" t="s">
        <v>166</v>
      </c>
    </row>
    <row r="27" customHeight="1" spans="3:20">
      <c r="C27" s="1" t="s">
        <v>167</v>
      </c>
      <c r="D27" s="1" t="s">
        <v>168</v>
      </c>
      <c r="E27" s="1">
        <v>1</v>
      </c>
      <c r="F27" s="1" t="s">
        <v>169</v>
      </c>
      <c r="G27" s="1" t="s">
        <v>170</v>
      </c>
      <c r="H27" s="1" t="s">
        <v>171</v>
      </c>
      <c r="I27" s="1" t="s">
        <v>172</v>
      </c>
      <c r="J27" s="1">
        <v>0</v>
      </c>
      <c r="K27" s="1">
        <v>0</v>
      </c>
      <c r="L27" s="1">
        <f t="shared" si="0"/>
        <v>21</v>
      </c>
      <c r="M27" s="1">
        <v>0</v>
      </c>
      <c r="N27" s="1">
        <v>0</v>
      </c>
      <c r="O27" s="1">
        <v>0</v>
      </c>
      <c r="P27" s="4">
        <v>0</v>
      </c>
      <c r="Q27" s="4">
        <v>0</v>
      </c>
      <c r="R27" s="4">
        <v>0</v>
      </c>
      <c r="S27" s="1" t="s">
        <v>173</v>
      </c>
      <c r="T27" s="1" t="s">
        <v>173</v>
      </c>
    </row>
    <row r="28" customHeight="1" spans="3:20">
      <c r="C28" s="1" t="s">
        <v>174</v>
      </c>
      <c r="D28" s="1" t="s">
        <v>175</v>
      </c>
      <c r="E28" s="1">
        <v>1</v>
      </c>
      <c r="F28" s="1" t="s">
        <v>176</v>
      </c>
      <c r="G28" s="1" t="s">
        <v>177</v>
      </c>
      <c r="H28" s="1" t="s">
        <v>178</v>
      </c>
      <c r="I28" s="1" t="s">
        <v>179</v>
      </c>
      <c r="J28" s="1">
        <v>0</v>
      </c>
      <c r="K28" s="1">
        <v>0</v>
      </c>
      <c r="L28" s="1">
        <f t="shared" si="0"/>
        <v>24</v>
      </c>
      <c r="M28" s="1">
        <v>0</v>
      </c>
      <c r="N28" s="1">
        <v>0</v>
      </c>
      <c r="O28" s="1">
        <v>0</v>
      </c>
      <c r="P28" s="4">
        <v>0</v>
      </c>
      <c r="Q28" s="4">
        <v>0</v>
      </c>
      <c r="R28" s="4">
        <v>0</v>
      </c>
      <c r="S28" s="1" t="s">
        <v>180</v>
      </c>
      <c r="T28" s="1" t="s">
        <v>180</v>
      </c>
    </row>
    <row r="29" customHeight="1" spans="3:20">
      <c r="C29" s="1" t="s">
        <v>181</v>
      </c>
      <c r="D29" s="1" t="s">
        <v>182</v>
      </c>
      <c r="E29" s="1">
        <v>1</v>
      </c>
      <c r="F29" s="1" t="s">
        <v>183</v>
      </c>
      <c r="G29" s="1" t="s">
        <v>184</v>
      </c>
      <c r="H29" s="1" t="s">
        <v>185</v>
      </c>
      <c r="I29" s="1" t="s">
        <v>186</v>
      </c>
      <c r="J29" s="1">
        <v>0</v>
      </c>
      <c r="K29" s="1">
        <v>0</v>
      </c>
      <c r="L29" s="1">
        <f t="shared" si="0"/>
        <v>27</v>
      </c>
      <c r="M29" s="1">
        <v>0</v>
      </c>
      <c r="N29" s="1">
        <v>0</v>
      </c>
      <c r="O29" s="1">
        <v>0</v>
      </c>
      <c r="P29" s="4">
        <v>0</v>
      </c>
      <c r="Q29" s="4">
        <v>0</v>
      </c>
      <c r="R29" s="4">
        <v>0</v>
      </c>
      <c r="S29" s="1" t="s">
        <v>187</v>
      </c>
      <c r="T29" s="1" t="s">
        <v>187</v>
      </c>
    </row>
    <row r="30" customHeight="1" spans="3:20">
      <c r="C30" s="1" t="s">
        <v>188</v>
      </c>
      <c r="D30" s="1" t="s">
        <v>189</v>
      </c>
      <c r="E30" s="1">
        <v>1</v>
      </c>
      <c r="F30" s="1" t="s">
        <v>190</v>
      </c>
      <c r="G30" s="1" t="s">
        <v>191</v>
      </c>
      <c r="H30" s="1" t="s">
        <v>192</v>
      </c>
      <c r="I30" s="1" t="s">
        <v>193</v>
      </c>
      <c r="J30" s="1">
        <v>0</v>
      </c>
      <c r="K30" s="1">
        <v>0</v>
      </c>
      <c r="L30" s="1">
        <f t="shared" si="0"/>
        <v>30</v>
      </c>
      <c r="M30" s="1">
        <v>0</v>
      </c>
      <c r="N30" s="1">
        <v>0</v>
      </c>
      <c r="O30" s="1">
        <v>0</v>
      </c>
      <c r="P30" s="4">
        <v>0</v>
      </c>
      <c r="Q30" s="4">
        <v>0</v>
      </c>
      <c r="R30" s="4">
        <v>0</v>
      </c>
      <c r="S30" s="1" t="s">
        <v>194</v>
      </c>
      <c r="T30" s="1" t="s">
        <v>194</v>
      </c>
    </row>
    <row r="31" customHeight="1" spans="3:20">
      <c r="C31" s="1" t="s">
        <v>195</v>
      </c>
      <c r="D31" s="1" t="s">
        <v>196</v>
      </c>
      <c r="E31" s="1">
        <v>1</v>
      </c>
      <c r="F31" s="1" t="s">
        <v>197</v>
      </c>
      <c r="G31" s="1" t="s">
        <v>198</v>
      </c>
      <c r="H31" s="1" t="s">
        <v>199</v>
      </c>
      <c r="I31" s="1" t="s">
        <v>200</v>
      </c>
      <c r="J31" s="1">
        <v>0</v>
      </c>
      <c r="K31" s="1">
        <v>0</v>
      </c>
      <c r="L31" s="1">
        <f t="shared" si="0"/>
        <v>33</v>
      </c>
      <c r="M31" s="1">
        <v>0</v>
      </c>
      <c r="N31" s="1">
        <v>0</v>
      </c>
      <c r="O31" s="1">
        <v>0</v>
      </c>
      <c r="P31" s="4">
        <v>0</v>
      </c>
      <c r="Q31" s="4">
        <v>0</v>
      </c>
      <c r="R31" s="4">
        <v>0</v>
      </c>
      <c r="S31" s="1" t="s">
        <v>201</v>
      </c>
      <c r="T31" s="1" t="s">
        <v>201</v>
      </c>
    </row>
    <row r="32" customHeight="1" spans="3:20">
      <c r="C32" s="1" t="s">
        <v>202</v>
      </c>
      <c r="D32" s="1" t="s">
        <v>203</v>
      </c>
      <c r="E32" s="1">
        <v>1</v>
      </c>
      <c r="F32" s="1" t="s">
        <v>204</v>
      </c>
      <c r="G32" s="1" t="s">
        <v>205</v>
      </c>
      <c r="H32" s="1" t="s">
        <v>206</v>
      </c>
      <c r="I32" s="1" t="s">
        <v>207</v>
      </c>
      <c r="J32" s="1">
        <v>0</v>
      </c>
      <c r="K32" s="1">
        <v>0</v>
      </c>
      <c r="L32" s="1">
        <f t="shared" si="0"/>
        <v>36</v>
      </c>
      <c r="M32" s="1">
        <v>0</v>
      </c>
      <c r="N32" s="1">
        <v>0</v>
      </c>
      <c r="O32" s="1">
        <v>0</v>
      </c>
      <c r="P32" s="4">
        <v>0</v>
      </c>
      <c r="Q32" s="4">
        <v>0</v>
      </c>
      <c r="R32" s="4">
        <v>0</v>
      </c>
      <c r="S32" s="1" t="s">
        <v>208</v>
      </c>
      <c r="T32" s="1" t="s">
        <v>208</v>
      </c>
    </row>
    <row r="33" customHeight="1" spans="3:20">
      <c r="C33" s="1" t="s">
        <v>209</v>
      </c>
      <c r="D33" s="1" t="s">
        <v>210</v>
      </c>
      <c r="E33" s="1">
        <v>1</v>
      </c>
      <c r="F33" s="1" t="s">
        <v>211</v>
      </c>
      <c r="G33" s="1" t="s">
        <v>212</v>
      </c>
      <c r="H33" s="1" t="s">
        <v>213</v>
      </c>
      <c r="I33" s="1" t="s">
        <v>214</v>
      </c>
      <c r="J33" s="1">
        <v>0</v>
      </c>
      <c r="K33" s="1">
        <v>0</v>
      </c>
      <c r="L33" s="1">
        <f t="shared" si="0"/>
        <v>39</v>
      </c>
      <c r="M33" s="1">
        <v>0</v>
      </c>
      <c r="N33" s="1">
        <v>0</v>
      </c>
      <c r="O33" s="1">
        <v>0</v>
      </c>
      <c r="P33" s="4">
        <v>0</v>
      </c>
      <c r="Q33" s="4">
        <v>0</v>
      </c>
      <c r="R33" s="4">
        <v>0</v>
      </c>
      <c r="S33" s="1" t="s">
        <v>215</v>
      </c>
      <c r="T33" s="1" t="s">
        <v>215</v>
      </c>
    </row>
    <row r="34" customHeight="1" spans="3:20">
      <c r="C34" s="1" t="s">
        <v>216</v>
      </c>
      <c r="D34" s="1" t="s">
        <v>217</v>
      </c>
      <c r="E34" s="1">
        <v>1</v>
      </c>
      <c r="F34" s="1" t="s">
        <v>218</v>
      </c>
      <c r="G34" s="1" t="s">
        <v>219</v>
      </c>
      <c r="H34" s="1" t="s">
        <v>220</v>
      </c>
      <c r="I34" s="1" t="s">
        <v>221</v>
      </c>
      <c r="J34" s="1">
        <v>0</v>
      </c>
      <c r="K34" s="1">
        <v>0</v>
      </c>
      <c r="L34" s="1">
        <f t="shared" si="0"/>
        <v>42</v>
      </c>
      <c r="M34" s="1">
        <v>0</v>
      </c>
      <c r="N34" s="1">
        <v>0</v>
      </c>
      <c r="O34" s="1">
        <v>0</v>
      </c>
      <c r="P34" s="4">
        <v>0</v>
      </c>
      <c r="Q34" s="4">
        <v>0</v>
      </c>
      <c r="R34" s="4">
        <v>0</v>
      </c>
      <c r="S34" s="1" t="s">
        <v>222</v>
      </c>
      <c r="T34" s="1" t="s">
        <v>222</v>
      </c>
    </row>
    <row r="35" customHeight="1" spans="3:20">
      <c r="C35" s="1" t="s">
        <v>223</v>
      </c>
      <c r="D35" s="1" t="s">
        <v>224</v>
      </c>
      <c r="E35" s="1">
        <v>1</v>
      </c>
      <c r="F35" s="1" t="s">
        <v>225</v>
      </c>
      <c r="G35" s="1" t="s">
        <v>226</v>
      </c>
      <c r="H35" s="1" t="s">
        <v>227</v>
      </c>
      <c r="I35" s="1" t="s">
        <v>228</v>
      </c>
      <c r="J35" s="1">
        <v>0</v>
      </c>
      <c r="K35" s="1">
        <v>0</v>
      </c>
      <c r="L35" s="1">
        <f t="shared" si="0"/>
        <v>45</v>
      </c>
      <c r="M35" s="1">
        <v>0</v>
      </c>
      <c r="N35" s="1">
        <v>0</v>
      </c>
      <c r="O35" s="1">
        <v>0</v>
      </c>
      <c r="P35" s="4">
        <v>0</v>
      </c>
      <c r="Q35" s="4">
        <v>0</v>
      </c>
      <c r="R35" s="4">
        <v>0</v>
      </c>
      <c r="S35" s="1" t="s">
        <v>229</v>
      </c>
      <c r="T35" s="1" t="s">
        <v>229</v>
      </c>
    </row>
    <row r="36" customHeight="1" spans="3:20">
      <c r="C36" s="1" t="s">
        <v>230</v>
      </c>
      <c r="D36" s="1" t="s">
        <v>231</v>
      </c>
      <c r="E36" s="1">
        <v>1</v>
      </c>
      <c r="F36" s="1" t="s">
        <v>232</v>
      </c>
      <c r="G36" s="1" t="s">
        <v>233</v>
      </c>
      <c r="H36" s="1" t="s">
        <v>234</v>
      </c>
      <c r="I36" s="1" t="s">
        <v>235</v>
      </c>
      <c r="J36" s="1">
        <v>0</v>
      </c>
      <c r="K36" s="1">
        <v>0</v>
      </c>
      <c r="L36" s="1">
        <f t="shared" si="0"/>
        <v>48</v>
      </c>
      <c r="M36" s="1">
        <v>0</v>
      </c>
      <c r="N36" s="1">
        <v>0</v>
      </c>
      <c r="O36" s="1">
        <v>0</v>
      </c>
      <c r="P36" s="4">
        <v>0</v>
      </c>
      <c r="Q36" s="4">
        <v>0</v>
      </c>
      <c r="R36" s="4">
        <v>0</v>
      </c>
      <c r="S36" s="1" t="s">
        <v>236</v>
      </c>
      <c r="T36" s="1" t="s">
        <v>236</v>
      </c>
    </row>
    <row r="37" customHeight="1" spans="3:20">
      <c r="C37" s="1" t="s">
        <v>237</v>
      </c>
      <c r="D37" s="1" t="s">
        <v>238</v>
      </c>
      <c r="E37" s="1">
        <v>1</v>
      </c>
      <c r="F37" s="1" t="s">
        <v>239</v>
      </c>
      <c r="G37" s="1" t="s">
        <v>240</v>
      </c>
      <c r="H37" s="1" t="s">
        <v>241</v>
      </c>
      <c r="I37" s="1" t="s">
        <v>242</v>
      </c>
      <c r="J37" s="1">
        <v>0</v>
      </c>
      <c r="K37" s="1">
        <v>0</v>
      </c>
      <c r="L37" s="1">
        <f t="shared" si="0"/>
        <v>51</v>
      </c>
      <c r="M37" s="1">
        <v>0</v>
      </c>
      <c r="N37" s="1">
        <v>0</v>
      </c>
      <c r="O37" s="1">
        <v>0</v>
      </c>
      <c r="P37" s="4">
        <v>0</v>
      </c>
      <c r="Q37" s="4">
        <v>0</v>
      </c>
      <c r="R37" s="4">
        <v>0</v>
      </c>
      <c r="S37" s="1" t="s">
        <v>243</v>
      </c>
      <c r="T37" s="1" t="s">
        <v>243</v>
      </c>
    </row>
    <row r="38" customHeight="1" spans="3:20">
      <c r="C38" s="1" t="s">
        <v>244</v>
      </c>
      <c r="D38" s="1" t="s">
        <v>245</v>
      </c>
      <c r="E38" s="1">
        <v>1</v>
      </c>
      <c r="F38" s="1" t="s">
        <v>246</v>
      </c>
      <c r="G38" s="1" t="s">
        <v>247</v>
      </c>
      <c r="H38" s="1" t="s">
        <v>248</v>
      </c>
      <c r="I38" s="1" t="s">
        <v>249</v>
      </c>
      <c r="J38" s="1">
        <v>0</v>
      </c>
      <c r="K38" s="1">
        <v>0</v>
      </c>
      <c r="L38" s="1">
        <f t="shared" si="0"/>
        <v>54</v>
      </c>
      <c r="M38" s="1">
        <v>0</v>
      </c>
      <c r="N38" s="1">
        <v>0</v>
      </c>
      <c r="O38" s="1">
        <v>0</v>
      </c>
      <c r="P38" s="4">
        <v>0</v>
      </c>
      <c r="Q38" s="4">
        <v>0</v>
      </c>
      <c r="R38" s="4">
        <v>0</v>
      </c>
      <c r="S38" s="1" t="s">
        <v>250</v>
      </c>
      <c r="T38" s="1" t="s">
        <v>250</v>
      </c>
    </row>
    <row r="39" customHeight="1" spans="3:20">
      <c r="C39" s="1" t="s">
        <v>251</v>
      </c>
      <c r="D39" s="1" t="s">
        <v>252</v>
      </c>
      <c r="E39" s="1">
        <v>1</v>
      </c>
      <c r="F39" s="1" t="s">
        <v>253</v>
      </c>
      <c r="G39" s="1" t="s">
        <v>254</v>
      </c>
      <c r="H39" s="1" t="s">
        <v>255</v>
      </c>
      <c r="I39" s="1" t="s">
        <v>256</v>
      </c>
      <c r="J39" s="1">
        <v>0</v>
      </c>
      <c r="K39" s="1">
        <v>0</v>
      </c>
      <c r="L39" s="1">
        <f t="shared" si="0"/>
        <v>57</v>
      </c>
      <c r="M39" s="1">
        <v>0</v>
      </c>
      <c r="N39" s="1">
        <v>0</v>
      </c>
      <c r="O39" s="1">
        <v>0</v>
      </c>
      <c r="P39" s="4">
        <v>0</v>
      </c>
      <c r="Q39" s="4">
        <v>0</v>
      </c>
      <c r="R39" s="4">
        <v>0</v>
      </c>
      <c r="S39" s="1" t="s">
        <v>257</v>
      </c>
      <c r="T39" s="1" t="s">
        <v>257</v>
      </c>
    </row>
    <row r="40" customHeight="1" spans="3:20">
      <c r="C40" s="1" t="s">
        <v>258</v>
      </c>
      <c r="D40" s="1" t="s">
        <v>259</v>
      </c>
      <c r="E40" s="1">
        <v>1</v>
      </c>
      <c r="F40" s="1" t="s">
        <v>260</v>
      </c>
      <c r="G40" s="1" t="s">
        <v>261</v>
      </c>
      <c r="H40" s="1" t="s">
        <v>262</v>
      </c>
      <c r="I40" s="1" t="s">
        <v>263</v>
      </c>
      <c r="J40" s="1">
        <v>0</v>
      </c>
      <c r="K40" s="1">
        <v>0</v>
      </c>
      <c r="L40" s="1">
        <f t="shared" si="0"/>
        <v>60</v>
      </c>
      <c r="M40" s="1">
        <v>0</v>
      </c>
      <c r="N40" s="1">
        <v>0</v>
      </c>
      <c r="O40" s="1">
        <v>0</v>
      </c>
      <c r="P40" s="4">
        <v>0</v>
      </c>
      <c r="Q40" s="4">
        <v>0</v>
      </c>
      <c r="R40" s="4">
        <v>0</v>
      </c>
      <c r="S40" s="1" t="s">
        <v>264</v>
      </c>
      <c r="T40" s="1" t="s">
        <v>264</v>
      </c>
    </row>
    <row r="41" s="1" customFormat="1" customHeight="1" spans="1:25">
      <c r="A41" s="2"/>
      <c r="C41" s="1" t="s">
        <v>265</v>
      </c>
      <c r="D41" s="1" t="s">
        <v>266</v>
      </c>
      <c r="E41" s="1">
        <v>2</v>
      </c>
      <c r="F41" s="1" t="s">
        <v>267</v>
      </c>
      <c r="G41" s="1" t="s">
        <v>268</v>
      </c>
      <c r="H41" s="1" t="s">
        <v>269</v>
      </c>
      <c r="I41" s="1" t="s">
        <v>270</v>
      </c>
      <c r="J41" s="1">
        <v>0</v>
      </c>
      <c r="K41" s="1">
        <v>0</v>
      </c>
      <c r="L41" s="1">
        <f t="shared" si="0"/>
        <v>63</v>
      </c>
      <c r="M41" s="1">
        <v>0</v>
      </c>
      <c r="N41" s="1">
        <v>0</v>
      </c>
      <c r="O41" s="1">
        <v>0</v>
      </c>
      <c r="P41" s="4">
        <v>0</v>
      </c>
      <c r="Q41" s="4">
        <v>0</v>
      </c>
      <c r="R41" s="4">
        <v>0</v>
      </c>
      <c r="S41" s="1" t="s">
        <v>271</v>
      </c>
      <c r="T41" s="1" t="s">
        <v>271</v>
      </c>
      <c r="W41" s="2"/>
      <c r="X41" s="2"/>
      <c r="Y41" s="2"/>
    </row>
    <row r="42" s="1" customFormat="1" customHeight="1" spans="1:25">
      <c r="A42" s="2"/>
      <c r="C42" s="1" t="s">
        <v>272</v>
      </c>
      <c r="D42" s="1" t="s">
        <v>273</v>
      </c>
      <c r="E42" s="1">
        <v>2</v>
      </c>
      <c r="F42" s="1" t="s">
        <v>274</v>
      </c>
      <c r="G42" s="1" t="s">
        <v>275</v>
      </c>
      <c r="H42" s="1" t="s">
        <v>276</v>
      </c>
      <c r="I42" s="1" t="s">
        <v>277</v>
      </c>
      <c r="J42" s="1">
        <v>0</v>
      </c>
      <c r="K42" s="1">
        <v>0</v>
      </c>
      <c r="L42" s="1">
        <f t="shared" si="0"/>
        <v>66</v>
      </c>
      <c r="M42" s="1">
        <v>0</v>
      </c>
      <c r="N42" s="1">
        <v>0</v>
      </c>
      <c r="O42" s="1">
        <v>0</v>
      </c>
      <c r="P42" s="4">
        <v>0</v>
      </c>
      <c r="Q42" s="4">
        <v>0</v>
      </c>
      <c r="R42" s="4">
        <v>0</v>
      </c>
      <c r="S42" s="1" t="s">
        <v>278</v>
      </c>
      <c r="T42" s="1" t="s">
        <v>278</v>
      </c>
      <c r="W42" s="2"/>
      <c r="X42" s="2"/>
      <c r="Y42" s="2"/>
    </row>
    <row r="43" s="1" customFormat="1" customHeight="1" spans="1:25">
      <c r="A43" s="2"/>
      <c r="C43" s="1" t="s">
        <v>279</v>
      </c>
      <c r="D43" s="1" t="s">
        <v>280</v>
      </c>
      <c r="E43" s="1">
        <v>2</v>
      </c>
      <c r="F43" s="1" t="s">
        <v>281</v>
      </c>
      <c r="G43" s="1" t="s">
        <v>282</v>
      </c>
      <c r="H43" s="1" t="s">
        <v>283</v>
      </c>
      <c r="I43" s="1" t="s">
        <v>284</v>
      </c>
      <c r="J43" s="1">
        <v>0</v>
      </c>
      <c r="K43" s="1">
        <v>0</v>
      </c>
      <c r="L43" s="1">
        <f t="shared" si="0"/>
        <v>69</v>
      </c>
      <c r="M43" s="1">
        <v>0</v>
      </c>
      <c r="N43" s="1">
        <v>0</v>
      </c>
      <c r="O43" s="1">
        <v>0</v>
      </c>
      <c r="P43" s="4">
        <v>0</v>
      </c>
      <c r="Q43" s="4">
        <v>0</v>
      </c>
      <c r="R43" s="4">
        <v>0</v>
      </c>
      <c r="S43" s="1" t="s">
        <v>285</v>
      </c>
      <c r="T43" s="1" t="s">
        <v>285</v>
      </c>
      <c r="W43" s="2"/>
      <c r="X43" s="2"/>
      <c r="Y43" s="2"/>
    </row>
    <row r="44" s="1" customFormat="1" customHeight="1" spans="1:25">
      <c r="A44" s="2"/>
      <c r="C44" s="1" t="s">
        <v>286</v>
      </c>
      <c r="D44" s="1" t="s">
        <v>287</v>
      </c>
      <c r="E44" s="1">
        <v>2</v>
      </c>
      <c r="F44" s="1" t="s">
        <v>288</v>
      </c>
      <c r="G44" s="1" t="s">
        <v>289</v>
      </c>
      <c r="H44" s="1" t="s">
        <v>290</v>
      </c>
      <c r="I44" s="1" t="s">
        <v>291</v>
      </c>
      <c r="J44" s="1">
        <v>0</v>
      </c>
      <c r="K44" s="1">
        <v>0</v>
      </c>
      <c r="L44" s="1">
        <f t="shared" si="0"/>
        <v>72</v>
      </c>
      <c r="M44" s="1">
        <v>0</v>
      </c>
      <c r="N44" s="1">
        <v>0</v>
      </c>
      <c r="O44" s="1">
        <v>0</v>
      </c>
      <c r="P44" s="4">
        <v>0</v>
      </c>
      <c r="Q44" s="4">
        <v>0</v>
      </c>
      <c r="R44" s="4">
        <v>0</v>
      </c>
      <c r="S44" s="1" t="s">
        <v>292</v>
      </c>
      <c r="T44" s="1" t="s">
        <v>292</v>
      </c>
      <c r="W44" s="2"/>
      <c r="X44" s="2"/>
      <c r="Y44" s="2"/>
    </row>
    <row r="45" s="1" customFormat="1" customHeight="1" spans="1:25">
      <c r="A45" s="2"/>
      <c r="C45" s="1" t="s">
        <v>293</v>
      </c>
      <c r="D45" s="1" t="s">
        <v>294</v>
      </c>
      <c r="E45" s="1">
        <v>2</v>
      </c>
      <c r="F45" s="1" t="s">
        <v>295</v>
      </c>
      <c r="G45" s="1" t="s">
        <v>296</v>
      </c>
      <c r="H45" s="1" t="s">
        <v>297</v>
      </c>
      <c r="I45" s="1" t="s">
        <v>298</v>
      </c>
      <c r="J45" s="1">
        <v>0</v>
      </c>
      <c r="K45" s="1">
        <v>0</v>
      </c>
      <c r="L45" s="1">
        <f t="shared" si="0"/>
        <v>75</v>
      </c>
      <c r="M45" s="1">
        <v>0</v>
      </c>
      <c r="N45" s="1">
        <v>0</v>
      </c>
      <c r="O45" s="1">
        <v>0</v>
      </c>
      <c r="P45" s="4">
        <v>0</v>
      </c>
      <c r="Q45" s="4">
        <v>0</v>
      </c>
      <c r="R45" s="4">
        <v>0</v>
      </c>
      <c r="S45" s="1" t="s">
        <v>299</v>
      </c>
      <c r="T45" s="1" t="s">
        <v>299</v>
      </c>
      <c r="W45" s="2"/>
      <c r="X45" s="2"/>
      <c r="Y45" s="2"/>
    </row>
    <row r="46" s="1" customFormat="1" customHeight="1" spans="1:25">
      <c r="A46" s="2"/>
      <c r="C46" s="1" t="s">
        <v>300</v>
      </c>
      <c r="D46" s="1" t="s">
        <v>301</v>
      </c>
      <c r="E46" s="1">
        <v>2</v>
      </c>
      <c r="F46" s="1" t="s">
        <v>302</v>
      </c>
      <c r="G46" s="1" t="s">
        <v>303</v>
      </c>
      <c r="H46" s="1" t="s">
        <v>304</v>
      </c>
      <c r="I46" s="1" t="s">
        <v>305</v>
      </c>
      <c r="J46" s="1">
        <v>0</v>
      </c>
      <c r="K46" s="1">
        <v>0</v>
      </c>
      <c r="L46" s="1">
        <f t="shared" si="0"/>
        <v>78</v>
      </c>
      <c r="M46" s="1">
        <v>0</v>
      </c>
      <c r="N46" s="1">
        <v>0</v>
      </c>
      <c r="O46" s="1">
        <v>0</v>
      </c>
      <c r="P46" s="4">
        <v>0</v>
      </c>
      <c r="Q46" s="4">
        <v>0</v>
      </c>
      <c r="R46" s="4">
        <v>0</v>
      </c>
      <c r="S46" s="1" t="s">
        <v>306</v>
      </c>
      <c r="T46" s="1" t="s">
        <v>306</v>
      </c>
      <c r="U46" s="2"/>
      <c r="V46" s="2"/>
      <c r="W46" s="2"/>
      <c r="X46" s="2"/>
      <c r="Y46" s="2"/>
    </row>
    <row r="47" s="1" customFormat="1" customHeight="1" spans="1:25">
      <c r="A47" s="2"/>
      <c r="C47" s="1" t="s">
        <v>307</v>
      </c>
      <c r="D47" s="1" t="s">
        <v>308</v>
      </c>
      <c r="E47" s="1">
        <v>2</v>
      </c>
      <c r="F47" s="1" t="s">
        <v>309</v>
      </c>
      <c r="G47" s="1" t="s">
        <v>310</v>
      </c>
      <c r="H47" s="1" t="s">
        <v>311</v>
      </c>
      <c r="I47" s="1" t="s">
        <v>312</v>
      </c>
      <c r="J47" s="1">
        <v>0</v>
      </c>
      <c r="K47" s="1">
        <v>0</v>
      </c>
      <c r="L47" s="1">
        <f t="shared" si="0"/>
        <v>81</v>
      </c>
      <c r="M47" s="1">
        <v>0</v>
      </c>
      <c r="N47" s="1">
        <v>0</v>
      </c>
      <c r="O47" s="1">
        <v>0</v>
      </c>
      <c r="P47" s="4">
        <v>0</v>
      </c>
      <c r="Q47" s="4">
        <v>0</v>
      </c>
      <c r="R47" s="4">
        <v>0</v>
      </c>
      <c r="S47" s="1" t="s">
        <v>313</v>
      </c>
      <c r="T47" s="1" t="s">
        <v>313</v>
      </c>
      <c r="U47" s="2"/>
      <c r="V47" s="2"/>
      <c r="W47" s="2"/>
      <c r="X47" s="2"/>
      <c r="Y47" s="2"/>
    </row>
    <row r="48" s="1" customFormat="1" customHeight="1" spans="1:25">
      <c r="A48" s="2"/>
      <c r="C48" s="1" t="s">
        <v>314</v>
      </c>
      <c r="D48" s="1" t="s">
        <v>315</v>
      </c>
      <c r="E48" s="1">
        <v>2</v>
      </c>
      <c r="F48" s="1" t="s">
        <v>316</v>
      </c>
      <c r="G48" s="1" t="s">
        <v>317</v>
      </c>
      <c r="H48" s="1" t="s">
        <v>318</v>
      </c>
      <c r="I48" s="1" t="s">
        <v>319</v>
      </c>
      <c r="J48" s="1">
        <v>0</v>
      </c>
      <c r="K48" s="1">
        <v>0</v>
      </c>
      <c r="L48" s="1">
        <f t="shared" si="0"/>
        <v>84</v>
      </c>
      <c r="M48" s="1">
        <v>0</v>
      </c>
      <c r="N48" s="1">
        <v>0</v>
      </c>
      <c r="O48" s="1">
        <v>0</v>
      </c>
      <c r="P48" s="4">
        <v>0</v>
      </c>
      <c r="Q48" s="4">
        <v>0</v>
      </c>
      <c r="R48" s="4">
        <v>0</v>
      </c>
      <c r="S48" s="1" t="s">
        <v>320</v>
      </c>
      <c r="T48" s="1" t="s">
        <v>320</v>
      </c>
      <c r="U48" s="2"/>
      <c r="V48" s="2"/>
      <c r="W48" s="2"/>
      <c r="X48" s="2"/>
      <c r="Y48" s="2"/>
    </row>
    <row r="49" s="1" customFormat="1" customHeight="1" spans="1:25">
      <c r="A49" s="2"/>
      <c r="C49" s="1" t="s">
        <v>321</v>
      </c>
      <c r="D49" s="1" t="s">
        <v>322</v>
      </c>
      <c r="E49" s="1">
        <v>2</v>
      </c>
      <c r="F49" s="1" t="s">
        <v>323</v>
      </c>
      <c r="G49" s="1" t="s">
        <v>324</v>
      </c>
      <c r="H49" s="1" t="s">
        <v>325</v>
      </c>
      <c r="I49" s="1" t="s">
        <v>326</v>
      </c>
      <c r="J49" s="1">
        <v>0</v>
      </c>
      <c r="K49" s="1">
        <v>0</v>
      </c>
      <c r="L49" s="1">
        <f t="shared" si="0"/>
        <v>87</v>
      </c>
      <c r="M49" s="1">
        <v>0</v>
      </c>
      <c r="N49" s="1">
        <v>0</v>
      </c>
      <c r="O49" s="1">
        <v>0</v>
      </c>
      <c r="P49" s="4">
        <v>0</v>
      </c>
      <c r="Q49" s="4">
        <v>0</v>
      </c>
      <c r="R49" s="4">
        <v>0</v>
      </c>
      <c r="S49" s="1" t="s">
        <v>327</v>
      </c>
      <c r="T49" s="1" t="s">
        <v>327</v>
      </c>
      <c r="U49" s="2"/>
      <c r="V49" s="2"/>
      <c r="W49" s="2"/>
      <c r="X49" s="2"/>
      <c r="Y49" s="2"/>
    </row>
    <row r="50" s="1" customFormat="1" customHeight="1" spans="1:25">
      <c r="A50" s="2"/>
      <c r="C50" s="1" t="s">
        <v>328</v>
      </c>
      <c r="D50" s="1" t="s">
        <v>329</v>
      </c>
      <c r="E50" s="1">
        <v>2</v>
      </c>
      <c r="F50" s="1" t="s">
        <v>330</v>
      </c>
      <c r="G50" s="1" t="s">
        <v>331</v>
      </c>
      <c r="H50" s="1" t="s">
        <v>332</v>
      </c>
      <c r="I50" s="1" t="s">
        <v>333</v>
      </c>
      <c r="J50" s="1">
        <v>0</v>
      </c>
      <c r="K50" s="1">
        <v>0</v>
      </c>
      <c r="L50" s="1">
        <f t="shared" si="0"/>
        <v>90</v>
      </c>
      <c r="M50" s="1">
        <v>0</v>
      </c>
      <c r="N50" s="1">
        <v>0</v>
      </c>
      <c r="O50" s="1">
        <v>0</v>
      </c>
      <c r="P50" s="4">
        <v>0</v>
      </c>
      <c r="Q50" s="4">
        <v>0</v>
      </c>
      <c r="R50" s="4">
        <v>0</v>
      </c>
      <c r="S50" s="1" t="s">
        <v>334</v>
      </c>
      <c r="T50" s="1" t="s">
        <v>334</v>
      </c>
      <c r="U50" s="2"/>
      <c r="V50" s="2"/>
      <c r="W50" s="2"/>
      <c r="X50" s="2"/>
      <c r="Y50" s="2"/>
    </row>
    <row r="51" s="1" customFormat="1" customHeight="1" spans="1:25">
      <c r="A51" s="2"/>
      <c r="C51" s="1" t="s">
        <v>335</v>
      </c>
      <c r="D51" s="1" t="s">
        <v>336</v>
      </c>
      <c r="E51" s="1">
        <v>2</v>
      </c>
      <c r="F51" s="1" t="s">
        <v>337</v>
      </c>
      <c r="G51" s="1" t="s">
        <v>338</v>
      </c>
      <c r="H51" s="1" t="s">
        <v>339</v>
      </c>
      <c r="I51" s="1" t="s">
        <v>340</v>
      </c>
      <c r="J51" s="1">
        <v>0</v>
      </c>
      <c r="K51" s="1">
        <v>0</v>
      </c>
      <c r="L51" s="1">
        <f t="shared" si="0"/>
        <v>93</v>
      </c>
      <c r="M51" s="1">
        <f t="shared" ref="M51:M65" si="1">(D51-1044)*3</f>
        <v>3</v>
      </c>
      <c r="N51" s="1">
        <f t="shared" ref="N51:N70" si="2">(D51-1044)*5</f>
        <v>5</v>
      </c>
      <c r="O51" s="1">
        <f t="shared" ref="O51:O65" si="3">(D51-1044)*5</f>
        <v>5</v>
      </c>
      <c r="P51" s="4">
        <v>0</v>
      </c>
      <c r="Q51" s="4">
        <v>0</v>
      </c>
      <c r="R51" s="4">
        <v>0</v>
      </c>
      <c r="S51" s="1" t="s">
        <v>341</v>
      </c>
      <c r="T51" s="1" t="s">
        <v>341</v>
      </c>
      <c r="U51" s="2"/>
      <c r="V51" s="2"/>
      <c r="W51" s="2"/>
      <c r="X51" s="2"/>
      <c r="Y51" s="2"/>
    </row>
    <row r="52" s="1" customFormat="1" customHeight="1" spans="1:25">
      <c r="A52" s="2"/>
      <c r="C52" s="1" t="s">
        <v>342</v>
      </c>
      <c r="D52" s="1" t="s">
        <v>343</v>
      </c>
      <c r="E52" s="1">
        <v>2</v>
      </c>
      <c r="F52" s="1" t="s">
        <v>344</v>
      </c>
      <c r="G52" s="1" t="s">
        <v>345</v>
      </c>
      <c r="H52" s="1" t="s">
        <v>346</v>
      </c>
      <c r="I52" s="1" t="s">
        <v>347</v>
      </c>
      <c r="J52" s="1">
        <v>0</v>
      </c>
      <c r="K52" s="1">
        <v>0</v>
      </c>
      <c r="L52" s="1">
        <f t="shared" si="0"/>
        <v>96</v>
      </c>
      <c r="M52" s="1">
        <f t="shared" si="1"/>
        <v>6</v>
      </c>
      <c r="N52" s="1">
        <f t="shared" si="2"/>
        <v>10</v>
      </c>
      <c r="O52" s="1">
        <f t="shared" si="3"/>
        <v>10</v>
      </c>
      <c r="P52" s="4">
        <v>0</v>
      </c>
      <c r="Q52" s="4">
        <v>0</v>
      </c>
      <c r="R52" s="4">
        <v>0</v>
      </c>
      <c r="S52" s="1" t="s">
        <v>348</v>
      </c>
      <c r="T52" s="1" t="s">
        <v>348</v>
      </c>
      <c r="U52" s="2"/>
      <c r="V52" s="2"/>
      <c r="W52" s="2"/>
      <c r="X52" s="2"/>
      <c r="Y52" s="2"/>
    </row>
    <row r="53" s="1" customFormat="1" customHeight="1" spans="1:25">
      <c r="A53" s="2"/>
      <c r="C53" s="1" t="s">
        <v>349</v>
      </c>
      <c r="D53" s="1" t="s">
        <v>350</v>
      </c>
      <c r="E53" s="1">
        <v>2</v>
      </c>
      <c r="F53" s="1" t="s">
        <v>351</v>
      </c>
      <c r="G53" s="1" t="s">
        <v>352</v>
      </c>
      <c r="H53" s="1" t="s">
        <v>353</v>
      </c>
      <c r="I53" s="1" t="s">
        <v>354</v>
      </c>
      <c r="J53" s="1">
        <v>0</v>
      </c>
      <c r="K53" s="1">
        <v>0</v>
      </c>
      <c r="L53" s="1">
        <f t="shared" si="0"/>
        <v>99</v>
      </c>
      <c r="M53" s="1">
        <f t="shared" si="1"/>
        <v>9</v>
      </c>
      <c r="N53" s="1">
        <f t="shared" si="2"/>
        <v>15</v>
      </c>
      <c r="O53" s="1">
        <f t="shared" si="3"/>
        <v>15</v>
      </c>
      <c r="P53" s="4">
        <v>0</v>
      </c>
      <c r="Q53" s="4">
        <v>0</v>
      </c>
      <c r="R53" s="4">
        <v>0</v>
      </c>
      <c r="S53" s="1" t="s">
        <v>355</v>
      </c>
      <c r="T53" s="1" t="s">
        <v>355</v>
      </c>
      <c r="U53" s="2"/>
      <c r="V53" s="2"/>
      <c r="W53" s="2"/>
      <c r="X53" s="2"/>
      <c r="Y53" s="2"/>
    </row>
    <row r="54" s="1" customFormat="1" customHeight="1" spans="1:25">
      <c r="A54" s="2"/>
      <c r="C54" s="1" t="s">
        <v>356</v>
      </c>
      <c r="D54" s="1" t="s">
        <v>357</v>
      </c>
      <c r="E54" s="1">
        <v>2</v>
      </c>
      <c r="F54" s="1" t="s">
        <v>358</v>
      </c>
      <c r="G54" s="1" t="s">
        <v>359</v>
      </c>
      <c r="H54" s="1" t="s">
        <v>360</v>
      </c>
      <c r="I54" s="1" t="s">
        <v>361</v>
      </c>
      <c r="J54" s="1">
        <v>0</v>
      </c>
      <c r="K54" s="1">
        <v>0</v>
      </c>
      <c r="L54" s="1">
        <f t="shared" si="0"/>
        <v>102</v>
      </c>
      <c r="M54" s="1">
        <f t="shared" si="1"/>
        <v>12</v>
      </c>
      <c r="N54" s="1">
        <f t="shared" si="2"/>
        <v>20</v>
      </c>
      <c r="O54" s="1">
        <f t="shared" si="3"/>
        <v>20</v>
      </c>
      <c r="P54" s="4">
        <v>0</v>
      </c>
      <c r="Q54" s="4">
        <v>0</v>
      </c>
      <c r="R54" s="4">
        <v>0</v>
      </c>
      <c r="S54" s="1" t="s">
        <v>362</v>
      </c>
      <c r="T54" s="1" t="s">
        <v>362</v>
      </c>
      <c r="U54" s="2"/>
      <c r="V54" s="2"/>
      <c r="W54" s="2"/>
      <c r="X54" s="2"/>
      <c r="Y54" s="2"/>
    </row>
    <row r="55" s="1" customFormat="1" customHeight="1" spans="1:25">
      <c r="A55" s="2"/>
      <c r="C55" s="1" t="s">
        <v>363</v>
      </c>
      <c r="D55" s="1" t="s">
        <v>364</v>
      </c>
      <c r="E55" s="1">
        <v>2</v>
      </c>
      <c r="F55" s="1" t="s">
        <v>365</v>
      </c>
      <c r="G55" s="1" t="s">
        <v>366</v>
      </c>
      <c r="H55" s="1" t="s">
        <v>367</v>
      </c>
      <c r="I55" s="1" t="s">
        <v>368</v>
      </c>
      <c r="J55" s="1">
        <v>0</v>
      </c>
      <c r="K55" s="1">
        <v>0</v>
      </c>
      <c r="L55" s="1">
        <f t="shared" si="0"/>
        <v>105</v>
      </c>
      <c r="M55" s="1">
        <f t="shared" si="1"/>
        <v>15</v>
      </c>
      <c r="N55" s="1">
        <f t="shared" si="2"/>
        <v>25</v>
      </c>
      <c r="O55" s="1">
        <f t="shared" si="3"/>
        <v>25</v>
      </c>
      <c r="P55" s="4">
        <v>0</v>
      </c>
      <c r="Q55" s="4">
        <v>0</v>
      </c>
      <c r="R55" s="4">
        <v>0</v>
      </c>
      <c r="S55" s="1" t="s">
        <v>369</v>
      </c>
      <c r="T55" s="1" t="s">
        <v>369</v>
      </c>
      <c r="U55" s="2"/>
      <c r="V55" s="2"/>
      <c r="W55" s="2"/>
      <c r="X55" s="2"/>
      <c r="Y55" s="2"/>
    </row>
    <row r="56" s="1" customFormat="1" customHeight="1" spans="1:25">
      <c r="A56" s="2"/>
      <c r="C56" s="1" t="s">
        <v>370</v>
      </c>
      <c r="D56" s="1" t="s">
        <v>371</v>
      </c>
      <c r="E56" s="1">
        <v>2</v>
      </c>
      <c r="F56" s="1" t="s">
        <v>372</v>
      </c>
      <c r="G56" s="1" t="s">
        <v>373</v>
      </c>
      <c r="H56" s="1" t="s">
        <v>374</v>
      </c>
      <c r="I56" s="1" t="s">
        <v>375</v>
      </c>
      <c r="J56" s="1">
        <v>0</v>
      </c>
      <c r="K56" s="1">
        <v>0</v>
      </c>
      <c r="L56" s="1">
        <f t="shared" si="0"/>
        <v>108</v>
      </c>
      <c r="M56" s="1">
        <f t="shared" si="1"/>
        <v>18</v>
      </c>
      <c r="N56" s="1">
        <f t="shared" si="2"/>
        <v>30</v>
      </c>
      <c r="O56" s="1">
        <f t="shared" si="3"/>
        <v>30</v>
      </c>
      <c r="P56" s="4">
        <v>0</v>
      </c>
      <c r="Q56" s="4">
        <v>0</v>
      </c>
      <c r="R56" s="4">
        <v>0</v>
      </c>
      <c r="S56" s="1" t="s">
        <v>376</v>
      </c>
      <c r="T56" s="1" t="s">
        <v>376</v>
      </c>
      <c r="U56" s="2"/>
      <c r="V56" s="2"/>
      <c r="W56" s="2"/>
      <c r="X56" s="2"/>
      <c r="Y56" s="2"/>
    </row>
    <row r="57" s="1" customFormat="1" customHeight="1" spans="1:25">
      <c r="A57" s="2"/>
      <c r="C57" s="1" t="s">
        <v>377</v>
      </c>
      <c r="D57" s="1" t="s">
        <v>378</v>
      </c>
      <c r="E57" s="1">
        <v>2</v>
      </c>
      <c r="F57" s="1" t="s">
        <v>379</v>
      </c>
      <c r="G57" s="1" t="s">
        <v>380</v>
      </c>
      <c r="H57" s="1" t="s">
        <v>381</v>
      </c>
      <c r="I57" s="1" t="s">
        <v>382</v>
      </c>
      <c r="J57" s="1">
        <v>0</v>
      </c>
      <c r="K57" s="1">
        <v>0</v>
      </c>
      <c r="L57" s="1">
        <f t="shared" si="0"/>
        <v>111</v>
      </c>
      <c r="M57" s="1">
        <f t="shared" si="1"/>
        <v>21</v>
      </c>
      <c r="N57" s="1">
        <f t="shared" si="2"/>
        <v>35</v>
      </c>
      <c r="O57" s="1">
        <f t="shared" si="3"/>
        <v>35</v>
      </c>
      <c r="P57" s="4">
        <v>0</v>
      </c>
      <c r="Q57" s="4">
        <v>0</v>
      </c>
      <c r="R57" s="4">
        <v>0</v>
      </c>
      <c r="S57" s="1" t="s">
        <v>383</v>
      </c>
      <c r="T57" s="1" t="s">
        <v>383</v>
      </c>
      <c r="U57" s="2"/>
      <c r="V57" s="2"/>
      <c r="W57" s="2"/>
      <c r="X57" s="2"/>
      <c r="Y57" s="2"/>
    </row>
    <row r="58" s="1" customFormat="1" customHeight="1" spans="1:25">
      <c r="A58" s="2"/>
      <c r="C58" s="1" t="s">
        <v>384</v>
      </c>
      <c r="D58" s="1" t="s">
        <v>385</v>
      </c>
      <c r="E58" s="1">
        <v>2</v>
      </c>
      <c r="F58" s="1" t="s">
        <v>386</v>
      </c>
      <c r="G58" s="1" t="s">
        <v>387</v>
      </c>
      <c r="H58" s="1" t="s">
        <v>388</v>
      </c>
      <c r="I58" s="1" t="s">
        <v>389</v>
      </c>
      <c r="J58" s="1">
        <v>0</v>
      </c>
      <c r="K58" s="1">
        <v>0</v>
      </c>
      <c r="L58" s="1">
        <f t="shared" si="0"/>
        <v>114</v>
      </c>
      <c r="M58" s="1">
        <f t="shared" si="1"/>
        <v>24</v>
      </c>
      <c r="N58" s="1">
        <f t="shared" si="2"/>
        <v>40</v>
      </c>
      <c r="O58" s="1">
        <f t="shared" si="3"/>
        <v>40</v>
      </c>
      <c r="P58" s="4">
        <v>0</v>
      </c>
      <c r="Q58" s="4">
        <v>0</v>
      </c>
      <c r="R58" s="4">
        <v>0</v>
      </c>
      <c r="S58" s="1" t="s">
        <v>390</v>
      </c>
      <c r="T58" s="1" t="s">
        <v>390</v>
      </c>
      <c r="U58" s="2"/>
      <c r="V58" s="2"/>
      <c r="W58" s="2"/>
      <c r="X58" s="2"/>
      <c r="Y58" s="2"/>
    </row>
    <row r="59" s="1" customFormat="1" customHeight="1" spans="1:25">
      <c r="A59" s="2"/>
      <c r="C59" s="1" t="s">
        <v>391</v>
      </c>
      <c r="D59" s="1" t="s">
        <v>392</v>
      </c>
      <c r="E59" s="1">
        <v>2</v>
      </c>
      <c r="F59" s="1" t="s">
        <v>393</v>
      </c>
      <c r="G59" s="1" t="s">
        <v>394</v>
      </c>
      <c r="H59" s="1" t="s">
        <v>395</v>
      </c>
      <c r="I59" s="1" t="s">
        <v>396</v>
      </c>
      <c r="J59" s="1">
        <v>0</v>
      </c>
      <c r="K59" s="1">
        <v>0</v>
      </c>
      <c r="L59" s="1">
        <f t="shared" si="0"/>
        <v>117</v>
      </c>
      <c r="M59" s="1">
        <f t="shared" si="1"/>
        <v>27</v>
      </c>
      <c r="N59" s="1">
        <f t="shared" si="2"/>
        <v>45</v>
      </c>
      <c r="O59" s="1">
        <f t="shared" si="3"/>
        <v>45</v>
      </c>
      <c r="P59" s="4">
        <v>0</v>
      </c>
      <c r="Q59" s="4">
        <v>0</v>
      </c>
      <c r="R59" s="4">
        <v>0</v>
      </c>
      <c r="S59" s="1" t="s">
        <v>397</v>
      </c>
      <c r="T59" s="1" t="s">
        <v>397</v>
      </c>
      <c r="U59" s="2"/>
      <c r="V59" s="2"/>
      <c r="W59" s="2"/>
      <c r="X59" s="2"/>
      <c r="Y59" s="2"/>
    </row>
    <row r="60" s="1" customFormat="1" customHeight="1" spans="1:25">
      <c r="A60" s="2"/>
      <c r="C60" s="1" t="s">
        <v>398</v>
      </c>
      <c r="D60" s="1" t="s">
        <v>399</v>
      </c>
      <c r="E60" s="1">
        <v>2</v>
      </c>
      <c r="F60" s="1" t="s">
        <v>400</v>
      </c>
      <c r="G60" s="1" t="s">
        <v>401</v>
      </c>
      <c r="H60" s="1" t="s">
        <v>402</v>
      </c>
      <c r="I60" s="1" t="s">
        <v>403</v>
      </c>
      <c r="J60" s="1">
        <v>0</v>
      </c>
      <c r="K60" s="1">
        <v>0</v>
      </c>
      <c r="L60" s="1">
        <f t="shared" si="0"/>
        <v>120</v>
      </c>
      <c r="M60" s="1">
        <f t="shared" si="1"/>
        <v>30</v>
      </c>
      <c r="N60" s="1">
        <f t="shared" si="2"/>
        <v>50</v>
      </c>
      <c r="O60" s="1">
        <f t="shared" si="3"/>
        <v>50</v>
      </c>
      <c r="P60" s="4">
        <v>0</v>
      </c>
      <c r="Q60" s="4">
        <v>0</v>
      </c>
      <c r="R60" s="4">
        <v>0</v>
      </c>
      <c r="S60" s="1" t="s">
        <v>404</v>
      </c>
      <c r="T60" s="1" t="s">
        <v>404</v>
      </c>
      <c r="U60" s="2"/>
      <c r="V60" s="2"/>
      <c r="W60" s="2"/>
      <c r="X60" s="2"/>
      <c r="Y60" s="2"/>
    </row>
    <row r="61" s="1" customFormat="1" customHeight="1" spans="1:25">
      <c r="A61" s="2"/>
      <c r="C61" s="1" t="s">
        <v>405</v>
      </c>
      <c r="D61" s="1" t="s">
        <v>406</v>
      </c>
      <c r="E61" s="1">
        <v>2</v>
      </c>
      <c r="F61" s="1" t="s">
        <v>407</v>
      </c>
      <c r="G61" s="1" t="s">
        <v>408</v>
      </c>
      <c r="H61" s="1" t="s">
        <v>409</v>
      </c>
      <c r="I61" s="1" t="s">
        <v>410</v>
      </c>
      <c r="J61" s="1">
        <v>0</v>
      </c>
      <c r="K61" s="1">
        <v>0</v>
      </c>
      <c r="L61" s="1">
        <f t="shared" si="0"/>
        <v>123</v>
      </c>
      <c r="M61" s="1">
        <f t="shared" si="1"/>
        <v>33</v>
      </c>
      <c r="N61" s="1">
        <f t="shared" si="2"/>
        <v>55</v>
      </c>
      <c r="O61" s="1">
        <f t="shared" si="3"/>
        <v>55</v>
      </c>
      <c r="P61" s="4">
        <v>0</v>
      </c>
      <c r="Q61" s="4">
        <v>0</v>
      </c>
      <c r="R61" s="4">
        <v>0</v>
      </c>
      <c r="S61" s="1" t="s">
        <v>411</v>
      </c>
      <c r="T61" s="1" t="s">
        <v>411</v>
      </c>
      <c r="U61" s="2"/>
      <c r="V61" s="2"/>
      <c r="W61" s="2"/>
      <c r="X61" s="2"/>
      <c r="Y61" s="2"/>
    </row>
    <row r="62" s="1" customFormat="1" customHeight="1" spans="1:25">
      <c r="A62" s="2"/>
      <c r="C62" s="1" t="s">
        <v>412</v>
      </c>
      <c r="D62" s="1" t="s">
        <v>413</v>
      </c>
      <c r="E62" s="1">
        <v>2</v>
      </c>
      <c r="F62" s="1" t="s">
        <v>414</v>
      </c>
      <c r="G62" s="1" t="s">
        <v>415</v>
      </c>
      <c r="H62" s="1" t="s">
        <v>416</v>
      </c>
      <c r="I62" s="1" t="s">
        <v>417</v>
      </c>
      <c r="J62" s="1">
        <v>0</v>
      </c>
      <c r="K62" s="1">
        <v>0</v>
      </c>
      <c r="L62" s="1">
        <f t="shared" si="0"/>
        <v>126</v>
      </c>
      <c r="M62" s="1">
        <f t="shared" si="1"/>
        <v>36</v>
      </c>
      <c r="N62" s="1">
        <f t="shared" si="2"/>
        <v>60</v>
      </c>
      <c r="O62" s="1">
        <f t="shared" si="3"/>
        <v>60</v>
      </c>
      <c r="P62" s="4">
        <v>0</v>
      </c>
      <c r="Q62" s="4">
        <v>0</v>
      </c>
      <c r="R62" s="4">
        <v>0</v>
      </c>
      <c r="S62" s="1" t="s">
        <v>418</v>
      </c>
      <c r="T62" s="1" t="s">
        <v>418</v>
      </c>
      <c r="U62" s="2"/>
      <c r="V62" s="2"/>
      <c r="W62" s="2"/>
      <c r="X62" s="2"/>
      <c r="Y62" s="2"/>
    </row>
    <row r="63" s="1" customFormat="1" customHeight="1" spans="1:25">
      <c r="A63" s="2"/>
      <c r="C63" s="1" t="s">
        <v>419</v>
      </c>
      <c r="D63" s="1" t="s">
        <v>420</v>
      </c>
      <c r="E63" s="1">
        <v>2</v>
      </c>
      <c r="F63" s="1" t="s">
        <v>421</v>
      </c>
      <c r="G63" s="1" t="s">
        <v>422</v>
      </c>
      <c r="H63" s="1" t="s">
        <v>423</v>
      </c>
      <c r="I63" s="1" t="s">
        <v>424</v>
      </c>
      <c r="J63" s="1">
        <v>0</v>
      </c>
      <c r="K63" s="1">
        <v>0</v>
      </c>
      <c r="L63" s="1">
        <f t="shared" si="0"/>
        <v>129</v>
      </c>
      <c r="M63" s="1">
        <f t="shared" si="1"/>
        <v>39</v>
      </c>
      <c r="N63" s="1">
        <f t="shared" si="2"/>
        <v>65</v>
      </c>
      <c r="O63" s="1">
        <f t="shared" si="3"/>
        <v>65</v>
      </c>
      <c r="P63" s="4">
        <v>0</v>
      </c>
      <c r="Q63" s="4">
        <v>0</v>
      </c>
      <c r="R63" s="4">
        <v>0</v>
      </c>
      <c r="S63" s="1" t="s">
        <v>425</v>
      </c>
      <c r="T63" s="1" t="s">
        <v>425</v>
      </c>
      <c r="U63" s="2"/>
      <c r="V63" s="2"/>
      <c r="W63" s="2"/>
      <c r="X63" s="2"/>
      <c r="Y63" s="2"/>
    </row>
    <row r="64" s="1" customFormat="1" customHeight="1" spans="1:25">
      <c r="A64" s="2"/>
      <c r="C64" s="1" t="s">
        <v>426</v>
      </c>
      <c r="D64" s="1" t="s">
        <v>427</v>
      </c>
      <c r="E64" s="1">
        <v>2</v>
      </c>
      <c r="F64" s="1" t="s">
        <v>428</v>
      </c>
      <c r="G64" s="1" t="s">
        <v>429</v>
      </c>
      <c r="H64" s="1" t="s">
        <v>430</v>
      </c>
      <c r="I64" s="1" t="s">
        <v>431</v>
      </c>
      <c r="J64" s="1">
        <v>0</v>
      </c>
      <c r="K64" s="1">
        <v>0</v>
      </c>
      <c r="L64" s="1">
        <f t="shared" si="0"/>
        <v>132</v>
      </c>
      <c r="M64" s="1">
        <f t="shared" si="1"/>
        <v>42</v>
      </c>
      <c r="N64" s="1">
        <f t="shared" si="2"/>
        <v>70</v>
      </c>
      <c r="O64" s="1">
        <f t="shared" si="3"/>
        <v>70</v>
      </c>
      <c r="P64" s="4">
        <v>0</v>
      </c>
      <c r="Q64" s="4">
        <v>0</v>
      </c>
      <c r="R64" s="4">
        <v>0</v>
      </c>
      <c r="S64" s="1" t="s">
        <v>432</v>
      </c>
      <c r="T64" s="1" t="s">
        <v>432</v>
      </c>
      <c r="U64" s="2"/>
      <c r="V64" s="2"/>
      <c r="W64" s="2"/>
      <c r="X64" s="2"/>
      <c r="Y64" s="2"/>
    </row>
    <row r="65" s="1" customFormat="1" customHeight="1" spans="1:25">
      <c r="A65" s="2"/>
      <c r="C65" s="1" t="s">
        <v>433</v>
      </c>
      <c r="D65" s="1" t="s">
        <v>434</v>
      </c>
      <c r="E65" s="1">
        <v>2</v>
      </c>
      <c r="F65" s="1" t="s">
        <v>435</v>
      </c>
      <c r="G65" s="1" t="s">
        <v>436</v>
      </c>
      <c r="H65" s="1" t="s">
        <v>437</v>
      </c>
      <c r="I65" s="10" t="s">
        <v>438</v>
      </c>
      <c r="J65" s="1">
        <v>0</v>
      </c>
      <c r="K65" s="1">
        <v>0</v>
      </c>
      <c r="L65" s="1">
        <f t="shared" si="0"/>
        <v>135</v>
      </c>
      <c r="M65" s="1">
        <f t="shared" si="1"/>
        <v>45</v>
      </c>
      <c r="N65" s="1">
        <f t="shared" si="2"/>
        <v>75</v>
      </c>
      <c r="O65" s="1">
        <f t="shared" si="3"/>
        <v>75</v>
      </c>
      <c r="P65" s="4">
        <v>0</v>
      </c>
      <c r="Q65" s="4">
        <v>0</v>
      </c>
      <c r="R65" s="4">
        <v>0</v>
      </c>
      <c r="S65" s="1" t="s">
        <v>439</v>
      </c>
      <c r="T65" s="1" t="s">
        <v>439</v>
      </c>
      <c r="U65" s="2"/>
      <c r="V65" s="2"/>
      <c r="W65" s="2"/>
      <c r="X65" s="2"/>
      <c r="Y65" s="2"/>
    </row>
    <row r="66" s="1" customFormat="1" customHeight="1" spans="1:25">
      <c r="A66" s="2"/>
      <c r="C66" s="1" t="s">
        <v>440</v>
      </c>
      <c r="D66" s="1" t="s">
        <v>441</v>
      </c>
      <c r="E66" s="1">
        <v>2</v>
      </c>
      <c r="F66" s="1" t="s">
        <v>442</v>
      </c>
      <c r="G66" s="1" t="s">
        <v>443</v>
      </c>
      <c r="H66" s="1" t="s">
        <v>444</v>
      </c>
      <c r="I66" s="10" t="s">
        <v>445</v>
      </c>
      <c r="J66" s="1">
        <v>0</v>
      </c>
      <c r="K66" s="1">
        <v>0</v>
      </c>
      <c r="L66" s="1">
        <f t="shared" ref="L66:O66" si="4">L65+5</f>
        <v>140</v>
      </c>
      <c r="M66" s="1">
        <f t="shared" ref="M66:M70" si="5">M65+5</f>
        <v>50</v>
      </c>
      <c r="N66" s="1">
        <f t="shared" si="4"/>
        <v>80</v>
      </c>
      <c r="O66" s="1">
        <f t="shared" si="4"/>
        <v>80</v>
      </c>
      <c r="P66" s="4">
        <v>0</v>
      </c>
      <c r="Q66" s="4">
        <v>0</v>
      </c>
      <c r="R66" s="4">
        <v>0</v>
      </c>
      <c r="S66" s="1" t="s">
        <v>446</v>
      </c>
      <c r="T66" s="1" t="s">
        <v>446</v>
      </c>
      <c r="U66" s="2"/>
      <c r="V66" s="2"/>
      <c r="W66" s="2"/>
      <c r="X66" s="2"/>
      <c r="Y66" s="2"/>
    </row>
    <row r="67" s="1" customFormat="1" customHeight="1" spans="1:25">
      <c r="A67" s="2"/>
      <c r="C67" s="1" t="s">
        <v>447</v>
      </c>
      <c r="D67" s="1" t="s">
        <v>448</v>
      </c>
      <c r="E67" s="1">
        <v>2</v>
      </c>
      <c r="F67" s="1" t="s">
        <v>449</v>
      </c>
      <c r="G67" s="1" t="s">
        <v>450</v>
      </c>
      <c r="H67" s="1" t="s">
        <v>451</v>
      </c>
      <c r="I67" s="10" t="s">
        <v>452</v>
      </c>
      <c r="J67" s="1">
        <v>0</v>
      </c>
      <c r="K67" s="1">
        <v>0</v>
      </c>
      <c r="L67" s="1">
        <f t="shared" ref="L66:L71" si="6">L66+5</f>
        <v>145</v>
      </c>
      <c r="M67" s="1">
        <f t="shared" si="5"/>
        <v>55</v>
      </c>
      <c r="N67" s="1">
        <f t="shared" ref="N66:N91" si="7">N66+5</f>
        <v>85</v>
      </c>
      <c r="O67" s="1">
        <f t="shared" ref="O67:O70" si="8">O66+5</f>
        <v>85</v>
      </c>
      <c r="P67" s="4">
        <v>0</v>
      </c>
      <c r="Q67" s="4">
        <v>0</v>
      </c>
      <c r="R67" s="4">
        <v>0</v>
      </c>
      <c r="S67" s="1" t="s">
        <v>453</v>
      </c>
      <c r="T67" s="1" t="s">
        <v>453</v>
      </c>
      <c r="U67" s="2"/>
      <c r="V67" s="2"/>
      <c r="W67" s="2"/>
      <c r="X67" s="2"/>
      <c r="Y67" s="2"/>
    </row>
    <row r="68" s="1" customFormat="1" customHeight="1" spans="1:25">
      <c r="A68" s="2"/>
      <c r="C68" s="1" t="s">
        <v>454</v>
      </c>
      <c r="D68" s="1" t="s">
        <v>455</v>
      </c>
      <c r="E68" s="1">
        <v>2</v>
      </c>
      <c r="F68" s="1" t="s">
        <v>456</v>
      </c>
      <c r="G68" s="1" t="s">
        <v>457</v>
      </c>
      <c r="H68" s="1" t="s">
        <v>458</v>
      </c>
      <c r="I68" s="10" t="s">
        <v>459</v>
      </c>
      <c r="J68" s="1">
        <v>0</v>
      </c>
      <c r="K68" s="1">
        <v>0</v>
      </c>
      <c r="L68" s="1">
        <f t="shared" si="6"/>
        <v>150</v>
      </c>
      <c r="M68" s="1">
        <f t="shared" si="5"/>
        <v>60</v>
      </c>
      <c r="N68" s="1">
        <f t="shared" si="7"/>
        <v>90</v>
      </c>
      <c r="O68" s="1">
        <f t="shared" si="8"/>
        <v>90</v>
      </c>
      <c r="P68" s="4">
        <v>0</v>
      </c>
      <c r="Q68" s="4">
        <v>0</v>
      </c>
      <c r="R68" s="4">
        <v>0</v>
      </c>
      <c r="S68" s="1" t="s">
        <v>460</v>
      </c>
      <c r="T68" s="1" t="s">
        <v>460</v>
      </c>
      <c r="U68" s="2"/>
      <c r="V68" s="2"/>
      <c r="W68" s="2"/>
      <c r="X68" s="2"/>
      <c r="Y68" s="2"/>
    </row>
    <row r="69" s="1" customFormat="1" customHeight="1" spans="1:25">
      <c r="A69" s="2"/>
      <c r="C69" s="1" t="s">
        <v>461</v>
      </c>
      <c r="D69" s="1" t="s">
        <v>462</v>
      </c>
      <c r="E69" s="1">
        <v>2</v>
      </c>
      <c r="F69" s="1" t="s">
        <v>463</v>
      </c>
      <c r="G69" s="1" t="s">
        <v>464</v>
      </c>
      <c r="H69" s="10" t="s">
        <v>465</v>
      </c>
      <c r="I69" s="10" t="s">
        <v>466</v>
      </c>
      <c r="J69" s="1">
        <v>0</v>
      </c>
      <c r="K69" s="1">
        <v>0</v>
      </c>
      <c r="L69" s="1">
        <f t="shared" si="6"/>
        <v>155</v>
      </c>
      <c r="M69" s="1">
        <f t="shared" si="5"/>
        <v>65</v>
      </c>
      <c r="N69" s="1">
        <f t="shared" si="7"/>
        <v>95</v>
      </c>
      <c r="O69" s="1">
        <f t="shared" si="8"/>
        <v>95</v>
      </c>
      <c r="P69" s="4">
        <v>0</v>
      </c>
      <c r="Q69" s="4">
        <v>0</v>
      </c>
      <c r="R69" s="4">
        <v>0</v>
      </c>
      <c r="S69" s="1" t="s">
        <v>467</v>
      </c>
      <c r="T69" s="1" t="s">
        <v>467</v>
      </c>
      <c r="U69" s="2"/>
      <c r="V69" s="2"/>
      <c r="W69" s="2"/>
      <c r="X69" s="2"/>
      <c r="Y69" s="2"/>
    </row>
    <row r="70" s="1" customFormat="1" customHeight="1" spans="1:25">
      <c r="A70" s="2"/>
      <c r="C70" s="1" t="s">
        <v>468</v>
      </c>
      <c r="D70" s="1" t="s">
        <v>469</v>
      </c>
      <c r="E70" s="1">
        <v>2</v>
      </c>
      <c r="F70" s="1" t="s">
        <v>470</v>
      </c>
      <c r="G70" s="10" t="s">
        <v>471</v>
      </c>
      <c r="H70" s="10" t="s">
        <v>472</v>
      </c>
      <c r="I70" s="10" t="s">
        <v>473</v>
      </c>
      <c r="J70" s="1">
        <v>0</v>
      </c>
      <c r="K70" s="1">
        <v>0</v>
      </c>
      <c r="L70" s="1">
        <f t="shared" si="6"/>
        <v>160</v>
      </c>
      <c r="M70" s="1">
        <f t="shared" si="5"/>
        <v>70</v>
      </c>
      <c r="N70" s="1">
        <f t="shared" si="7"/>
        <v>100</v>
      </c>
      <c r="O70" s="1">
        <f t="shared" si="8"/>
        <v>100</v>
      </c>
      <c r="P70" s="4">
        <v>0</v>
      </c>
      <c r="Q70" s="4">
        <v>0</v>
      </c>
      <c r="R70" s="4">
        <v>0</v>
      </c>
      <c r="S70" s="1" t="s">
        <v>474</v>
      </c>
      <c r="T70" s="1" t="s">
        <v>474</v>
      </c>
      <c r="U70" s="2"/>
      <c r="V70" s="2"/>
      <c r="W70" s="2"/>
      <c r="X70" s="2"/>
      <c r="Y70" s="2"/>
    </row>
    <row r="71" s="1" customFormat="1" customHeight="1" spans="1:25">
      <c r="A71" s="2"/>
      <c r="C71" s="1" t="s">
        <v>475</v>
      </c>
      <c r="D71" s="1" t="s">
        <v>476</v>
      </c>
      <c r="E71" s="1">
        <v>2</v>
      </c>
      <c r="F71" s="1" t="s">
        <v>477</v>
      </c>
      <c r="G71" s="10" t="s">
        <v>478</v>
      </c>
      <c r="H71" s="10" t="s">
        <v>479</v>
      </c>
      <c r="I71" s="10" t="s">
        <v>480</v>
      </c>
      <c r="J71" s="1">
        <v>0</v>
      </c>
      <c r="K71" s="1">
        <v>0</v>
      </c>
      <c r="L71" s="1">
        <f>L70+15</f>
        <v>175</v>
      </c>
      <c r="M71" s="1">
        <f t="shared" ref="L71:O71" si="9">M70+15</f>
        <v>85</v>
      </c>
      <c r="N71" s="1">
        <f t="shared" si="7"/>
        <v>105</v>
      </c>
      <c r="O71" s="1">
        <f t="shared" si="9"/>
        <v>115</v>
      </c>
      <c r="P71" s="4">
        <v>0</v>
      </c>
      <c r="Q71" s="4">
        <v>0</v>
      </c>
      <c r="R71" s="4">
        <v>0</v>
      </c>
      <c r="S71" s="1" t="s">
        <v>481</v>
      </c>
      <c r="T71" s="1" t="s">
        <v>481</v>
      </c>
      <c r="U71" s="2"/>
      <c r="V71" s="2"/>
      <c r="W71" s="2"/>
      <c r="X71" s="2"/>
      <c r="Y71" s="2"/>
    </row>
    <row r="72" s="1" customFormat="1" customHeight="1" spans="1:25">
      <c r="A72" s="2"/>
      <c r="C72" s="1" t="s">
        <v>482</v>
      </c>
      <c r="D72" s="1" t="s">
        <v>483</v>
      </c>
      <c r="E72" s="1">
        <v>2</v>
      </c>
      <c r="F72" s="1" t="s">
        <v>484</v>
      </c>
      <c r="G72" s="10" t="s">
        <v>485</v>
      </c>
      <c r="H72" s="10" t="s">
        <v>486</v>
      </c>
      <c r="I72" s="10" t="s">
        <v>487</v>
      </c>
      <c r="J72" s="1">
        <v>0</v>
      </c>
      <c r="K72" s="1">
        <v>0</v>
      </c>
      <c r="L72" s="1">
        <f t="shared" ref="L71:L81" si="10">L71+15</f>
        <v>190</v>
      </c>
      <c r="M72" s="1">
        <f>M71+15</f>
        <v>100</v>
      </c>
      <c r="N72" s="1">
        <f t="shared" si="7"/>
        <v>110</v>
      </c>
      <c r="O72" s="1">
        <f t="shared" ref="O72:O95" si="11">O71+15</f>
        <v>130</v>
      </c>
      <c r="P72" s="4">
        <v>0</v>
      </c>
      <c r="Q72" s="4">
        <v>0</v>
      </c>
      <c r="R72" s="4">
        <v>0</v>
      </c>
      <c r="S72" s="1" t="s">
        <v>488</v>
      </c>
      <c r="T72" s="1" t="s">
        <v>488</v>
      </c>
      <c r="U72" s="2"/>
      <c r="V72" s="2"/>
      <c r="W72" s="2"/>
      <c r="X72" s="2"/>
      <c r="Y72" s="2"/>
    </row>
    <row r="73" s="1" customFormat="1" customHeight="1" spans="1:25">
      <c r="A73" s="2"/>
      <c r="C73" s="1" t="s">
        <v>489</v>
      </c>
      <c r="D73" s="1" t="s">
        <v>490</v>
      </c>
      <c r="E73" s="1">
        <v>2</v>
      </c>
      <c r="F73" s="1" t="s">
        <v>491</v>
      </c>
      <c r="G73" s="10" t="s">
        <v>492</v>
      </c>
      <c r="H73" s="10" t="s">
        <v>493</v>
      </c>
      <c r="I73" s="10" t="s">
        <v>494</v>
      </c>
      <c r="J73" s="1">
        <v>0</v>
      </c>
      <c r="K73" s="1">
        <v>0</v>
      </c>
      <c r="L73" s="1">
        <f t="shared" si="10"/>
        <v>205</v>
      </c>
      <c r="M73" s="1">
        <f t="shared" ref="M73:M81" si="12">M72+5</f>
        <v>105</v>
      </c>
      <c r="N73" s="1">
        <f t="shared" si="7"/>
        <v>115</v>
      </c>
      <c r="O73" s="1">
        <f t="shared" si="11"/>
        <v>145</v>
      </c>
      <c r="P73" s="4">
        <v>0</v>
      </c>
      <c r="Q73" s="4">
        <v>0</v>
      </c>
      <c r="R73" s="4">
        <v>0</v>
      </c>
      <c r="S73" s="1" t="s">
        <v>495</v>
      </c>
      <c r="T73" s="1" t="s">
        <v>495</v>
      </c>
      <c r="U73" s="2"/>
      <c r="V73" s="2"/>
      <c r="W73" s="2"/>
      <c r="X73" s="2"/>
      <c r="Y73" s="2"/>
    </row>
    <row r="74" s="1" customFormat="1" customHeight="1" spans="1:25">
      <c r="A74" s="2"/>
      <c r="C74" s="1" t="s">
        <v>496</v>
      </c>
      <c r="D74" s="1" t="s">
        <v>497</v>
      </c>
      <c r="E74" s="1">
        <v>2</v>
      </c>
      <c r="F74" s="1" t="s">
        <v>498</v>
      </c>
      <c r="G74" s="10" t="s">
        <v>499</v>
      </c>
      <c r="H74" s="10" t="s">
        <v>500</v>
      </c>
      <c r="I74" s="10" t="s">
        <v>501</v>
      </c>
      <c r="J74" s="1">
        <v>0</v>
      </c>
      <c r="K74" s="1">
        <v>0</v>
      </c>
      <c r="L74" s="1">
        <f t="shared" si="10"/>
        <v>220</v>
      </c>
      <c r="M74" s="1">
        <f t="shared" si="12"/>
        <v>110</v>
      </c>
      <c r="N74" s="1">
        <f t="shared" si="7"/>
        <v>120</v>
      </c>
      <c r="O74" s="1">
        <f t="shared" si="11"/>
        <v>160</v>
      </c>
      <c r="P74" s="4">
        <v>0</v>
      </c>
      <c r="Q74" s="4">
        <v>0</v>
      </c>
      <c r="R74" s="4">
        <v>0</v>
      </c>
      <c r="S74" s="1" t="s">
        <v>502</v>
      </c>
      <c r="T74" s="1" t="s">
        <v>502</v>
      </c>
      <c r="U74" s="2"/>
      <c r="V74" s="2"/>
      <c r="W74" s="2"/>
      <c r="X74" s="2"/>
      <c r="Y74" s="2"/>
    </row>
    <row r="75" s="1" customFormat="1" customHeight="1" spans="1:25">
      <c r="A75" s="2"/>
      <c r="C75" s="1" t="s">
        <v>503</v>
      </c>
      <c r="D75" s="1" t="s">
        <v>504</v>
      </c>
      <c r="E75" s="1">
        <v>2</v>
      </c>
      <c r="F75" s="1" t="s">
        <v>505</v>
      </c>
      <c r="G75" s="10" t="s">
        <v>506</v>
      </c>
      <c r="H75" s="10" t="s">
        <v>507</v>
      </c>
      <c r="I75" s="10" t="s">
        <v>508</v>
      </c>
      <c r="J75" s="1">
        <v>0</v>
      </c>
      <c r="K75" s="1">
        <v>0</v>
      </c>
      <c r="L75" s="1">
        <f t="shared" si="10"/>
        <v>235</v>
      </c>
      <c r="M75" s="1">
        <f t="shared" si="12"/>
        <v>115</v>
      </c>
      <c r="N75" s="1">
        <f t="shared" si="7"/>
        <v>125</v>
      </c>
      <c r="O75" s="1">
        <f t="shared" si="11"/>
        <v>175</v>
      </c>
      <c r="P75" s="4">
        <v>0</v>
      </c>
      <c r="Q75" s="4">
        <v>0</v>
      </c>
      <c r="R75" s="4">
        <v>0</v>
      </c>
      <c r="S75" s="1" t="s">
        <v>509</v>
      </c>
      <c r="T75" s="10" t="s">
        <v>509</v>
      </c>
      <c r="U75" s="2"/>
      <c r="V75" s="2"/>
      <c r="W75" s="2"/>
      <c r="X75" s="2"/>
      <c r="Y75" s="2"/>
    </row>
    <row r="76" s="1" customFormat="1" customHeight="1" spans="1:25">
      <c r="A76" s="2"/>
      <c r="B76" s="2"/>
      <c r="C76" s="1" t="s">
        <v>510</v>
      </c>
      <c r="D76" s="1" t="s">
        <v>511</v>
      </c>
      <c r="E76" s="1">
        <v>3</v>
      </c>
      <c r="F76" s="1" t="s">
        <v>512</v>
      </c>
      <c r="G76" s="10" t="s">
        <v>513</v>
      </c>
      <c r="H76" s="10" t="s">
        <v>514</v>
      </c>
      <c r="I76" s="10" t="s">
        <v>515</v>
      </c>
      <c r="J76" s="1">
        <v>0</v>
      </c>
      <c r="K76" s="1">
        <v>0</v>
      </c>
      <c r="L76" s="1">
        <f t="shared" si="10"/>
        <v>250</v>
      </c>
      <c r="M76" s="1">
        <f t="shared" si="12"/>
        <v>120</v>
      </c>
      <c r="N76" s="1">
        <f t="shared" si="7"/>
        <v>130</v>
      </c>
      <c r="O76" s="1">
        <f t="shared" si="11"/>
        <v>190</v>
      </c>
      <c r="P76" s="4">
        <v>0</v>
      </c>
      <c r="Q76" s="4">
        <v>0</v>
      </c>
      <c r="R76" s="4">
        <v>0</v>
      </c>
      <c r="S76" s="1">
        <v>229385000</v>
      </c>
      <c r="T76" s="1">
        <v>229385000</v>
      </c>
      <c r="W76" s="2"/>
      <c r="X76" s="2"/>
      <c r="Y76" s="2"/>
    </row>
    <row r="77" s="1" customFormat="1" customHeight="1" spans="1:25">
      <c r="A77" s="2"/>
      <c r="B77" s="2"/>
      <c r="C77" s="1" t="s">
        <v>516</v>
      </c>
      <c r="D77" s="1" t="s">
        <v>517</v>
      </c>
      <c r="E77" s="1">
        <v>3</v>
      </c>
      <c r="F77" s="1" t="s">
        <v>518</v>
      </c>
      <c r="G77" s="10" t="s">
        <v>519</v>
      </c>
      <c r="H77" s="10" t="s">
        <v>520</v>
      </c>
      <c r="I77" s="10" t="s">
        <v>521</v>
      </c>
      <c r="J77" s="1">
        <v>0</v>
      </c>
      <c r="K77" s="1">
        <v>0</v>
      </c>
      <c r="L77" s="1">
        <f t="shared" si="10"/>
        <v>265</v>
      </c>
      <c r="M77" s="1">
        <f t="shared" si="12"/>
        <v>125</v>
      </c>
      <c r="N77" s="1">
        <f t="shared" si="7"/>
        <v>135</v>
      </c>
      <c r="O77" s="1">
        <f t="shared" si="11"/>
        <v>205</v>
      </c>
      <c r="P77" s="4">
        <v>0</v>
      </c>
      <c r="Q77" s="4">
        <v>0</v>
      </c>
      <c r="R77" s="4">
        <v>0</v>
      </c>
      <c r="S77" s="1">
        <v>239385000</v>
      </c>
      <c r="T77" s="1">
        <v>239385000</v>
      </c>
      <c r="W77" s="2"/>
      <c r="X77" s="2"/>
      <c r="Y77" s="2"/>
    </row>
    <row r="78" s="1" customFormat="1" customHeight="1" spans="1:25">
      <c r="A78" s="2"/>
      <c r="B78" s="2"/>
      <c r="C78" s="1" t="s">
        <v>522</v>
      </c>
      <c r="D78" s="1" t="s">
        <v>523</v>
      </c>
      <c r="E78" s="1">
        <v>3</v>
      </c>
      <c r="F78" s="1" t="s">
        <v>524</v>
      </c>
      <c r="G78" s="10" t="s">
        <v>525</v>
      </c>
      <c r="H78" s="10" t="s">
        <v>526</v>
      </c>
      <c r="I78" s="10" t="s">
        <v>527</v>
      </c>
      <c r="J78" s="1">
        <v>0</v>
      </c>
      <c r="K78" s="1">
        <v>0</v>
      </c>
      <c r="L78" s="1">
        <f t="shared" si="10"/>
        <v>280</v>
      </c>
      <c r="M78" s="1">
        <f t="shared" si="12"/>
        <v>130</v>
      </c>
      <c r="N78" s="1">
        <f t="shared" si="7"/>
        <v>140</v>
      </c>
      <c r="O78" s="1">
        <f t="shared" si="11"/>
        <v>220</v>
      </c>
      <c r="P78" s="4">
        <v>0</v>
      </c>
      <c r="Q78" s="4">
        <v>0</v>
      </c>
      <c r="R78" s="4">
        <v>0</v>
      </c>
      <c r="S78" s="1">
        <v>249385000</v>
      </c>
      <c r="T78" s="1">
        <v>249385000</v>
      </c>
      <c r="W78" s="2"/>
      <c r="X78" s="2"/>
      <c r="Y78" s="2"/>
    </row>
    <row r="79" s="1" customFormat="1" customHeight="1" spans="1:25">
      <c r="A79" s="2"/>
      <c r="B79" s="2"/>
      <c r="C79" s="1" t="s">
        <v>528</v>
      </c>
      <c r="D79" s="1" t="s">
        <v>529</v>
      </c>
      <c r="E79" s="1">
        <v>3</v>
      </c>
      <c r="F79" s="1" t="s">
        <v>530</v>
      </c>
      <c r="G79" s="10" t="s">
        <v>531</v>
      </c>
      <c r="H79" s="10" t="s">
        <v>532</v>
      </c>
      <c r="I79" s="10" t="s">
        <v>533</v>
      </c>
      <c r="J79" s="1">
        <v>0</v>
      </c>
      <c r="K79" s="1">
        <v>0</v>
      </c>
      <c r="L79" s="1">
        <f t="shared" si="10"/>
        <v>295</v>
      </c>
      <c r="M79" s="1">
        <f t="shared" si="12"/>
        <v>135</v>
      </c>
      <c r="N79" s="1">
        <f t="shared" si="7"/>
        <v>145</v>
      </c>
      <c r="O79" s="1">
        <f t="shared" si="11"/>
        <v>235</v>
      </c>
      <c r="P79" s="4">
        <v>0</v>
      </c>
      <c r="Q79" s="4">
        <v>0</v>
      </c>
      <c r="R79" s="4">
        <v>0</v>
      </c>
      <c r="S79" s="1">
        <v>259385000</v>
      </c>
      <c r="T79" s="1">
        <v>259385000</v>
      </c>
      <c r="W79" s="2"/>
      <c r="X79" s="2"/>
      <c r="Y79" s="2"/>
    </row>
    <row r="80" s="1" customFormat="1" customHeight="1" spans="1:25">
      <c r="A80" s="2"/>
      <c r="B80" s="2"/>
      <c r="C80" s="1" t="s">
        <v>534</v>
      </c>
      <c r="D80" s="1" t="s">
        <v>535</v>
      </c>
      <c r="E80" s="1">
        <v>3</v>
      </c>
      <c r="F80" s="1" t="s">
        <v>536</v>
      </c>
      <c r="G80" s="10" t="s">
        <v>537</v>
      </c>
      <c r="H80" s="10" t="s">
        <v>538</v>
      </c>
      <c r="I80" s="10" t="s">
        <v>539</v>
      </c>
      <c r="J80" s="1">
        <v>0</v>
      </c>
      <c r="K80" s="1">
        <v>0</v>
      </c>
      <c r="L80" s="1">
        <f t="shared" si="10"/>
        <v>310</v>
      </c>
      <c r="M80" s="1">
        <f t="shared" si="12"/>
        <v>140</v>
      </c>
      <c r="N80" s="1">
        <f t="shared" si="7"/>
        <v>150</v>
      </c>
      <c r="O80" s="1">
        <f t="shared" si="11"/>
        <v>250</v>
      </c>
      <c r="P80" s="4">
        <v>0</v>
      </c>
      <c r="Q80" s="4">
        <v>0</v>
      </c>
      <c r="R80" s="4">
        <v>0</v>
      </c>
      <c r="S80" s="1">
        <v>269385000</v>
      </c>
      <c r="T80" s="1">
        <v>269385000</v>
      </c>
      <c r="W80" s="2"/>
      <c r="X80" s="2"/>
      <c r="Y80" s="2"/>
    </row>
    <row r="81" s="1" customFormat="1" customHeight="1" spans="1:25">
      <c r="A81" s="2"/>
      <c r="B81" s="2"/>
      <c r="C81" s="1" t="s">
        <v>540</v>
      </c>
      <c r="D81" s="1" t="s">
        <v>541</v>
      </c>
      <c r="E81" s="1">
        <v>3</v>
      </c>
      <c r="F81" s="1" t="s">
        <v>542</v>
      </c>
      <c r="G81" s="10" t="s">
        <v>543</v>
      </c>
      <c r="H81" s="10" t="s">
        <v>544</v>
      </c>
      <c r="I81" s="10" t="s">
        <v>545</v>
      </c>
      <c r="J81" s="1">
        <v>0</v>
      </c>
      <c r="K81" s="1">
        <v>0</v>
      </c>
      <c r="L81" s="1">
        <f t="shared" ref="L81:L91" si="13">L80+25</f>
        <v>335</v>
      </c>
      <c r="M81" s="1">
        <f t="shared" ref="M81:M90" si="14">M80+15</f>
        <v>155</v>
      </c>
      <c r="N81" s="1">
        <f t="shared" si="7"/>
        <v>155</v>
      </c>
      <c r="O81" s="1">
        <f t="shared" si="11"/>
        <v>265</v>
      </c>
      <c r="P81" s="4">
        <v>0</v>
      </c>
      <c r="Q81" s="4">
        <v>0</v>
      </c>
      <c r="R81" s="4">
        <v>0</v>
      </c>
      <c r="S81" s="1">
        <v>300000000</v>
      </c>
      <c r="T81" s="1">
        <v>300000000</v>
      </c>
      <c r="U81" s="2"/>
      <c r="V81" s="2"/>
      <c r="W81" s="2"/>
      <c r="X81" s="2"/>
      <c r="Y81" s="2"/>
    </row>
    <row r="82" s="1" customFormat="1" customHeight="1" spans="1:25">
      <c r="A82" s="2"/>
      <c r="B82" s="2"/>
      <c r="C82" s="1" t="s">
        <v>546</v>
      </c>
      <c r="D82" s="1" t="s">
        <v>547</v>
      </c>
      <c r="E82" s="1">
        <v>3</v>
      </c>
      <c r="F82" s="1" t="s">
        <v>548</v>
      </c>
      <c r="G82" s="10" t="s">
        <v>549</v>
      </c>
      <c r="H82" s="10" t="s">
        <v>550</v>
      </c>
      <c r="I82" s="10" t="s">
        <v>551</v>
      </c>
      <c r="J82" s="1">
        <v>0</v>
      </c>
      <c r="K82" s="1">
        <v>0</v>
      </c>
      <c r="L82" s="1">
        <f t="shared" si="13"/>
        <v>360</v>
      </c>
      <c r="M82" s="1">
        <f t="shared" si="14"/>
        <v>170</v>
      </c>
      <c r="N82" s="1">
        <f t="shared" si="7"/>
        <v>160</v>
      </c>
      <c r="O82" s="1">
        <f t="shared" si="11"/>
        <v>280</v>
      </c>
      <c r="P82" s="4">
        <v>0</v>
      </c>
      <c r="Q82" s="4">
        <v>0</v>
      </c>
      <c r="R82" s="4">
        <v>0</v>
      </c>
      <c r="S82" s="1">
        <v>320000000</v>
      </c>
      <c r="T82" s="1">
        <v>320000000</v>
      </c>
      <c r="U82" s="2"/>
      <c r="V82" s="2"/>
      <c r="W82" s="2"/>
      <c r="X82" s="2"/>
      <c r="Y82" s="2"/>
    </row>
    <row r="83" s="1" customFormat="1" customHeight="1" spans="1:25">
      <c r="A83" s="2"/>
      <c r="B83" s="2"/>
      <c r="C83" s="1" t="s">
        <v>552</v>
      </c>
      <c r="D83" s="1" t="s">
        <v>553</v>
      </c>
      <c r="E83" s="1">
        <v>3</v>
      </c>
      <c r="F83" s="1" t="s">
        <v>554</v>
      </c>
      <c r="G83" s="10" t="s">
        <v>555</v>
      </c>
      <c r="H83" s="10" t="s">
        <v>556</v>
      </c>
      <c r="I83" s="10" t="s">
        <v>557</v>
      </c>
      <c r="J83" s="1">
        <v>0</v>
      </c>
      <c r="K83" s="1">
        <v>0</v>
      </c>
      <c r="L83" s="1">
        <f t="shared" si="13"/>
        <v>385</v>
      </c>
      <c r="M83" s="1">
        <f t="shared" si="14"/>
        <v>185</v>
      </c>
      <c r="N83" s="1">
        <f t="shared" si="7"/>
        <v>165</v>
      </c>
      <c r="O83" s="1">
        <f t="shared" si="11"/>
        <v>295</v>
      </c>
      <c r="P83" s="4">
        <v>0</v>
      </c>
      <c r="Q83" s="4">
        <v>0</v>
      </c>
      <c r="R83" s="4">
        <v>0</v>
      </c>
      <c r="S83" s="1">
        <v>340000000</v>
      </c>
      <c r="T83" s="1">
        <v>340000000</v>
      </c>
      <c r="U83" s="2"/>
      <c r="V83" s="2"/>
      <c r="W83" s="2"/>
      <c r="X83" s="2"/>
      <c r="Y83" s="2"/>
    </row>
    <row r="84" s="1" customFormat="1" customHeight="1" spans="1:25">
      <c r="A84" s="2"/>
      <c r="B84" s="2"/>
      <c r="C84" s="1" t="s">
        <v>558</v>
      </c>
      <c r="D84" s="1" t="s">
        <v>559</v>
      </c>
      <c r="E84" s="1">
        <v>3</v>
      </c>
      <c r="F84" s="1" t="s">
        <v>560</v>
      </c>
      <c r="G84" s="10" t="s">
        <v>561</v>
      </c>
      <c r="H84" s="10" t="s">
        <v>562</v>
      </c>
      <c r="I84" s="10" t="s">
        <v>563</v>
      </c>
      <c r="J84" s="1">
        <v>0</v>
      </c>
      <c r="K84" s="1">
        <v>0</v>
      </c>
      <c r="L84" s="1">
        <f t="shared" si="13"/>
        <v>410</v>
      </c>
      <c r="M84" s="1">
        <f t="shared" si="14"/>
        <v>200</v>
      </c>
      <c r="N84" s="1">
        <f t="shared" si="7"/>
        <v>170</v>
      </c>
      <c r="O84" s="1">
        <f t="shared" si="11"/>
        <v>310</v>
      </c>
      <c r="P84" s="4">
        <v>0</v>
      </c>
      <c r="Q84" s="4">
        <v>0</v>
      </c>
      <c r="R84" s="4">
        <v>0</v>
      </c>
      <c r="S84" s="1">
        <v>370000000</v>
      </c>
      <c r="T84" s="1">
        <v>370000000</v>
      </c>
      <c r="U84" s="2"/>
      <c r="V84" s="2"/>
      <c r="W84" s="2"/>
      <c r="X84" s="2"/>
      <c r="Y84" s="2"/>
    </row>
    <row r="85" s="1" customFormat="1" customHeight="1" spans="1:25">
      <c r="A85" s="2"/>
      <c r="B85" s="2"/>
      <c r="C85" s="1" t="s">
        <v>564</v>
      </c>
      <c r="D85" s="1" t="s">
        <v>565</v>
      </c>
      <c r="E85" s="1">
        <v>3</v>
      </c>
      <c r="F85" s="1" t="s">
        <v>566</v>
      </c>
      <c r="G85" s="10" t="s">
        <v>567</v>
      </c>
      <c r="H85" s="10" t="s">
        <v>568</v>
      </c>
      <c r="I85" s="10" t="s">
        <v>569</v>
      </c>
      <c r="J85" s="1">
        <v>0</v>
      </c>
      <c r="K85" s="1">
        <v>0</v>
      </c>
      <c r="L85" s="1">
        <f t="shared" si="13"/>
        <v>435</v>
      </c>
      <c r="M85" s="1">
        <f t="shared" si="14"/>
        <v>215</v>
      </c>
      <c r="N85" s="1">
        <f t="shared" si="7"/>
        <v>175</v>
      </c>
      <c r="O85" s="1">
        <f t="shared" si="11"/>
        <v>325</v>
      </c>
      <c r="P85" s="4">
        <v>0</v>
      </c>
      <c r="Q85" s="4">
        <v>0</v>
      </c>
      <c r="R85" s="4">
        <v>0</v>
      </c>
      <c r="S85" s="1">
        <v>400000000</v>
      </c>
      <c r="T85" s="1">
        <v>400000000</v>
      </c>
      <c r="U85" s="2"/>
      <c r="V85" s="2"/>
      <c r="W85" s="2"/>
      <c r="X85" s="2"/>
      <c r="Y85" s="2"/>
    </row>
    <row r="86" s="1" customFormat="1" customHeight="1" spans="1:25">
      <c r="A86" s="2"/>
      <c r="B86" s="2"/>
      <c r="C86" s="1" t="s">
        <v>570</v>
      </c>
      <c r="D86" s="1" t="s">
        <v>571</v>
      </c>
      <c r="E86" s="1">
        <v>3</v>
      </c>
      <c r="F86" s="1" t="s">
        <v>572</v>
      </c>
      <c r="G86" s="10" t="s">
        <v>573</v>
      </c>
      <c r="H86" s="10" t="s">
        <v>537</v>
      </c>
      <c r="I86" s="10" t="s">
        <v>574</v>
      </c>
      <c r="J86" s="1">
        <v>0</v>
      </c>
      <c r="K86" s="1">
        <v>0</v>
      </c>
      <c r="L86" s="1">
        <f t="shared" si="13"/>
        <v>460</v>
      </c>
      <c r="M86" s="1">
        <f t="shared" si="14"/>
        <v>230</v>
      </c>
      <c r="N86" s="1">
        <f t="shared" si="7"/>
        <v>180</v>
      </c>
      <c r="O86" s="1">
        <f t="shared" si="11"/>
        <v>340</v>
      </c>
      <c r="P86" s="4">
        <v>0</v>
      </c>
      <c r="Q86" s="4">
        <v>0</v>
      </c>
      <c r="R86" s="4">
        <v>0</v>
      </c>
      <c r="S86" s="1">
        <v>500000000</v>
      </c>
      <c r="T86" s="1">
        <v>500000000</v>
      </c>
      <c r="U86" s="2"/>
      <c r="V86" s="2"/>
      <c r="W86" s="2"/>
      <c r="X86" s="2"/>
      <c r="Y86" s="2"/>
    </row>
    <row r="87" s="1" customFormat="1" customHeight="1" spans="1:25">
      <c r="A87" s="2"/>
      <c r="B87" s="2"/>
      <c r="C87" s="1" t="s">
        <v>575</v>
      </c>
      <c r="D87" s="1" t="s">
        <v>576</v>
      </c>
      <c r="E87" s="1">
        <v>3</v>
      </c>
      <c r="F87" s="1" t="s">
        <v>577</v>
      </c>
      <c r="G87" s="10" t="s">
        <v>578</v>
      </c>
      <c r="H87" s="10" t="s">
        <v>579</v>
      </c>
      <c r="I87" s="10" t="s">
        <v>580</v>
      </c>
      <c r="J87" s="1">
        <v>0</v>
      </c>
      <c r="K87" s="1">
        <v>0</v>
      </c>
      <c r="L87" s="1">
        <f t="shared" si="13"/>
        <v>485</v>
      </c>
      <c r="M87" s="1">
        <f t="shared" si="14"/>
        <v>245</v>
      </c>
      <c r="N87" s="1">
        <f t="shared" si="7"/>
        <v>185</v>
      </c>
      <c r="O87" s="1">
        <f t="shared" si="11"/>
        <v>355</v>
      </c>
      <c r="P87" s="4">
        <v>0</v>
      </c>
      <c r="Q87" s="4">
        <v>0</v>
      </c>
      <c r="R87" s="4">
        <v>0</v>
      </c>
      <c r="S87" s="1">
        <v>600000000</v>
      </c>
      <c r="T87" s="1">
        <v>600000000</v>
      </c>
      <c r="U87" s="2"/>
      <c r="V87" s="2"/>
      <c r="W87" s="2"/>
      <c r="X87" s="2"/>
      <c r="Y87" s="2"/>
    </row>
    <row r="88" s="1" customFormat="1" customHeight="1" spans="1:25">
      <c r="A88" s="2"/>
      <c r="B88" s="2"/>
      <c r="C88" s="1" t="s">
        <v>581</v>
      </c>
      <c r="D88" s="1" t="s">
        <v>582</v>
      </c>
      <c r="E88" s="1">
        <v>3</v>
      </c>
      <c r="F88" s="1" t="s">
        <v>583</v>
      </c>
      <c r="G88" s="10" t="s">
        <v>487</v>
      </c>
      <c r="H88" s="10" t="s">
        <v>452</v>
      </c>
      <c r="I88" s="10" t="s">
        <v>584</v>
      </c>
      <c r="J88" s="1">
        <v>0</v>
      </c>
      <c r="K88" s="1">
        <v>0</v>
      </c>
      <c r="L88" s="1">
        <f t="shared" si="13"/>
        <v>510</v>
      </c>
      <c r="M88" s="1">
        <f t="shared" si="14"/>
        <v>260</v>
      </c>
      <c r="N88" s="1">
        <f t="shared" si="7"/>
        <v>190</v>
      </c>
      <c r="O88" s="1">
        <f t="shared" si="11"/>
        <v>370</v>
      </c>
      <c r="P88" s="4">
        <v>0</v>
      </c>
      <c r="Q88" s="4">
        <v>0</v>
      </c>
      <c r="R88" s="4">
        <v>0</v>
      </c>
      <c r="S88" s="1">
        <v>700000000</v>
      </c>
      <c r="T88" s="1">
        <v>700000000</v>
      </c>
      <c r="U88" s="2"/>
      <c r="V88" s="2"/>
      <c r="W88" s="2"/>
      <c r="X88" s="2"/>
      <c r="Y88" s="2"/>
    </row>
    <row r="89" s="1" customFormat="1" customHeight="1" spans="1:25">
      <c r="A89" s="2"/>
      <c r="B89" s="2"/>
      <c r="C89" s="1" t="s">
        <v>585</v>
      </c>
      <c r="D89" s="1" t="s">
        <v>586</v>
      </c>
      <c r="E89" s="1">
        <v>3</v>
      </c>
      <c r="F89" s="1" t="s">
        <v>587</v>
      </c>
      <c r="G89" s="10" t="s">
        <v>501</v>
      </c>
      <c r="H89" s="10" t="s">
        <v>588</v>
      </c>
      <c r="I89" s="10" t="s">
        <v>589</v>
      </c>
      <c r="J89" s="1">
        <v>0</v>
      </c>
      <c r="K89" s="1">
        <v>0</v>
      </c>
      <c r="L89" s="1">
        <f t="shared" si="13"/>
        <v>535</v>
      </c>
      <c r="M89" s="1">
        <f t="shared" si="14"/>
        <v>275</v>
      </c>
      <c r="N89" s="1">
        <f t="shared" si="7"/>
        <v>195</v>
      </c>
      <c r="O89" s="1">
        <f t="shared" si="11"/>
        <v>385</v>
      </c>
      <c r="P89" s="4">
        <v>0</v>
      </c>
      <c r="Q89" s="4">
        <v>0</v>
      </c>
      <c r="R89" s="4">
        <v>0</v>
      </c>
      <c r="S89" s="1">
        <v>800000000</v>
      </c>
      <c r="T89" s="1">
        <v>800000000</v>
      </c>
      <c r="U89" s="2"/>
      <c r="V89" s="2"/>
      <c r="W89" s="2"/>
      <c r="X89" s="2"/>
      <c r="Y89" s="2"/>
    </row>
    <row r="90" s="1" customFormat="1" customHeight="1" spans="1:25">
      <c r="A90" s="2"/>
      <c r="B90" s="2"/>
      <c r="C90" s="1" t="s">
        <v>590</v>
      </c>
      <c r="D90" s="1" t="s">
        <v>591</v>
      </c>
      <c r="E90" s="1">
        <v>3</v>
      </c>
      <c r="F90" s="1" t="s">
        <v>592</v>
      </c>
      <c r="G90" s="10" t="s">
        <v>593</v>
      </c>
      <c r="H90" s="10" t="s">
        <v>578</v>
      </c>
      <c r="I90" s="10" t="s">
        <v>594</v>
      </c>
      <c r="J90" s="1">
        <v>0</v>
      </c>
      <c r="K90" s="1">
        <v>0</v>
      </c>
      <c r="L90" s="1">
        <f t="shared" si="13"/>
        <v>560</v>
      </c>
      <c r="M90" s="1">
        <f t="shared" si="14"/>
        <v>290</v>
      </c>
      <c r="N90" s="1">
        <f t="shared" si="7"/>
        <v>200</v>
      </c>
      <c r="O90" s="1">
        <f t="shared" si="11"/>
        <v>400</v>
      </c>
      <c r="P90" s="4">
        <v>0</v>
      </c>
      <c r="Q90" s="4">
        <v>0</v>
      </c>
      <c r="R90" s="4">
        <v>0</v>
      </c>
      <c r="S90" s="1">
        <v>1000000000</v>
      </c>
      <c r="T90" s="1">
        <v>1000000000</v>
      </c>
      <c r="U90" s="2"/>
      <c r="V90" s="2"/>
      <c r="W90" s="2"/>
      <c r="X90" s="2"/>
      <c r="Y90" s="2"/>
    </row>
    <row r="91" s="1" customFormat="1" customHeight="1" spans="1:25">
      <c r="A91" s="2"/>
      <c r="B91" s="2"/>
      <c r="C91" s="1" t="s">
        <v>595</v>
      </c>
      <c r="D91" s="1" t="s">
        <v>596</v>
      </c>
      <c r="E91" s="1">
        <v>3</v>
      </c>
      <c r="F91" s="1" t="s">
        <v>597</v>
      </c>
      <c r="G91" s="10" t="s">
        <v>598</v>
      </c>
      <c r="H91" s="10" t="s">
        <v>599</v>
      </c>
      <c r="I91" s="10" t="s">
        <v>600</v>
      </c>
      <c r="J91" s="1">
        <v>0</v>
      </c>
      <c r="K91" s="1">
        <v>0</v>
      </c>
      <c r="L91" s="1">
        <f t="shared" ref="L91:L100" si="15">L90+30</f>
        <v>590</v>
      </c>
      <c r="M91" s="1">
        <f t="shared" ref="M90:M96" si="16">M90+25</f>
        <v>315</v>
      </c>
      <c r="N91" s="1">
        <f t="shared" ref="N91:N96" si="17">N90+20</f>
        <v>220</v>
      </c>
      <c r="O91" s="1">
        <f t="shared" ref="O91:O96" si="18">O90+20</f>
        <v>420</v>
      </c>
      <c r="P91" s="4">
        <v>0</v>
      </c>
      <c r="Q91" s="4">
        <v>0</v>
      </c>
      <c r="R91" s="4">
        <v>0</v>
      </c>
      <c r="S91" s="1">
        <v>1100000000</v>
      </c>
      <c r="T91" s="1">
        <v>1100000000</v>
      </c>
      <c r="U91" s="2"/>
      <c r="V91" s="2"/>
      <c r="W91" s="2"/>
      <c r="X91" s="2"/>
      <c r="Y91" s="2"/>
    </row>
    <row r="92" s="1" customFormat="1" customHeight="1" spans="1:25">
      <c r="A92" s="2"/>
      <c r="B92" s="2"/>
      <c r="C92" s="1" t="s">
        <v>601</v>
      </c>
      <c r="D92" s="1" t="s">
        <v>602</v>
      </c>
      <c r="E92" s="1">
        <v>3</v>
      </c>
      <c r="F92" s="1" t="s">
        <v>603</v>
      </c>
      <c r="G92" s="10" t="s">
        <v>604</v>
      </c>
      <c r="H92" s="10" t="s">
        <v>605</v>
      </c>
      <c r="I92" s="10" t="s">
        <v>606</v>
      </c>
      <c r="J92" s="1">
        <v>0</v>
      </c>
      <c r="K92" s="1">
        <v>0</v>
      </c>
      <c r="L92" s="1">
        <f t="shared" si="15"/>
        <v>620</v>
      </c>
      <c r="M92" s="1">
        <f t="shared" si="16"/>
        <v>340</v>
      </c>
      <c r="N92" s="1">
        <f t="shared" si="17"/>
        <v>240</v>
      </c>
      <c r="O92" s="1">
        <f t="shared" si="18"/>
        <v>440</v>
      </c>
      <c r="P92" s="4">
        <v>0</v>
      </c>
      <c r="Q92" s="4">
        <v>0</v>
      </c>
      <c r="R92" s="4">
        <v>0</v>
      </c>
      <c r="S92" s="1">
        <v>1200000000</v>
      </c>
      <c r="T92" s="1">
        <v>1200000000</v>
      </c>
      <c r="U92" s="2"/>
      <c r="V92" s="2"/>
      <c r="W92" s="2"/>
      <c r="X92" s="2"/>
      <c r="Y92" s="2"/>
    </row>
    <row r="93" s="1" customFormat="1" customHeight="1" spans="1:25">
      <c r="A93" s="2"/>
      <c r="B93" s="2"/>
      <c r="C93" s="1" t="s">
        <v>607</v>
      </c>
      <c r="D93" s="1" t="s">
        <v>608</v>
      </c>
      <c r="E93" s="1">
        <v>3</v>
      </c>
      <c r="F93" s="1" t="s">
        <v>609</v>
      </c>
      <c r="G93" s="10" t="s">
        <v>610</v>
      </c>
      <c r="H93" s="10" t="s">
        <v>611</v>
      </c>
      <c r="I93" s="10" t="s">
        <v>612</v>
      </c>
      <c r="J93" s="1">
        <v>0</v>
      </c>
      <c r="K93" s="1">
        <v>0</v>
      </c>
      <c r="L93" s="1">
        <f t="shared" si="15"/>
        <v>650</v>
      </c>
      <c r="M93" s="1">
        <f t="shared" si="16"/>
        <v>365</v>
      </c>
      <c r="N93" s="1">
        <f t="shared" si="17"/>
        <v>260</v>
      </c>
      <c r="O93" s="1">
        <f t="shared" si="18"/>
        <v>460</v>
      </c>
      <c r="P93" s="4">
        <v>0</v>
      </c>
      <c r="Q93" s="4">
        <v>0</v>
      </c>
      <c r="R93" s="4">
        <v>0</v>
      </c>
      <c r="S93" s="1">
        <v>1300000000</v>
      </c>
      <c r="T93" s="1">
        <v>1300000000</v>
      </c>
      <c r="U93" s="2"/>
      <c r="V93" s="2"/>
      <c r="W93" s="2"/>
      <c r="X93" s="2"/>
      <c r="Y93" s="2"/>
    </row>
    <row r="94" s="1" customFormat="1" customHeight="1" spans="1:25">
      <c r="A94" s="2"/>
      <c r="B94" s="2"/>
      <c r="C94" s="1" t="s">
        <v>613</v>
      </c>
      <c r="D94" s="1" t="s">
        <v>614</v>
      </c>
      <c r="E94" s="1">
        <v>3</v>
      </c>
      <c r="F94" s="1" t="s">
        <v>615</v>
      </c>
      <c r="G94" s="10" t="s">
        <v>569</v>
      </c>
      <c r="H94" s="10" t="s">
        <v>616</v>
      </c>
      <c r="I94" s="10" t="s">
        <v>617</v>
      </c>
      <c r="J94" s="1">
        <v>0</v>
      </c>
      <c r="K94" s="1">
        <v>0</v>
      </c>
      <c r="L94" s="1">
        <f t="shared" si="15"/>
        <v>680</v>
      </c>
      <c r="M94" s="1">
        <f t="shared" si="16"/>
        <v>390</v>
      </c>
      <c r="N94" s="1">
        <f t="shared" si="17"/>
        <v>280</v>
      </c>
      <c r="O94" s="1">
        <f t="shared" si="18"/>
        <v>480</v>
      </c>
      <c r="P94" s="4">
        <v>0</v>
      </c>
      <c r="Q94" s="4">
        <v>0</v>
      </c>
      <c r="R94" s="4">
        <v>0</v>
      </c>
      <c r="S94" s="1">
        <v>1400000000</v>
      </c>
      <c r="T94" s="1">
        <v>1400000000</v>
      </c>
      <c r="U94" s="2"/>
      <c r="V94" s="2"/>
      <c r="W94" s="2"/>
      <c r="X94" s="2"/>
      <c r="Y94" s="2"/>
    </row>
    <row r="95" s="1" customFormat="1" customHeight="1" spans="1:25">
      <c r="A95" s="2"/>
      <c r="B95" s="2"/>
      <c r="C95" s="1" t="s">
        <v>618</v>
      </c>
      <c r="D95" s="1" t="s">
        <v>619</v>
      </c>
      <c r="E95" s="1">
        <v>3</v>
      </c>
      <c r="F95" s="1" t="s">
        <v>620</v>
      </c>
      <c r="G95" s="10" t="s">
        <v>574</v>
      </c>
      <c r="H95" s="10" t="s">
        <v>621</v>
      </c>
      <c r="I95" s="10" t="s">
        <v>622</v>
      </c>
      <c r="J95" s="1">
        <v>0</v>
      </c>
      <c r="K95" s="1">
        <v>0</v>
      </c>
      <c r="L95" s="1">
        <f t="shared" si="15"/>
        <v>710</v>
      </c>
      <c r="M95" s="1">
        <f t="shared" si="16"/>
        <v>415</v>
      </c>
      <c r="N95" s="1">
        <f t="shared" si="17"/>
        <v>300</v>
      </c>
      <c r="O95" s="1">
        <f t="shared" si="18"/>
        <v>500</v>
      </c>
      <c r="P95" s="4">
        <v>0</v>
      </c>
      <c r="Q95" s="4">
        <v>0</v>
      </c>
      <c r="R95" s="4">
        <v>0</v>
      </c>
      <c r="S95" s="1">
        <v>1500000000</v>
      </c>
      <c r="T95" s="1">
        <v>1500000000</v>
      </c>
      <c r="U95" s="2"/>
      <c r="V95" s="2"/>
      <c r="W95" s="2"/>
      <c r="X95" s="2"/>
      <c r="Y95" s="2"/>
    </row>
    <row r="96" customHeight="1" spans="3:20">
      <c r="C96" s="1" t="s">
        <v>623</v>
      </c>
      <c r="D96" s="1" t="s">
        <v>624</v>
      </c>
      <c r="E96" s="1">
        <v>3</v>
      </c>
      <c r="F96" s="1" t="s">
        <v>625</v>
      </c>
      <c r="G96" s="10" t="s">
        <v>580</v>
      </c>
      <c r="H96" s="10" t="s">
        <v>626</v>
      </c>
      <c r="I96" s="10" t="s">
        <v>627</v>
      </c>
      <c r="J96" s="1">
        <v>0</v>
      </c>
      <c r="K96" s="1">
        <v>0</v>
      </c>
      <c r="L96" s="1">
        <f t="shared" ref="L96:L105" si="19">L95+40</f>
        <v>750</v>
      </c>
      <c r="M96" s="1">
        <f t="shared" ref="M96:M105" si="20">M95+35</f>
        <v>450</v>
      </c>
      <c r="N96" s="1">
        <f t="shared" ref="N96:N105" si="21">N95+30</f>
        <v>330</v>
      </c>
      <c r="O96" s="1">
        <f t="shared" ref="O96:O105" si="22">O95+30</f>
        <v>530</v>
      </c>
      <c r="P96" s="4">
        <v>0</v>
      </c>
      <c r="Q96" s="4">
        <v>0</v>
      </c>
      <c r="R96" s="4">
        <v>0</v>
      </c>
      <c r="S96" s="1">
        <v>1600000000</v>
      </c>
      <c r="T96" s="1">
        <v>1600000000</v>
      </c>
    </row>
    <row r="97" customHeight="1" spans="3:20">
      <c r="C97" s="1" t="s">
        <v>628</v>
      </c>
      <c r="D97" s="1" t="s">
        <v>629</v>
      </c>
      <c r="E97" s="1">
        <v>3</v>
      </c>
      <c r="F97" s="1" t="s">
        <v>630</v>
      </c>
      <c r="G97" s="10" t="s">
        <v>584</v>
      </c>
      <c r="H97" s="10" t="s">
        <v>631</v>
      </c>
      <c r="I97" s="10" t="s">
        <v>632</v>
      </c>
      <c r="J97" s="1">
        <v>0</v>
      </c>
      <c r="K97" s="1">
        <v>0</v>
      </c>
      <c r="L97" s="1">
        <f t="shared" si="19"/>
        <v>790</v>
      </c>
      <c r="M97" s="1">
        <f t="shared" si="20"/>
        <v>485</v>
      </c>
      <c r="N97" s="1">
        <f t="shared" si="21"/>
        <v>360</v>
      </c>
      <c r="O97" s="1">
        <f t="shared" si="22"/>
        <v>560</v>
      </c>
      <c r="P97" s="4">
        <v>0</v>
      </c>
      <c r="Q97" s="4">
        <v>0</v>
      </c>
      <c r="R97" s="4">
        <v>0</v>
      </c>
      <c r="S97" s="1">
        <v>1700000000</v>
      </c>
      <c r="T97" s="1">
        <v>1700000000</v>
      </c>
    </row>
    <row r="98" customHeight="1" spans="3:20">
      <c r="C98" s="1" t="s">
        <v>633</v>
      </c>
      <c r="D98" s="1" t="s">
        <v>634</v>
      </c>
      <c r="E98" s="1">
        <v>3</v>
      </c>
      <c r="F98" s="1" t="s">
        <v>635</v>
      </c>
      <c r="G98" s="10" t="s">
        <v>636</v>
      </c>
      <c r="H98" s="10" t="s">
        <v>637</v>
      </c>
      <c r="I98" s="10" t="s">
        <v>638</v>
      </c>
      <c r="J98" s="1">
        <v>0</v>
      </c>
      <c r="K98" s="1">
        <v>0</v>
      </c>
      <c r="L98" s="1">
        <f t="shared" si="19"/>
        <v>830</v>
      </c>
      <c r="M98" s="1">
        <f t="shared" si="20"/>
        <v>520</v>
      </c>
      <c r="N98" s="1">
        <f t="shared" si="21"/>
        <v>390</v>
      </c>
      <c r="O98" s="1">
        <f t="shared" si="22"/>
        <v>590</v>
      </c>
      <c r="P98" s="4">
        <v>0</v>
      </c>
      <c r="Q98" s="4">
        <v>0</v>
      </c>
      <c r="R98" s="4">
        <v>0</v>
      </c>
      <c r="S98" s="1">
        <v>1800000000</v>
      </c>
      <c r="T98" s="1">
        <v>1800000000</v>
      </c>
    </row>
    <row r="99" customHeight="1" spans="3:20">
      <c r="C99" s="1" t="s">
        <v>639</v>
      </c>
      <c r="D99" s="1" t="s">
        <v>640</v>
      </c>
      <c r="E99" s="1">
        <v>3</v>
      </c>
      <c r="F99" s="1" t="s">
        <v>641</v>
      </c>
      <c r="G99" s="10" t="s">
        <v>642</v>
      </c>
      <c r="H99" s="10" t="s">
        <v>643</v>
      </c>
      <c r="I99" s="10" t="s">
        <v>644</v>
      </c>
      <c r="J99" s="1">
        <v>0</v>
      </c>
      <c r="K99" s="1">
        <v>0</v>
      </c>
      <c r="L99" s="1">
        <f t="shared" si="19"/>
        <v>870</v>
      </c>
      <c r="M99" s="1">
        <f t="shared" si="20"/>
        <v>555</v>
      </c>
      <c r="N99" s="1">
        <f t="shared" si="21"/>
        <v>420</v>
      </c>
      <c r="O99" s="1">
        <f t="shared" si="22"/>
        <v>620</v>
      </c>
      <c r="P99" s="4">
        <v>0</v>
      </c>
      <c r="Q99" s="4">
        <v>0</v>
      </c>
      <c r="R99" s="4">
        <v>0</v>
      </c>
      <c r="S99" s="1">
        <v>1900000000</v>
      </c>
      <c r="T99" s="1">
        <v>1900000000</v>
      </c>
    </row>
    <row r="100" customHeight="1" spans="3:20">
      <c r="C100" s="1" t="s">
        <v>645</v>
      </c>
      <c r="D100" s="1" t="s">
        <v>646</v>
      </c>
      <c r="E100" s="1">
        <v>3</v>
      </c>
      <c r="F100" s="1" t="s">
        <v>647</v>
      </c>
      <c r="G100" s="10" t="s">
        <v>648</v>
      </c>
      <c r="H100" s="10" t="s">
        <v>649</v>
      </c>
      <c r="I100" s="10" t="s">
        <v>650</v>
      </c>
      <c r="J100" s="1">
        <v>0</v>
      </c>
      <c r="K100" s="1">
        <v>0</v>
      </c>
      <c r="L100" s="1">
        <f t="shared" si="19"/>
        <v>910</v>
      </c>
      <c r="M100" s="1">
        <f t="shared" si="20"/>
        <v>590</v>
      </c>
      <c r="N100" s="1">
        <f t="shared" si="21"/>
        <v>450</v>
      </c>
      <c r="O100" s="1">
        <f t="shared" si="22"/>
        <v>650</v>
      </c>
      <c r="P100" s="4">
        <v>0</v>
      </c>
      <c r="Q100" s="4">
        <v>0</v>
      </c>
      <c r="R100" s="4">
        <v>0</v>
      </c>
      <c r="S100" s="1">
        <v>2000000000</v>
      </c>
      <c r="T100" s="1">
        <v>2000000000</v>
      </c>
    </row>
    <row r="101" customHeight="1" spans="3:20">
      <c r="C101" s="1" t="s">
        <v>651</v>
      </c>
      <c r="D101" s="1" t="s">
        <v>652</v>
      </c>
      <c r="E101" s="1">
        <v>3</v>
      </c>
      <c r="F101" s="1" t="s">
        <v>653</v>
      </c>
      <c r="G101" s="10" t="s">
        <v>654</v>
      </c>
      <c r="H101" s="10" t="s">
        <v>655</v>
      </c>
      <c r="I101" s="10" t="s">
        <v>656</v>
      </c>
      <c r="J101" s="1">
        <v>0</v>
      </c>
      <c r="K101" s="1">
        <v>0</v>
      </c>
      <c r="L101" s="1">
        <f t="shared" si="19"/>
        <v>950</v>
      </c>
      <c r="M101" s="1">
        <f t="shared" si="20"/>
        <v>625</v>
      </c>
      <c r="N101" s="1">
        <f t="shared" si="21"/>
        <v>480</v>
      </c>
      <c r="O101" s="1">
        <f t="shared" si="22"/>
        <v>680</v>
      </c>
      <c r="P101" s="4">
        <v>0</v>
      </c>
      <c r="Q101" s="4">
        <v>0</v>
      </c>
      <c r="R101" s="4">
        <v>0</v>
      </c>
      <c r="S101" s="1">
        <v>2100000000</v>
      </c>
      <c r="T101" s="1">
        <v>2100000000</v>
      </c>
    </row>
    <row r="102" customHeight="1" spans="3:20">
      <c r="C102" s="1" t="s">
        <v>657</v>
      </c>
      <c r="D102" s="1" t="s">
        <v>658</v>
      </c>
      <c r="E102" s="1">
        <v>3</v>
      </c>
      <c r="F102" s="1" t="s">
        <v>659</v>
      </c>
      <c r="G102" s="10" t="s">
        <v>660</v>
      </c>
      <c r="H102" s="10" t="s">
        <v>661</v>
      </c>
      <c r="I102" s="10" t="s">
        <v>662</v>
      </c>
      <c r="J102" s="1">
        <v>0</v>
      </c>
      <c r="K102" s="1">
        <v>0</v>
      </c>
      <c r="L102" s="1">
        <f t="shared" si="19"/>
        <v>990</v>
      </c>
      <c r="M102" s="1">
        <f t="shared" si="20"/>
        <v>660</v>
      </c>
      <c r="N102" s="1">
        <f t="shared" si="21"/>
        <v>510</v>
      </c>
      <c r="O102" s="1">
        <f t="shared" si="22"/>
        <v>710</v>
      </c>
      <c r="P102" s="4">
        <v>0</v>
      </c>
      <c r="Q102" s="4">
        <v>0</v>
      </c>
      <c r="R102" s="4">
        <v>0</v>
      </c>
      <c r="S102" s="1">
        <v>2200000000</v>
      </c>
      <c r="T102" s="1">
        <v>2200000000</v>
      </c>
    </row>
    <row r="103" customHeight="1" spans="3:20">
      <c r="C103" s="1" t="s">
        <v>663</v>
      </c>
      <c r="D103" s="1" t="s">
        <v>664</v>
      </c>
      <c r="E103" s="1">
        <v>3</v>
      </c>
      <c r="F103" s="1" t="s">
        <v>665</v>
      </c>
      <c r="G103" s="10" t="s">
        <v>666</v>
      </c>
      <c r="H103" s="10" t="s">
        <v>667</v>
      </c>
      <c r="I103" s="10" t="s">
        <v>668</v>
      </c>
      <c r="J103" s="1">
        <v>0</v>
      </c>
      <c r="K103" s="1">
        <v>0</v>
      </c>
      <c r="L103" s="1">
        <f t="shared" si="19"/>
        <v>1030</v>
      </c>
      <c r="M103" s="1">
        <f t="shared" si="20"/>
        <v>695</v>
      </c>
      <c r="N103" s="1">
        <f t="shared" si="21"/>
        <v>540</v>
      </c>
      <c r="O103" s="1">
        <f t="shared" si="22"/>
        <v>740</v>
      </c>
      <c r="P103" s="4">
        <v>0</v>
      </c>
      <c r="Q103" s="4">
        <v>0</v>
      </c>
      <c r="R103" s="4">
        <v>0</v>
      </c>
      <c r="S103" s="1">
        <v>2300000000</v>
      </c>
      <c r="T103" s="1">
        <v>2300000000</v>
      </c>
    </row>
    <row r="104" customHeight="1" spans="3:20">
      <c r="C104" s="1" t="s">
        <v>669</v>
      </c>
      <c r="D104" s="1" t="s">
        <v>670</v>
      </c>
      <c r="E104" s="1">
        <v>3</v>
      </c>
      <c r="F104" s="1" t="s">
        <v>671</v>
      </c>
      <c r="G104" s="10" t="s">
        <v>672</v>
      </c>
      <c r="H104" s="10" t="s">
        <v>666</v>
      </c>
      <c r="I104" s="10" t="s">
        <v>673</v>
      </c>
      <c r="J104" s="1">
        <v>0</v>
      </c>
      <c r="K104" s="1">
        <v>0</v>
      </c>
      <c r="L104" s="1">
        <f t="shared" si="19"/>
        <v>1070</v>
      </c>
      <c r="M104" s="1">
        <f t="shared" si="20"/>
        <v>730</v>
      </c>
      <c r="N104" s="1">
        <f t="shared" si="21"/>
        <v>570</v>
      </c>
      <c r="O104" s="1">
        <f t="shared" si="22"/>
        <v>770</v>
      </c>
      <c r="P104" s="4">
        <v>0</v>
      </c>
      <c r="Q104" s="4">
        <v>0</v>
      </c>
      <c r="R104" s="4">
        <v>0</v>
      </c>
      <c r="S104" s="1">
        <v>2400000000</v>
      </c>
      <c r="T104" s="1">
        <v>2400000000</v>
      </c>
    </row>
    <row r="105" customHeight="1" spans="3:20">
      <c r="C105" s="1" t="s">
        <v>674</v>
      </c>
      <c r="D105" s="1" t="s">
        <v>675</v>
      </c>
      <c r="E105" s="1">
        <v>3</v>
      </c>
      <c r="F105" s="1" t="s">
        <v>676</v>
      </c>
      <c r="G105" s="10" t="s">
        <v>677</v>
      </c>
      <c r="H105" s="10" t="s">
        <v>672</v>
      </c>
      <c r="I105" s="10" t="s">
        <v>678</v>
      </c>
      <c r="J105" s="1">
        <v>0</v>
      </c>
      <c r="K105" s="1">
        <v>0</v>
      </c>
      <c r="L105" s="1">
        <f t="shared" si="19"/>
        <v>1110</v>
      </c>
      <c r="M105" s="1">
        <f t="shared" si="20"/>
        <v>765</v>
      </c>
      <c r="N105" s="1">
        <f t="shared" si="21"/>
        <v>600</v>
      </c>
      <c r="O105" s="1">
        <f t="shared" si="22"/>
        <v>800</v>
      </c>
      <c r="P105" s="4">
        <v>0</v>
      </c>
      <c r="Q105" s="4">
        <v>0</v>
      </c>
      <c r="R105" s="4">
        <v>0</v>
      </c>
      <c r="S105" s="1">
        <v>2500000000</v>
      </c>
      <c r="T105" s="1">
        <v>2500000000</v>
      </c>
    </row>
    <row r="106" s="1" customFormat="1" customHeight="1" spans="1:25">
      <c r="A106" s="2"/>
      <c r="B106" s="2"/>
      <c r="C106" s="1" t="s">
        <v>679</v>
      </c>
      <c r="D106" s="1" t="s">
        <v>680</v>
      </c>
      <c r="E106" s="1">
        <v>3</v>
      </c>
      <c r="F106" s="1" t="s">
        <v>681</v>
      </c>
      <c r="G106" s="10" t="s">
        <v>682</v>
      </c>
      <c r="H106" s="10" t="s">
        <v>683</v>
      </c>
      <c r="I106" s="10" t="s">
        <v>684</v>
      </c>
      <c r="J106" s="1">
        <v>0</v>
      </c>
      <c r="K106" s="1">
        <v>0</v>
      </c>
      <c r="L106" s="1">
        <f t="shared" ref="L106:O106" si="23">L105+15</f>
        <v>1125</v>
      </c>
      <c r="M106" s="1">
        <f t="shared" si="23"/>
        <v>780</v>
      </c>
      <c r="N106" s="1">
        <f>N105+5</f>
        <v>605</v>
      </c>
      <c r="O106" s="1">
        <f t="shared" si="23"/>
        <v>815</v>
      </c>
      <c r="P106" s="4">
        <v>0</v>
      </c>
      <c r="Q106" s="4">
        <v>0</v>
      </c>
      <c r="R106" s="4">
        <v>0</v>
      </c>
      <c r="S106" s="1">
        <v>2600000000</v>
      </c>
      <c r="T106" s="1">
        <v>2600000000</v>
      </c>
      <c r="U106" s="2"/>
      <c r="V106" s="2"/>
      <c r="W106" s="2"/>
      <c r="X106" s="2"/>
      <c r="Y106" s="2"/>
    </row>
    <row r="107" s="1" customFormat="1" customHeight="1" spans="1:25">
      <c r="A107" s="2"/>
      <c r="B107" s="2"/>
      <c r="C107" s="1" t="s">
        <v>685</v>
      </c>
      <c r="D107" s="1" t="s">
        <v>686</v>
      </c>
      <c r="E107" s="1">
        <v>3</v>
      </c>
      <c r="F107" s="1" t="s">
        <v>687</v>
      </c>
      <c r="G107" s="10" t="s">
        <v>688</v>
      </c>
      <c r="H107" s="10" t="s">
        <v>689</v>
      </c>
      <c r="I107" s="10" t="s">
        <v>690</v>
      </c>
      <c r="J107" s="1">
        <v>0</v>
      </c>
      <c r="K107" s="1">
        <v>0</v>
      </c>
      <c r="L107" s="1">
        <f t="shared" ref="L107:O107" si="24">L106+15</f>
        <v>1140</v>
      </c>
      <c r="M107" s="1">
        <f t="shared" si="24"/>
        <v>795</v>
      </c>
      <c r="N107" s="1">
        <f t="shared" ref="N107:N112" si="25">N106+5</f>
        <v>610</v>
      </c>
      <c r="O107" s="1">
        <f t="shared" si="24"/>
        <v>830</v>
      </c>
      <c r="P107" s="4">
        <v>0</v>
      </c>
      <c r="Q107" s="4">
        <v>0</v>
      </c>
      <c r="R107" s="4">
        <v>0</v>
      </c>
      <c r="S107" s="1">
        <v>2700000000</v>
      </c>
      <c r="T107" s="1">
        <v>2700000000</v>
      </c>
      <c r="U107" s="2"/>
      <c r="V107" s="2"/>
      <c r="W107" s="2"/>
      <c r="X107" s="2"/>
      <c r="Y107" s="2"/>
    </row>
    <row r="108" s="1" customFormat="1" customHeight="1" spans="1:25">
      <c r="A108" s="2"/>
      <c r="B108" s="2"/>
      <c r="C108" s="1" t="s">
        <v>691</v>
      </c>
      <c r="D108" s="1" t="s">
        <v>692</v>
      </c>
      <c r="E108" s="1">
        <v>3</v>
      </c>
      <c r="F108" s="1" t="s">
        <v>693</v>
      </c>
      <c r="G108" s="10" t="s">
        <v>694</v>
      </c>
      <c r="H108" s="10" t="s">
        <v>695</v>
      </c>
      <c r="I108" s="10" t="s">
        <v>696</v>
      </c>
      <c r="J108" s="1">
        <v>0</v>
      </c>
      <c r="K108" s="1">
        <v>0</v>
      </c>
      <c r="L108" s="1">
        <f>L107+15</f>
        <v>1155</v>
      </c>
      <c r="M108" s="1">
        <f>M107+5</f>
        <v>800</v>
      </c>
      <c r="N108" s="1">
        <f t="shared" si="25"/>
        <v>615</v>
      </c>
      <c r="O108" s="1">
        <f>O107+15</f>
        <v>845</v>
      </c>
      <c r="P108" s="4">
        <v>0</v>
      </c>
      <c r="Q108" s="4">
        <v>0</v>
      </c>
      <c r="R108" s="4">
        <v>0</v>
      </c>
      <c r="S108" s="1">
        <v>2800000000</v>
      </c>
      <c r="T108" s="1">
        <v>2800000000</v>
      </c>
      <c r="U108" s="2"/>
      <c r="V108" s="2"/>
      <c r="W108" s="2"/>
      <c r="X108" s="2"/>
      <c r="Y108" s="2"/>
    </row>
    <row r="109" s="1" customFormat="1" customHeight="1" spans="1:25">
      <c r="A109" s="2"/>
      <c r="B109" s="2"/>
      <c r="C109" s="1" t="s">
        <v>697</v>
      </c>
      <c r="D109" s="1" t="s">
        <v>698</v>
      </c>
      <c r="E109" s="1">
        <v>3</v>
      </c>
      <c r="F109" s="1" t="s">
        <v>699</v>
      </c>
      <c r="G109" s="10" t="s">
        <v>700</v>
      </c>
      <c r="H109" s="10" t="s">
        <v>701</v>
      </c>
      <c r="I109" s="10" t="s">
        <v>702</v>
      </c>
      <c r="J109" s="1">
        <v>0</v>
      </c>
      <c r="K109" s="1">
        <v>0</v>
      </c>
      <c r="L109" s="1">
        <f>L108+15</f>
        <v>1170</v>
      </c>
      <c r="M109" s="1">
        <f>M108+5</f>
        <v>805</v>
      </c>
      <c r="N109" s="1">
        <f t="shared" si="25"/>
        <v>620</v>
      </c>
      <c r="O109" s="1">
        <f>O108+15</f>
        <v>860</v>
      </c>
      <c r="P109" s="4">
        <v>0</v>
      </c>
      <c r="Q109" s="4">
        <v>0</v>
      </c>
      <c r="R109" s="4">
        <v>0</v>
      </c>
      <c r="S109" s="1">
        <v>2900000000</v>
      </c>
      <c r="T109" s="1">
        <v>2900000000</v>
      </c>
      <c r="U109" s="2"/>
      <c r="V109" s="2"/>
      <c r="W109" s="2"/>
      <c r="X109" s="2"/>
      <c r="Y109" s="2"/>
    </row>
    <row r="110" s="1" customFormat="1" customHeight="1" spans="1:25">
      <c r="A110" s="2"/>
      <c r="B110" s="2"/>
      <c r="C110" s="1" t="s">
        <v>703</v>
      </c>
      <c r="D110" s="1" t="s">
        <v>704</v>
      </c>
      <c r="E110" s="1">
        <v>3</v>
      </c>
      <c r="F110" s="1" t="s">
        <v>705</v>
      </c>
      <c r="G110" s="10" t="s">
        <v>706</v>
      </c>
      <c r="H110" s="10" t="s">
        <v>707</v>
      </c>
      <c r="I110" s="10" t="s">
        <v>708</v>
      </c>
      <c r="J110" s="1">
        <v>0</v>
      </c>
      <c r="K110" s="1">
        <v>0</v>
      </c>
      <c r="L110" s="1">
        <f>L109+15</f>
        <v>1185</v>
      </c>
      <c r="M110" s="1">
        <f>M109+5</f>
        <v>810</v>
      </c>
      <c r="N110" s="1">
        <f t="shared" si="25"/>
        <v>625</v>
      </c>
      <c r="O110" s="1">
        <f>O109+15</f>
        <v>875</v>
      </c>
      <c r="P110" s="4">
        <v>0</v>
      </c>
      <c r="Q110" s="4">
        <v>0</v>
      </c>
      <c r="R110" s="4">
        <v>0</v>
      </c>
      <c r="S110" s="1">
        <v>3000000000</v>
      </c>
      <c r="T110" s="1">
        <v>3000000000</v>
      </c>
      <c r="U110" s="2"/>
      <c r="V110" s="2"/>
      <c r="W110" s="2"/>
      <c r="X110" s="2"/>
      <c r="Y110" s="2"/>
    </row>
    <row r="111" s="1" customFormat="1" customHeight="1" spans="1:25">
      <c r="A111" s="2"/>
      <c r="B111" s="2"/>
      <c r="C111" s="1" t="s">
        <v>709</v>
      </c>
      <c r="D111" s="1" t="s">
        <v>710</v>
      </c>
      <c r="E111" s="1">
        <v>4</v>
      </c>
      <c r="F111" s="1" t="s">
        <v>711</v>
      </c>
      <c r="G111" s="11" t="s">
        <v>712</v>
      </c>
      <c r="H111" s="12" t="s">
        <v>712</v>
      </c>
      <c r="I111" s="13" t="s">
        <v>713</v>
      </c>
      <c r="J111" s="1">
        <v>0</v>
      </c>
      <c r="K111" s="1">
        <v>0</v>
      </c>
      <c r="L111" s="1">
        <v>1400</v>
      </c>
      <c r="M111" s="1">
        <v>1100</v>
      </c>
      <c r="N111" s="1">
        <v>900</v>
      </c>
      <c r="O111" s="1">
        <v>900</v>
      </c>
      <c r="P111" s="2">
        <v>30</v>
      </c>
      <c r="Q111" s="4">
        <v>0</v>
      </c>
      <c r="R111" s="2">
        <v>90</v>
      </c>
      <c r="S111" s="10" t="s">
        <v>714</v>
      </c>
      <c r="T111" s="10" t="s">
        <v>714</v>
      </c>
      <c r="W111" s="2"/>
      <c r="X111" s="2"/>
      <c r="Y111" s="2"/>
    </row>
    <row r="112" s="1" customFormat="1" customHeight="1" spans="1:25">
      <c r="A112" s="2"/>
      <c r="B112" s="2"/>
      <c r="C112" s="1" t="s">
        <v>715</v>
      </c>
      <c r="D112" s="1" t="s">
        <v>716</v>
      </c>
      <c r="E112" s="1">
        <v>4</v>
      </c>
      <c r="F112" s="1" t="s">
        <v>717</v>
      </c>
      <c r="G112" s="14" t="s">
        <v>718</v>
      </c>
      <c r="H112" s="10" t="s">
        <v>718</v>
      </c>
      <c r="I112" s="15" t="s">
        <v>719</v>
      </c>
      <c r="J112" s="1">
        <v>0</v>
      </c>
      <c r="K112" s="1">
        <v>0</v>
      </c>
      <c r="L112" s="1">
        <f>L111+100</f>
        <v>1500</v>
      </c>
      <c r="M112" s="1">
        <f>M111+100</f>
        <v>1200</v>
      </c>
      <c r="N112" s="1">
        <f t="shared" ref="N112:N145" si="26">N111+50</f>
        <v>950</v>
      </c>
      <c r="O112" s="1">
        <f t="shared" ref="O112:O145" si="27">O111+50</f>
        <v>950</v>
      </c>
      <c r="P112" s="2">
        <f t="shared" ref="P112:P145" si="28">P111+1</f>
        <v>31</v>
      </c>
      <c r="Q112" s="4">
        <v>0</v>
      </c>
      <c r="R112" s="2">
        <v>90</v>
      </c>
      <c r="S112" s="10" t="s">
        <v>720</v>
      </c>
      <c r="T112" s="10" t="s">
        <v>720</v>
      </c>
      <c r="W112" s="2"/>
      <c r="X112" s="2"/>
      <c r="Y112" s="2"/>
    </row>
    <row r="113" s="1" customFormat="1" customHeight="1" spans="1:25">
      <c r="A113" s="2"/>
      <c r="B113" s="2"/>
      <c r="C113" s="1" t="s">
        <v>721</v>
      </c>
      <c r="D113" s="1" t="s">
        <v>722</v>
      </c>
      <c r="E113" s="1">
        <v>4</v>
      </c>
      <c r="F113" s="1" t="s">
        <v>723</v>
      </c>
      <c r="G113" s="14" t="s">
        <v>724</v>
      </c>
      <c r="H113" s="10" t="s">
        <v>724</v>
      </c>
      <c r="I113" s="15" t="s">
        <v>725</v>
      </c>
      <c r="J113" s="1">
        <v>0</v>
      </c>
      <c r="K113" s="1">
        <v>0</v>
      </c>
      <c r="L113" s="1">
        <f>L112+100</f>
        <v>1600</v>
      </c>
      <c r="M113" s="1">
        <f>M112+100</f>
        <v>1300</v>
      </c>
      <c r="N113" s="1">
        <f t="shared" si="26"/>
        <v>1000</v>
      </c>
      <c r="O113" s="1">
        <f t="shared" si="27"/>
        <v>1000</v>
      </c>
      <c r="P113" s="2">
        <f t="shared" si="28"/>
        <v>32</v>
      </c>
      <c r="Q113" s="4">
        <v>0</v>
      </c>
      <c r="R113" s="2">
        <v>90</v>
      </c>
      <c r="S113" s="10" t="s">
        <v>726</v>
      </c>
      <c r="T113" s="10" t="s">
        <v>726</v>
      </c>
      <c r="W113" s="2"/>
      <c r="X113" s="2"/>
      <c r="Y113" s="2"/>
    </row>
    <row r="114" s="1" customFormat="1" customHeight="1" spans="1:25">
      <c r="A114" s="2"/>
      <c r="B114" s="2"/>
      <c r="C114" s="1" t="s">
        <v>727</v>
      </c>
      <c r="D114" s="1" t="s">
        <v>728</v>
      </c>
      <c r="E114" s="1">
        <v>4</v>
      </c>
      <c r="F114" s="1" t="s">
        <v>729</v>
      </c>
      <c r="G114" s="14" t="s">
        <v>730</v>
      </c>
      <c r="H114" s="10" t="s">
        <v>730</v>
      </c>
      <c r="I114" s="15" t="s">
        <v>731</v>
      </c>
      <c r="J114" s="1">
        <v>0</v>
      </c>
      <c r="K114" s="1">
        <v>0</v>
      </c>
      <c r="L114" s="1">
        <f>L113+100</f>
        <v>1700</v>
      </c>
      <c r="M114" s="1">
        <f>M113+100</f>
        <v>1400</v>
      </c>
      <c r="N114" s="1">
        <f t="shared" si="26"/>
        <v>1050</v>
      </c>
      <c r="O114" s="1">
        <f t="shared" si="27"/>
        <v>1050</v>
      </c>
      <c r="P114" s="2">
        <f t="shared" si="28"/>
        <v>33</v>
      </c>
      <c r="Q114" s="4">
        <v>0</v>
      </c>
      <c r="R114" s="2">
        <v>90</v>
      </c>
      <c r="S114" s="10" t="s">
        <v>732</v>
      </c>
      <c r="T114" s="10" t="s">
        <v>732</v>
      </c>
      <c r="W114" s="2"/>
      <c r="X114" s="2"/>
      <c r="Y114" s="2"/>
    </row>
    <row r="115" s="1" customFormat="1" customHeight="1" spans="1:25">
      <c r="A115" s="2"/>
      <c r="B115" s="2"/>
      <c r="C115" s="1" t="s">
        <v>733</v>
      </c>
      <c r="D115" s="1" t="s">
        <v>734</v>
      </c>
      <c r="E115" s="1">
        <v>4</v>
      </c>
      <c r="F115" s="1" t="s">
        <v>735</v>
      </c>
      <c r="G115" s="14" t="s">
        <v>736</v>
      </c>
      <c r="H115" s="10" t="s">
        <v>736</v>
      </c>
      <c r="I115" s="15" t="s">
        <v>737</v>
      </c>
      <c r="J115" s="1">
        <v>0</v>
      </c>
      <c r="K115" s="1">
        <v>0</v>
      </c>
      <c r="L115" s="1">
        <f>L114+100</f>
        <v>1800</v>
      </c>
      <c r="M115" s="1">
        <f>M114+100</f>
        <v>1500</v>
      </c>
      <c r="N115" s="1">
        <f t="shared" si="26"/>
        <v>1100</v>
      </c>
      <c r="O115" s="1">
        <f t="shared" si="27"/>
        <v>1100</v>
      </c>
      <c r="P115" s="2">
        <f t="shared" si="28"/>
        <v>34</v>
      </c>
      <c r="Q115" s="4">
        <v>0</v>
      </c>
      <c r="R115" s="2">
        <v>90</v>
      </c>
      <c r="S115" s="10" t="s">
        <v>738</v>
      </c>
      <c r="T115" s="10" t="s">
        <v>738</v>
      </c>
      <c r="W115" s="2"/>
      <c r="X115" s="2"/>
      <c r="Y115" s="2"/>
    </row>
    <row r="116" s="1" customFormat="1" customHeight="1" spans="1:25">
      <c r="A116" s="2"/>
      <c r="B116" s="2"/>
      <c r="C116" s="1" t="s">
        <v>739</v>
      </c>
      <c r="D116" s="1" t="s">
        <v>740</v>
      </c>
      <c r="E116" s="1">
        <v>4</v>
      </c>
      <c r="F116" s="1" t="s">
        <v>741</v>
      </c>
      <c r="G116" s="14" t="s">
        <v>742</v>
      </c>
      <c r="H116" s="10" t="s">
        <v>742</v>
      </c>
      <c r="I116" s="15" t="s">
        <v>743</v>
      </c>
      <c r="J116" s="1">
        <v>0</v>
      </c>
      <c r="K116" s="1">
        <v>0</v>
      </c>
      <c r="L116" s="1">
        <f t="shared" ref="L116:L145" si="29">L115+200</f>
        <v>2000</v>
      </c>
      <c r="M116" s="1">
        <f t="shared" ref="M116:M145" si="30">M115+300</f>
        <v>1800</v>
      </c>
      <c r="N116" s="1">
        <f t="shared" si="26"/>
        <v>1150</v>
      </c>
      <c r="O116" s="1">
        <f t="shared" si="27"/>
        <v>1150</v>
      </c>
      <c r="P116" s="2">
        <f t="shared" si="28"/>
        <v>35</v>
      </c>
      <c r="Q116" s="4">
        <v>0</v>
      </c>
      <c r="R116" s="2">
        <v>90</v>
      </c>
      <c r="S116" s="10" t="s">
        <v>744</v>
      </c>
      <c r="T116" s="10" t="s">
        <v>744</v>
      </c>
      <c r="U116" s="2"/>
      <c r="V116" s="2"/>
      <c r="W116" s="2"/>
      <c r="X116" s="2"/>
      <c r="Y116" s="2"/>
    </row>
    <row r="117" s="1" customFormat="1" customHeight="1" spans="1:25">
      <c r="A117" s="2"/>
      <c r="B117" s="2"/>
      <c r="C117" s="1" t="s">
        <v>745</v>
      </c>
      <c r="D117" s="1" t="s">
        <v>746</v>
      </c>
      <c r="E117" s="1">
        <v>4</v>
      </c>
      <c r="F117" s="1" t="s">
        <v>747</v>
      </c>
      <c r="G117" s="14" t="s">
        <v>748</v>
      </c>
      <c r="H117" s="10" t="s">
        <v>748</v>
      </c>
      <c r="I117" s="15" t="s">
        <v>749</v>
      </c>
      <c r="J117" s="1">
        <v>0</v>
      </c>
      <c r="K117" s="1">
        <v>0</v>
      </c>
      <c r="L117" s="1">
        <f t="shared" si="29"/>
        <v>2200</v>
      </c>
      <c r="M117" s="1">
        <f t="shared" si="30"/>
        <v>2100</v>
      </c>
      <c r="N117" s="1">
        <f t="shared" si="26"/>
        <v>1200</v>
      </c>
      <c r="O117" s="1">
        <f t="shared" si="27"/>
        <v>1200</v>
      </c>
      <c r="P117" s="2">
        <f t="shared" si="28"/>
        <v>36</v>
      </c>
      <c r="Q117" s="4">
        <v>0</v>
      </c>
      <c r="R117" s="2">
        <v>90</v>
      </c>
      <c r="S117" s="10" t="s">
        <v>750</v>
      </c>
      <c r="T117" s="10" t="s">
        <v>750</v>
      </c>
      <c r="U117" s="2"/>
      <c r="V117" s="2"/>
      <c r="W117" s="2"/>
      <c r="X117" s="2"/>
      <c r="Y117" s="2"/>
    </row>
    <row r="118" s="1" customFormat="1" customHeight="1" spans="1:25">
      <c r="A118" s="2"/>
      <c r="B118" s="2"/>
      <c r="C118" s="1" t="s">
        <v>751</v>
      </c>
      <c r="D118" s="1" t="s">
        <v>752</v>
      </c>
      <c r="E118" s="1">
        <v>4</v>
      </c>
      <c r="F118" s="1" t="s">
        <v>753</v>
      </c>
      <c r="G118" s="14" t="s">
        <v>754</v>
      </c>
      <c r="H118" s="10" t="s">
        <v>754</v>
      </c>
      <c r="I118" s="15" t="s">
        <v>755</v>
      </c>
      <c r="J118" s="1">
        <v>0</v>
      </c>
      <c r="K118" s="1">
        <v>0</v>
      </c>
      <c r="L118" s="1">
        <f t="shared" si="29"/>
        <v>2400</v>
      </c>
      <c r="M118" s="1">
        <f t="shared" si="30"/>
        <v>2400</v>
      </c>
      <c r="N118" s="1">
        <f t="shared" si="26"/>
        <v>1250</v>
      </c>
      <c r="O118" s="1">
        <f t="shared" si="27"/>
        <v>1250</v>
      </c>
      <c r="P118" s="2">
        <f t="shared" si="28"/>
        <v>37</v>
      </c>
      <c r="Q118" s="4">
        <v>0</v>
      </c>
      <c r="R118" s="2">
        <v>90</v>
      </c>
      <c r="S118" s="10" t="s">
        <v>756</v>
      </c>
      <c r="T118" s="10" t="s">
        <v>756</v>
      </c>
      <c r="U118" s="2"/>
      <c r="V118" s="2"/>
      <c r="W118" s="2"/>
      <c r="X118" s="2"/>
      <c r="Y118" s="2"/>
    </row>
    <row r="119" s="1" customFormat="1" customHeight="1" spans="1:25">
      <c r="A119" s="2"/>
      <c r="B119" s="2"/>
      <c r="C119" s="1" t="s">
        <v>757</v>
      </c>
      <c r="D119" s="1" t="s">
        <v>758</v>
      </c>
      <c r="E119" s="1">
        <v>4</v>
      </c>
      <c r="F119" s="1" t="s">
        <v>759</v>
      </c>
      <c r="G119" s="14" t="s">
        <v>760</v>
      </c>
      <c r="H119" s="10" t="s">
        <v>760</v>
      </c>
      <c r="I119" s="15" t="s">
        <v>761</v>
      </c>
      <c r="J119" s="1">
        <v>0</v>
      </c>
      <c r="K119" s="1">
        <v>0</v>
      </c>
      <c r="L119" s="1">
        <f t="shared" si="29"/>
        <v>2600</v>
      </c>
      <c r="M119" s="1">
        <f t="shared" si="30"/>
        <v>2700</v>
      </c>
      <c r="N119" s="1">
        <f t="shared" si="26"/>
        <v>1300</v>
      </c>
      <c r="O119" s="1">
        <f t="shared" si="27"/>
        <v>1300</v>
      </c>
      <c r="P119" s="2">
        <f t="shared" si="28"/>
        <v>38</v>
      </c>
      <c r="Q119" s="4">
        <v>0</v>
      </c>
      <c r="R119" s="2">
        <v>90</v>
      </c>
      <c r="S119" s="10" t="s">
        <v>762</v>
      </c>
      <c r="T119" s="10" t="s">
        <v>762</v>
      </c>
      <c r="U119" s="2"/>
      <c r="V119" s="2"/>
      <c r="W119" s="2"/>
      <c r="X119" s="2"/>
      <c r="Y119" s="2"/>
    </row>
    <row r="120" s="1" customFormat="1" customHeight="1" spans="1:25">
      <c r="A120" s="2"/>
      <c r="B120" s="2"/>
      <c r="C120" s="1" t="s">
        <v>763</v>
      </c>
      <c r="D120" s="1" t="s">
        <v>764</v>
      </c>
      <c r="E120" s="1">
        <v>4</v>
      </c>
      <c r="F120" s="1" t="s">
        <v>765</v>
      </c>
      <c r="G120" s="14" t="s">
        <v>766</v>
      </c>
      <c r="H120" s="10" t="s">
        <v>766</v>
      </c>
      <c r="I120" s="15" t="s">
        <v>767</v>
      </c>
      <c r="J120" s="1">
        <v>0</v>
      </c>
      <c r="K120" s="1">
        <v>0</v>
      </c>
      <c r="L120" s="1">
        <f t="shared" si="29"/>
        <v>2800</v>
      </c>
      <c r="M120" s="1">
        <f t="shared" si="30"/>
        <v>3000</v>
      </c>
      <c r="N120" s="1">
        <f t="shared" si="26"/>
        <v>1350</v>
      </c>
      <c r="O120" s="1">
        <f t="shared" si="27"/>
        <v>1350</v>
      </c>
      <c r="P120" s="2">
        <f t="shared" si="28"/>
        <v>39</v>
      </c>
      <c r="Q120" s="4">
        <v>0</v>
      </c>
      <c r="R120" s="2">
        <v>90</v>
      </c>
      <c r="S120" s="10" t="s">
        <v>768</v>
      </c>
      <c r="T120" s="10" t="s">
        <v>768</v>
      </c>
      <c r="U120" s="2"/>
      <c r="V120" s="2"/>
      <c r="W120" s="2"/>
      <c r="X120" s="2"/>
      <c r="Y120" s="2"/>
    </row>
    <row r="121" s="1" customFormat="1" customHeight="1" spans="1:25">
      <c r="A121" s="2"/>
      <c r="B121" s="2"/>
      <c r="C121" s="1" t="s">
        <v>769</v>
      </c>
      <c r="D121" s="1" t="s">
        <v>770</v>
      </c>
      <c r="E121" s="1">
        <v>4</v>
      </c>
      <c r="F121" s="1" t="s">
        <v>771</v>
      </c>
      <c r="G121" s="14" t="s">
        <v>713</v>
      </c>
      <c r="H121" s="10" t="s">
        <v>713</v>
      </c>
      <c r="I121" s="15" t="s">
        <v>772</v>
      </c>
      <c r="J121" s="1">
        <v>0</v>
      </c>
      <c r="K121" s="1">
        <v>0</v>
      </c>
      <c r="L121" s="1">
        <f t="shared" si="29"/>
        <v>3000</v>
      </c>
      <c r="M121" s="1">
        <f t="shared" si="30"/>
        <v>3300</v>
      </c>
      <c r="N121" s="1">
        <f t="shared" si="26"/>
        <v>1400</v>
      </c>
      <c r="O121" s="1">
        <f t="shared" si="27"/>
        <v>1400</v>
      </c>
      <c r="P121" s="2">
        <f t="shared" si="28"/>
        <v>40</v>
      </c>
      <c r="Q121" s="4">
        <v>3</v>
      </c>
      <c r="R121" s="2">
        <v>90</v>
      </c>
      <c r="S121" s="10" t="s">
        <v>773</v>
      </c>
      <c r="T121" s="10" t="s">
        <v>773</v>
      </c>
      <c r="U121" s="2"/>
      <c r="V121" s="2"/>
      <c r="W121" s="2"/>
      <c r="X121" s="2"/>
      <c r="Y121" s="2"/>
    </row>
    <row r="122" s="1" customFormat="1" customHeight="1" spans="1:25">
      <c r="A122" s="2"/>
      <c r="B122" s="2"/>
      <c r="C122" s="1" t="s">
        <v>774</v>
      </c>
      <c r="D122" s="1" t="s">
        <v>775</v>
      </c>
      <c r="E122" s="1">
        <v>4</v>
      </c>
      <c r="F122" s="1" t="s">
        <v>776</v>
      </c>
      <c r="G122" s="14" t="s">
        <v>777</v>
      </c>
      <c r="H122" s="10" t="s">
        <v>777</v>
      </c>
      <c r="I122" s="15" t="s">
        <v>778</v>
      </c>
      <c r="J122" s="1">
        <v>0</v>
      </c>
      <c r="K122" s="1">
        <v>0</v>
      </c>
      <c r="L122" s="1">
        <f t="shared" si="29"/>
        <v>3200</v>
      </c>
      <c r="M122" s="1">
        <f t="shared" si="30"/>
        <v>3600</v>
      </c>
      <c r="N122" s="1">
        <f t="shared" si="26"/>
        <v>1450</v>
      </c>
      <c r="O122" s="1">
        <f t="shared" si="27"/>
        <v>1450</v>
      </c>
      <c r="P122" s="2">
        <f t="shared" si="28"/>
        <v>41</v>
      </c>
      <c r="Q122" s="2">
        <f t="shared" ref="Q122:Q130" si="31">Q121+3</f>
        <v>6</v>
      </c>
      <c r="R122" s="2">
        <v>90</v>
      </c>
      <c r="S122" s="10" t="s">
        <v>779</v>
      </c>
      <c r="T122" s="10" t="s">
        <v>779</v>
      </c>
      <c r="U122" s="2"/>
      <c r="V122" s="2"/>
      <c r="W122" s="2"/>
      <c r="X122" s="2"/>
      <c r="Y122" s="2"/>
    </row>
    <row r="123" s="1" customFormat="1" customHeight="1" spans="1:25">
      <c r="A123" s="2"/>
      <c r="B123" s="2"/>
      <c r="C123" s="1" t="s">
        <v>780</v>
      </c>
      <c r="D123" s="1" t="s">
        <v>781</v>
      </c>
      <c r="E123" s="1">
        <v>4</v>
      </c>
      <c r="F123" s="1" t="s">
        <v>782</v>
      </c>
      <c r="G123" s="14" t="s">
        <v>783</v>
      </c>
      <c r="H123" s="10" t="s">
        <v>783</v>
      </c>
      <c r="I123" s="15" t="s">
        <v>784</v>
      </c>
      <c r="J123" s="1">
        <v>0</v>
      </c>
      <c r="K123" s="1">
        <v>0</v>
      </c>
      <c r="L123" s="1">
        <f t="shared" si="29"/>
        <v>3400</v>
      </c>
      <c r="M123" s="1">
        <f t="shared" si="30"/>
        <v>3900</v>
      </c>
      <c r="N123" s="1">
        <f t="shared" si="26"/>
        <v>1500</v>
      </c>
      <c r="O123" s="1">
        <f t="shared" si="27"/>
        <v>1500</v>
      </c>
      <c r="P123" s="2">
        <f t="shared" si="28"/>
        <v>42</v>
      </c>
      <c r="Q123" s="2">
        <f t="shared" si="31"/>
        <v>9</v>
      </c>
      <c r="R123" s="2">
        <v>90</v>
      </c>
      <c r="S123" s="10" t="s">
        <v>785</v>
      </c>
      <c r="T123" s="10" t="s">
        <v>785</v>
      </c>
      <c r="U123" s="2"/>
      <c r="V123" s="2"/>
      <c r="W123" s="2"/>
      <c r="X123" s="2"/>
      <c r="Y123" s="2"/>
    </row>
    <row r="124" s="1" customFormat="1" customHeight="1" spans="1:25">
      <c r="A124" s="2"/>
      <c r="B124" s="2"/>
      <c r="C124" s="1" t="s">
        <v>786</v>
      </c>
      <c r="D124" s="1" t="s">
        <v>787</v>
      </c>
      <c r="E124" s="1">
        <v>4</v>
      </c>
      <c r="F124" s="1" t="s">
        <v>788</v>
      </c>
      <c r="G124" s="14" t="s">
        <v>789</v>
      </c>
      <c r="H124" s="10" t="s">
        <v>789</v>
      </c>
      <c r="I124" s="15" t="s">
        <v>790</v>
      </c>
      <c r="J124" s="1">
        <v>0</v>
      </c>
      <c r="K124" s="1">
        <v>0</v>
      </c>
      <c r="L124" s="1">
        <f t="shared" si="29"/>
        <v>3600</v>
      </c>
      <c r="M124" s="1">
        <f t="shared" si="30"/>
        <v>4200</v>
      </c>
      <c r="N124" s="1">
        <f t="shared" si="26"/>
        <v>1550</v>
      </c>
      <c r="O124" s="1">
        <f t="shared" si="27"/>
        <v>1550</v>
      </c>
      <c r="P124" s="2">
        <f t="shared" si="28"/>
        <v>43</v>
      </c>
      <c r="Q124" s="2">
        <f t="shared" si="31"/>
        <v>12</v>
      </c>
      <c r="R124" s="2">
        <v>90</v>
      </c>
      <c r="S124" s="10" t="s">
        <v>791</v>
      </c>
      <c r="T124" s="10" t="s">
        <v>791</v>
      </c>
      <c r="U124" s="2"/>
      <c r="V124" s="2"/>
      <c r="W124" s="2"/>
      <c r="X124" s="2"/>
      <c r="Y124" s="2"/>
    </row>
    <row r="125" s="1" customFormat="1" customHeight="1" spans="1:25">
      <c r="A125" s="2"/>
      <c r="B125" s="2"/>
      <c r="C125" s="1" t="s">
        <v>792</v>
      </c>
      <c r="D125" s="1" t="s">
        <v>793</v>
      </c>
      <c r="E125" s="1">
        <v>4</v>
      </c>
      <c r="F125" s="1" t="s">
        <v>794</v>
      </c>
      <c r="G125" s="14" t="s">
        <v>795</v>
      </c>
      <c r="H125" s="10" t="s">
        <v>795</v>
      </c>
      <c r="I125" s="15" t="s">
        <v>796</v>
      </c>
      <c r="J125" s="1">
        <v>0</v>
      </c>
      <c r="K125" s="1">
        <v>0</v>
      </c>
      <c r="L125" s="1">
        <f t="shared" si="29"/>
        <v>3800</v>
      </c>
      <c r="M125" s="1">
        <f t="shared" si="30"/>
        <v>4500</v>
      </c>
      <c r="N125" s="1">
        <f t="shared" si="26"/>
        <v>1600</v>
      </c>
      <c r="O125" s="1">
        <f t="shared" si="27"/>
        <v>1600</v>
      </c>
      <c r="P125" s="2">
        <f t="shared" si="28"/>
        <v>44</v>
      </c>
      <c r="Q125" s="2">
        <f t="shared" si="31"/>
        <v>15</v>
      </c>
      <c r="R125" s="2">
        <v>90</v>
      </c>
      <c r="S125" s="10" t="s">
        <v>797</v>
      </c>
      <c r="T125" s="10" t="s">
        <v>797</v>
      </c>
      <c r="U125" s="2"/>
      <c r="V125" s="2"/>
      <c r="W125" s="2"/>
      <c r="X125" s="2"/>
      <c r="Y125" s="2"/>
    </row>
    <row r="126" s="1" customFormat="1" customHeight="1" spans="1:25">
      <c r="A126" s="2"/>
      <c r="B126" s="2"/>
      <c r="C126" s="1" t="s">
        <v>798</v>
      </c>
      <c r="D126" s="1" t="s">
        <v>799</v>
      </c>
      <c r="E126" s="1">
        <v>4</v>
      </c>
      <c r="F126" s="1" t="s">
        <v>800</v>
      </c>
      <c r="G126" s="14" t="s">
        <v>801</v>
      </c>
      <c r="H126" s="10" t="s">
        <v>801</v>
      </c>
      <c r="I126" s="15" t="s">
        <v>802</v>
      </c>
      <c r="J126" s="1">
        <v>0</v>
      </c>
      <c r="K126" s="1">
        <v>0</v>
      </c>
      <c r="L126" s="1">
        <f t="shared" si="29"/>
        <v>4000</v>
      </c>
      <c r="M126" s="1">
        <f t="shared" si="30"/>
        <v>4800</v>
      </c>
      <c r="N126" s="1">
        <f t="shared" si="26"/>
        <v>1650</v>
      </c>
      <c r="O126" s="1">
        <f t="shared" si="27"/>
        <v>1650</v>
      </c>
      <c r="P126" s="2">
        <f t="shared" si="28"/>
        <v>45</v>
      </c>
      <c r="Q126" s="2">
        <f t="shared" si="31"/>
        <v>18</v>
      </c>
      <c r="R126" s="2">
        <v>90</v>
      </c>
      <c r="S126" s="10" t="s">
        <v>803</v>
      </c>
      <c r="T126" s="10" t="s">
        <v>803</v>
      </c>
      <c r="U126" s="2"/>
      <c r="V126" s="2"/>
      <c r="W126" s="2"/>
      <c r="X126" s="2"/>
      <c r="Y126" s="2"/>
    </row>
    <row r="127" s="1" customFormat="1" customHeight="1" spans="1:25">
      <c r="A127" s="2"/>
      <c r="B127" s="2"/>
      <c r="C127" s="1" t="s">
        <v>804</v>
      </c>
      <c r="D127" s="1" t="s">
        <v>805</v>
      </c>
      <c r="E127" s="1">
        <v>4</v>
      </c>
      <c r="F127" s="1" t="s">
        <v>806</v>
      </c>
      <c r="G127" s="14" t="s">
        <v>807</v>
      </c>
      <c r="H127" s="10" t="s">
        <v>807</v>
      </c>
      <c r="I127" s="15" t="s">
        <v>808</v>
      </c>
      <c r="J127" s="1">
        <v>0</v>
      </c>
      <c r="K127" s="1">
        <v>0</v>
      </c>
      <c r="L127" s="1">
        <f t="shared" si="29"/>
        <v>4200</v>
      </c>
      <c r="M127" s="1">
        <f t="shared" si="30"/>
        <v>5100</v>
      </c>
      <c r="N127" s="1">
        <f t="shared" si="26"/>
        <v>1700</v>
      </c>
      <c r="O127" s="1">
        <f t="shared" si="27"/>
        <v>1700</v>
      </c>
      <c r="P127" s="2">
        <f t="shared" si="28"/>
        <v>46</v>
      </c>
      <c r="Q127" s="2">
        <f t="shared" si="31"/>
        <v>21</v>
      </c>
      <c r="R127" s="2">
        <v>90</v>
      </c>
      <c r="S127" s="10" t="s">
        <v>809</v>
      </c>
      <c r="T127" s="10" t="s">
        <v>809</v>
      </c>
      <c r="U127" s="2"/>
      <c r="V127" s="2"/>
      <c r="W127" s="2"/>
      <c r="X127" s="2"/>
      <c r="Y127" s="2"/>
    </row>
    <row r="128" s="1" customFormat="1" customHeight="1" spans="1:25">
      <c r="A128" s="2"/>
      <c r="B128" s="2"/>
      <c r="C128" s="1" t="s">
        <v>810</v>
      </c>
      <c r="D128" s="1" t="s">
        <v>811</v>
      </c>
      <c r="E128" s="1">
        <v>4</v>
      </c>
      <c r="F128" s="1" t="s">
        <v>812</v>
      </c>
      <c r="G128" s="14" t="s">
        <v>813</v>
      </c>
      <c r="H128" s="10" t="s">
        <v>813</v>
      </c>
      <c r="I128" s="15" t="s">
        <v>814</v>
      </c>
      <c r="J128" s="1">
        <v>0</v>
      </c>
      <c r="K128" s="1">
        <v>0</v>
      </c>
      <c r="L128" s="1">
        <f t="shared" si="29"/>
        <v>4400</v>
      </c>
      <c r="M128" s="1">
        <f t="shared" si="30"/>
        <v>5400</v>
      </c>
      <c r="N128" s="1">
        <f t="shared" si="26"/>
        <v>1750</v>
      </c>
      <c r="O128" s="1">
        <f t="shared" si="27"/>
        <v>1750</v>
      </c>
      <c r="P128" s="2">
        <f t="shared" si="28"/>
        <v>47</v>
      </c>
      <c r="Q128" s="2">
        <f t="shared" si="31"/>
        <v>24</v>
      </c>
      <c r="R128" s="2">
        <v>90</v>
      </c>
      <c r="S128" s="10" t="s">
        <v>815</v>
      </c>
      <c r="T128" s="10" t="s">
        <v>815</v>
      </c>
      <c r="U128" s="2"/>
      <c r="V128" s="2"/>
      <c r="W128" s="2"/>
      <c r="X128" s="2"/>
      <c r="Y128" s="2"/>
    </row>
    <row r="129" s="1" customFormat="1" customHeight="1" spans="1:25">
      <c r="A129" s="2"/>
      <c r="B129" s="2"/>
      <c r="C129" s="1" t="s">
        <v>816</v>
      </c>
      <c r="D129" s="1" t="s">
        <v>817</v>
      </c>
      <c r="E129" s="1">
        <v>4</v>
      </c>
      <c r="F129" s="1" t="s">
        <v>818</v>
      </c>
      <c r="G129" s="14" t="s">
        <v>819</v>
      </c>
      <c r="H129" s="10" t="s">
        <v>819</v>
      </c>
      <c r="I129" s="15" t="s">
        <v>820</v>
      </c>
      <c r="J129" s="1">
        <v>0</v>
      </c>
      <c r="K129" s="1">
        <v>0</v>
      </c>
      <c r="L129" s="1">
        <f t="shared" si="29"/>
        <v>4600</v>
      </c>
      <c r="M129" s="1">
        <f t="shared" si="30"/>
        <v>5700</v>
      </c>
      <c r="N129" s="1">
        <f t="shared" si="26"/>
        <v>1800</v>
      </c>
      <c r="O129" s="1">
        <f t="shared" si="27"/>
        <v>1800</v>
      </c>
      <c r="P129" s="2">
        <f t="shared" si="28"/>
        <v>48</v>
      </c>
      <c r="Q129" s="2">
        <f t="shared" si="31"/>
        <v>27</v>
      </c>
      <c r="R129" s="2">
        <v>90</v>
      </c>
      <c r="S129" s="10" t="s">
        <v>821</v>
      </c>
      <c r="T129" s="10" t="s">
        <v>821</v>
      </c>
      <c r="U129" s="2"/>
      <c r="V129" s="2"/>
      <c r="W129" s="2"/>
      <c r="X129" s="2"/>
      <c r="Y129" s="2"/>
    </row>
    <row r="130" s="1" customFormat="1" customHeight="1" spans="1:25">
      <c r="A130" s="2"/>
      <c r="B130" s="2"/>
      <c r="C130" s="1" t="s">
        <v>822</v>
      </c>
      <c r="D130" s="1" t="s">
        <v>823</v>
      </c>
      <c r="E130" s="1">
        <v>4</v>
      </c>
      <c r="F130" s="1" t="s">
        <v>824</v>
      </c>
      <c r="G130" s="14" t="s">
        <v>825</v>
      </c>
      <c r="H130" s="10" t="s">
        <v>825</v>
      </c>
      <c r="I130" s="15" t="s">
        <v>826</v>
      </c>
      <c r="J130" s="1">
        <v>0</v>
      </c>
      <c r="K130" s="1">
        <v>0</v>
      </c>
      <c r="L130" s="1">
        <f t="shared" si="29"/>
        <v>4800</v>
      </c>
      <c r="M130" s="1">
        <f t="shared" si="30"/>
        <v>6000</v>
      </c>
      <c r="N130" s="1">
        <f t="shared" si="26"/>
        <v>1850</v>
      </c>
      <c r="O130" s="1">
        <f t="shared" si="27"/>
        <v>1850</v>
      </c>
      <c r="P130" s="2">
        <f t="shared" si="28"/>
        <v>49</v>
      </c>
      <c r="Q130" s="2">
        <f t="shared" si="31"/>
        <v>30</v>
      </c>
      <c r="R130" s="2">
        <v>90</v>
      </c>
      <c r="S130" s="10" t="s">
        <v>827</v>
      </c>
      <c r="T130" s="10" t="s">
        <v>827</v>
      </c>
      <c r="U130" s="2"/>
      <c r="V130" s="2"/>
      <c r="W130" s="2"/>
      <c r="X130" s="2"/>
      <c r="Y130" s="2"/>
    </row>
    <row r="131" customHeight="1" spans="3:20">
      <c r="C131" s="1" t="s">
        <v>828</v>
      </c>
      <c r="D131" s="1" t="s">
        <v>829</v>
      </c>
      <c r="E131" s="1">
        <v>4</v>
      </c>
      <c r="F131" s="1" t="s">
        <v>830</v>
      </c>
      <c r="G131" s="14" t="s">
        <v>831</v>
      </c>
      <c r="H131" s="10" t="s">
        <v>831</v>
      </c>
      <c r="I131" s="15" t="s">
        <v>832</v>
      </c>
      <c r="J131" s="1">
        <v>0</v>
      </c>
      <c r="K131" s="1">
        <v>0</v>
      </c>
      <c r="L131" s="1">
        <f t="shared" ref="L131:L136" si="32">L130+300</f>
        <v>5100</v>
      </c>
      <c r="M131" s="1">
        <f t="shared" ref="M131:M140" si="33">M130+400</f>
        <v>6400</v>
      </c>
      <c r="N131" s="1">
        <f t="shared" ref="N131:N135" si="34">N130+100</f>
        <v>1950</v>
      </c>
      <c r="O131" s="1">
        <f t="shared" ref="O131:O135" si="35">O130+100</f>
        <v>1950</v>
      </c>
      <c r="P131" s="2">
        <f t="shared" ref="P131:P145" si="36">P130+2</f>
        <v>51</v>
      </c>
      <c r="Q131" s="2">
        <f t="shared" ref="Q131:Q180" si="37">Q130+4</f>
        <v>34</v>
      </c>
      <c r="R131" s="2">
        <v>92</v>
      </c>
      <c r="S131" s="10" t="s">
        <v>833</v>
      </c>
      <c r="T131" s="10" t="s">
        <v>833</v>
      </c>
    </row>
    <row r="132" customHeight="1" spans="3:20">
      <c r="C132" s="1" t="s">
        <v>834</v>
      </c>
      <c r="D132" s="1" t="s">
        <v>835</v>
      </c>
      <c r="E132" s="1">
        <v>4</v>
      </c>
      <c r="F132" s="1" t="s">
        <v>836</v>
      </c>
      <c r="G132" s="14" t="s">
        <v>837</v>
      </c>
      <c r="H132" s="10" t="s">
        <v>837</v>
      </c>
      <c r="I132" s="15" t="s">
        <v>838</v>
      </c>
      <c r="J132" s="1">
        <v>0</v>
      </c>
      <c r="K132" s="1">
        <v>0</v>
      </c>
      <c r="L132" s="1">
        <f t="shared" si="32"/>
        <v>5400</v>
      </c>
      <c r="M132" s="1">
        <f t="shared" si="33"/>
        <v>6800</v>
      </c>
      <c r="N132" s="1">
        <f t="shared" si="34"/>
        <v>2050</v>
      </c>
      <c r="O132" s="1">
        <f t="shared" si="35"/>
        <v>2050</v>
      </c>
      <c r="P132" s="2">
        <f t="shared" si="36"/>
        <v>53</v>
      </c>
      <c r="Q132" s="2">
        <f t="shared" si="37"/>
        <v>38</v>
      </c>
      <c r="R132" s="2">
        <v>94</v>
      </c>
      <c r="S132" s="10" t="s">
        <v>839</v>
      </c>
      <c r="T132" s="10" t="s">
        <v>839</v>
      </c>
    </row>
    <row r="133" customHeight="1" spans="3:20">
      <c r="C133" s="1" t="s">
        <v>840</v>
      </c>
      <c r="D133" s="1" t="s">
        <v>841</v>
      </c>
      <c r="E133" s="1">
        <v>4</v>
      </c>
      <c r="F133" s="1" t="s">
        <v>842</v>
      </c>
      <c r="G133" s="14" t="s">
        <v>843</v>
      </c>
      <c r="H133" s="10" t="s">
        <v>843</v>
      </c>
      <c r="I133" s="15" t="s">
        <v>844</v>
      </c>
      <c r="J133" s="1">
        <v>0</v>
      </c>
      <c r="K133" s="1">
        <v>0</v>
      </c>
      <c r="L133" s="1">
        <f t="shared" si="32"/>
        <v>5700</v>
      </c>
      <c r="M133" s="1">
        <f t="shared" si="33"/>
        <v>7200</v>
      </c>
      <c r="N133" s="1">
        <f t="shared" si="34"/>
        <v>2150</v>
      </c>
      <c r="O133" s="1">
        <f t="shared" si="35"/>
        <v>2150</v>
      </c>
      <c r="P133" s="2">
        <f t="shared" si="36"/>
        <v>55</v>
      </c>
      <c r="Q133" s="2">
        <f t="shared" si="37"/>
        <v>42</v>
      </c>
      <c r="R133" s="2">
        <v>96</v>
      </c>
      <c r="S133" s="10" t="s">
        <v>845</v>
      </c>
      <c r="T133" s="10" t="s">
        <v>845</v>
      </c>
    </row>
    <row r="134" customHeight="1" spans="3:20">
      <c r="C134" s="1" t="s">
        <v>846</v>
      </c>
      <c r="D134" s="1" t="s">
        <v>847</v>
      </c>
      <c r="E134" s="1">
        <v>4</v>
      </c>
      <c r="F134" s="1" t="s">
        <v>848</v>
      </c>
      <c r="G134" s="14" t="s">
        <v>849</v>
      </c>
      <c r="H134" s="10" t="s">
        <v>849</v>
      </c>
      <c r="I134" s="15" t="s">
        <v>850</v>
      </c>
      <c r="J134" s="1">
        <v>0</v>
      </c>
      <c r="K134" s="1">
        <v>0</v>
      </c>
      <c r="L134" s="1">
        <f t="shared" si="32"/>
        <v>6000</v>
      </c>
      <c r="M134" s="1">
        <f t="shared" si="33"/>
        <v>7600</v>
      </c>
      <c r="N134" s="1">
        <f t="shared" si="34"/>
        <v>2250</v>
      </c>
      <c r="O134" s="1">
        <f t="shared" si="35"/>
        <v>2250</v>
      </c>
      <c r="P134" s="2">
        <f t="shared" si="36"/>
        <v>57</v>
      </c>
      <c r="Q134" s="2">
        <f t="shared" si="37"/>
        <v>46</v>
      </c>
      <c r="R134" s="2">
        <v>98</v>
      </c>
      <c r="S134" s="10" t="s">
        <v>851</v>
      </c>
      <c r="T134" s="10" t="s">
        <v>851</v>
      </c>
    </row>
    <row r="135" customHeight="1" spans="3:20">
      <c r="C135" s="1" t="s">
        <v>852</v>
      </c>
      <c r="D135" s="1" t="s">
        <v>853</v>
      </c>
      <c r="E135" s="1">
        <v>4</v>
      </c>
      <c r="F135" s="1" t="s">
        <v>854</v>
      </c>
      <c r="G135" s="14" t="s">
        <v>855</v>
      </c>
      <c r="H135" s="10" t="s">
        <v>855</v>
      </c>
      <c r="I135" s="15" t="s">
        <v>856</v>
      </c>
      <c r="J135" s="1">
        <v>0</v>
      </c>
      <c r="K135" s="1">
        <v>0</v>
      </c>
      <c r="L135" s="1">
        <f t="shared" si="32"/>
        <v>6300</v>
      </c>
      <c r="M135" s="1">
        <f t="shared" si="33"/>
        <v>8000</v>
      </c>
      <c r="N135" s="1">
        <f t="shared" si="34"/>
        <v>2350</v>
      </c>
      <c r="O135" s="1">
        <f t="shared" si="35"/>
        <v>2350</v>
      </c>
      <c r="P135" s="2">
        <f t="shared" si="36"/>
        <v>59</v>
      </c>
      <c r="Q135" s="2">
        <f t="shared" si="37"/>
        <v>50</v>
      </c>
      <c r="R135" s="2">
        <v>99</v>
      </c>
      <c r="S135" s="10" t="s">
        <v>857</v>
      </c>
      <c r="T135" s="10" t="s">
        <v>857</v>
      </c>
    </row>
    <row r="136" customHeight="1" spans="3:20">
      <c r="C136" s="1" t="s">
        <v>858</v>
      </c>
      <c r="D136" s="1" t="s">
        <v>859</v>
      </c>
      <c r="E136" s="1">
        <v>4</v>
      </c>
      <c r="F136" s="1" t="s">
        <v>860</v>
      </c>
      <c r="G136" s="14" t="s">
        <v>861</v>
      </c>
      <c r="H136" s="10" t="s">
        <v>861</v>
      </c>
      <c r="I136" s="15" t="s">
        <v>862</v>
      </c>
      <c r="J136" s="1">
        <v>0</v>
      </c>
      <c r="K136" s="1">
        <v>0</v>
      </c>
      <c r="L136" s="1">
        <f t="shared" ref="L136:L145" si="38">L135+500</f>
        <v>6800</v>
      </c>
      <c r="M136" s="1">
        <f t="shared" ref="M136:M145" si="39">M135+500</f>
        <v>8500</v>
      </c>
      <c r="N136" s="1">
        <f t="shared" ref="N136:N145" si="40">N135+200</f>
        <v>2550</v>
      </c>
      <c r="O136" s="1">
        <f t="shared" ref="O136:O145" si="41">O135+200</f>
        <v>2550</v>
      </c>
      <c r="P136" s="2">
        <f t="shared" si="36"/>
        <v>61</v>
      </c>
      <c r="Q136" s="2">
        <f t="shared" si="37"/>
        <v>54</v>
      </c>
      <c r="R136" s="2">
        <v>99.2</v>
      </c>
      <c r="S136" s="10" t="s">
        <v>863</v>
      </c>
      <c r="T136" s="10" t="s">
        <v>863</v>
      </c>
    </row>
    <row r="137" customHeight="1" spans="3:20">
      <c r="C137" s="1" t="s">
        <v>864</v>
      </c>
      <c r="D137" s="1" t="s">
        <v>865</v>
      </c>
      <c r="E137" s="1">
        <v>4</v>
      </c>
      <c r="F137" s="1" t="s">
        <v>866</v>
      </c>
      <c r="G137" s="14" t="s">
        <v>867</v>
      </c>
      <c r="H137" s="10" t="s">
        <v>867</v>
      </c>
      <c r="I137" s="15" t="s">
        <v>868</v>
      </c>
      <c r="J137" s="1">
        <v>0</v>
      </c>
      <c r="K137" s="1">
        <v>0</v>
      </c>
      <c r="L137" s="1">
        <f t="shared" si="38"/>
        <v>7300</v>
      </c>
      <c r="M137" s="1">
        <f t="shared" si="39"/>
        <v>9000</v>
      </c>
      <c r="N137" s="1">
        <f t="shared" si="40"/>
        <v>2750</v>
      </c>
      <c r="O137" s="1">
        <f t="shared" si="41"/>
        <v>2750</v>
      </c>
      <c r="P137" s="2">
        <f t="shared" si="36"/>
        <v>63</v>
      </c>
      <c r="Q137" s="2">
        <f t="shared" si="37"/>
        <v>58</v>
      </c>
      <c r="R137" s="2">
        <v>99.4</v>
      </c>
      <c r="S137" s="10" t="s">
        <v>869</v>
      </c>
      <c r="T137" s="10" t="s">
        <v>869</v>
      </c>
    </row>
    <row r="138" customHeight="1" spans="3:20">
      <c r="C138" s="1" t="s">
        <v>870</v>
      </c>
      <c r="D138" s="1" t="s">
        <v>871</v>
      </c>
      <c r="E138" s="1">
        <v>4</v>
      </c>
      <c r="F138" s="1" t="s">
        <v>872</v>
      </c>
      <c r="G138" s="14" t="s">
        <v>873</v>
      </c>
      <c r="H138" s="10" t="s">
        <v>873</v>
      </c>
      <c r="I138" s="15" t="s">
        <v>874</v>
      </c>
      <c r="J138" s="1">
        <v>0</v>
      </c>
      <c r="K138" s="1">
        <v>0</v>
      </c>
      <c r="L138" s="1">
        <f t="shared" si="38"/>
        <v>7800</v>
      </c>
      <c r="M138" s="1">
        <f t="shared" si="39"/>
        <v>9500</v>
      </c>
      <c r="N138" s="1">
        <f t="shared" si="40"/>
        <v>2950</v>
      </c>
      <c r="O138" s="1">
        <f t="shared" si="41"/>
        <v>2950</v>
      </c>
      <c r="P138" s="2">
        <f t="shared" si="36"/>
        <v>65</v>
      </c>
      <c r="Q138" s="2">
        <f t="shared" si="37"/>
        <v>62</v>
      </c>
      <c r="R138" s="2">
        <v>99.6</v>
      </c>
      <c r="S138" s="10" t="s">
        <v>875</v>
      </c>
      <c r="T138" s="10" t="s">
        <v>875</v>
      </c>
    </row>
    <row r="139" customHeight="1" spans="3:20">
      <c r="C139" s="1" t="s">
        <v>876</v>
      </c>
      <c r="D139" s="1" t="s">
        <v>877</v>
      </c>
      <c r="E139" s="1">
        <v>4</v>
      </c>
      <c r="F139" s="1" t="s">
        <v>878</v>
      </c>
      <c r="G139" s="14" t="s">
        <v>879</v>
      </c>
      <c r="H139" s="10" t="s">
        <v>879</v>
      </c>
      <c r="I139" s="15" t="s">
        <v>880</v>
      </c>
      <c r="J139" s="1">
        <v>0</v>
      </c>
      <c r="K139" s="1">
        <v>0</v>
      </c>
      <c r="L139" s="1">
        <f t="shared" si="38"/>
        <v>8300</v>
      </c>
      <c r="M139" s="1">
        <f t="shared" si="39"/>
        <v>10000</v>
      </c>
      <c r="N139" s="1">
        <f t="shared" si="40"/>
        <v>3150</v>
      </c>
      <c r="O139" s="1">
        <f t="shared" si="41"/>
        <v>3150</v>
      </c>
      <c r="P139" s="2">
        <f t="shared" si="36"/>
        <v>67</v>
      </c>
      <c r="Q139" s="2">
        <f t="shared" si="37"/>
        <v>66</v>
      </c>
      <c r="R139" s="2">
        <v>99.8</v>
      </c>
      <c r="S139" s="10" t="s">
        <v>881</v>
      </c>
      <c r="T139" s="10" t="s">
        <v>881</v>
      </c>
    </row>
    <row r="140" customHeight="1" spans="3:20">
      <c r="C140" s="1" t="s">
        <v>882</v>
      </c>
      <c r="D140" s="1" t="s">
        <v>883</v>
      </c>
      <c r="E140" s="1">
        <v>4</v>
      </c>
      <c r="F140" s="1" t="s">
        <v>884</v>
      </c>
      <c r="G140" s="14" t="s">
        <v>885</v>
      </c>
      <c r="H140" s="10" t="s">
        <v>885</v>
      </c>
      <c r="I140" s="15" t="s">
        <v>886</v>
      </c>
      <c r="J140" s="1">
        <v>0</v>
      </c>
      <c r="K140" s="1">
        <v>0</v>
      </c>
      <c r="L140" s="1">
        <f t="shared" si="38"/>
        <v>8800</v>
      </c>
      <c r="M140" s="1">
        <f t="shared" si="39"/>
        <v>10500</v>
      </c>
      <c r="N140" s="1">
        <f t="shared" si="40"/>
        <v>3350</v>
      </c>
      <c r="O140" s="1">
        <f t="shared" si="41"/>
        <v>3350</v>
      </c>
      <c r="P140" s="2">
        <f t="shared" si="36"/>
        <v>69</v>
      </c>
      <c r="Q140" s="2">
        <f t="shared" si="37"/>
        <v>70</v>
      </c>
      <c r="R140" s="2">
        <v>99.9</v>
      </c>
      <c r="S140" s="10" t="s">
        <v>887</v>
      </c>
      <c r="T140" s="10" t="s">
        <v>887</v>
      </c>
    </row>
    <row r="141" s="1" customFormat="1" customHeight="1" spans="1:25">
      <c r="A141" s="2"/>
      <c r="B141" s="2"/>
      <c r="C141" s="1" t="s">
        <v>888</v>
      </c>
      <c r="D141" s="1" t="s">
        <v>889</v>
      </c>
      <c r="E141" s="1">
        <v>4</v>
      </c>
      <c r="F141" s="1" t="s">
        <v>890</v>
      </c>
      <c r="G141" s="14" t="s">
        <v>891</v>
      </c>
      <c r="H141" s="10" t="s">
        <v>891</v>
      </c>
      <c r="I141" s="15" t="s">
        <v>892</v>
      </c>
      <c r="J141" s="1">
        <v>0</v>
      </c>
      <c r="K141" s="1">
        <v>0</v>
      </c>
      <c r="L141" s="1">
        <f t="shared" ref="L141:L180" si="42">L140+600</f>
        <v>9400</v>
      </c>
      <c r="M141" s="1">
        <f t="shared" ref="M141:M180" si="43">M140+600</f>
        <v>11100</v>
      </c>
      <c r="N141" s="1">
        <f t="shared" ref="N141:N180" si="44">N140+250</f>
        <v>3600</v>
      </c>
      <c r="O141" s="1">
        <f t="shared" ref="O141:O180" si="45">O140+250</f>
        <v>3600</v>
      </c>
      <c r="P141" s="2">
        <f t="shared" si="36"/>
        <v>71</v>
      </c>
      <c r="Q141" s="2">
        <f t="shared" si="37"/>
        <v>74</v>
      </c>
      <c r="R141" s="2">
        <v>99.92</v>
      </c>
      <c r="S141" s="10" t="s">
        <v>893</v>
      </c>
      <c r="T141" s="10" t="s">
        <v>893</v>
      </c>
      <c r="U141" s="2"/>
      <c r="V141" s="2"/>
      <c r="W141" s="2"/>
      <c r="X141" s="2"/>
      <c r="Y141" s="2"/>
    </row>
    <row r="142" s="1" customFormat="1" customHeight="1" spans="1:25">
      <c r="A142" s="2"/>
      <c r="B142" s="2"/>
      <c r="C142" s="1" t="s">
        <v>894</v>
      </c>
      <c r="D142" s="1" t="s">
        <v>895</v>
      </c>
      <c r="E142" s="1">
        <v>4</v>
      </c>
      <c r="F142" s="1" t="s">
        <v>896</v>
      </c>
      <c r="G142" s="14" t="s">
        <v>897</v>
      </c>
      <c r="H142" s="10" t="s">
        <v>897</v>
      </c>
      <c r="I142" s="15" t="s">
        <v>898</v>
      </c>
      <c r="J142" s="1">
        <v>0</v>
      </c>
      <c r="K142" s="1">
        <v>0</v>
      </c>
      <c r="L142" s="1">
        <f t="shared" si="42"/>
        <v>10000</v>
      </c>
      <c r="M142" s="1">
        <f t="shared" si="43"/>
        <v>11700</v>
      </c>
      <c r="N142" s="1">
        <f t="shared" si="44"/>
        <v>3850</v>
      </c>
      <c r="O142" s="1">
        <f t="shared" si="45"/>
        <v>3850</v>
      </c>
      <c r="P142" s="2">
        <f t="shared" si="36"/>
        <v>73</v>
      </c>
      <c r="Q142" s="2">
        <f t="shared" si="37"/>
        <v>78</v>
      </c>
      <c r="R142" s="2">
        <v>99.94</v>
      </c>
      <c r="S142" s="10" t="s">
        <v>899</v>
      </c>
      <c r="T142" s="10" t="s">
        <v>899</v>
      </c>
      <c r="U142" s="2"/>
      <c r="V142" s="2"/>
      <c r="W142" s="2"/>
      <c r="X142" s="2"/>
      <c r="Y142" s="2"/>
    </row>
    <row r="143" s="1" customFormat="1" customHeight="1" spans="1:25">
      <c r="A143" s="2"/>
      <c r="B143" s="2"/>
      <c r="C143" s="1" t="s">
        <v>900</v>
      </c>
      <c r="D143" s="1" t="s">
        <v>901</v>
      </c>
      <c r="E143" s="1">
        <v>4</v>
      </c>
      <c r="F143" s="1" t="s">
        <v>902</v>
      </c>
      <c r="G143" s="14" t="s">
        <v>903</v>
      </c>
      <c r="H143" s="10" t="s">
        <v>903</v>
      </c>
      <c r="I143" s="15" t="s">
        <v>904</v>
      </c>
      <c r="J143" s="1">
        <v>0</v>
      </c>
      <c r="K143" s="1">
        <v>0</v>
      </c>
      <c r="L143" s="1">
        <f t="shared" si="42"/>
        <v>10600</v>
      </c>
      <c r="M143" s="1">
        <f t="shared" si="43"/>
        <v>12300</v>
      </c>
      <c r="N143" s="1">
        <f t="shared" si="44"/>
        <v>4100</v>
      </c>
      <c r="O143" s="1">
        <f t="shared" si="45"/>
        <v>4100</v>
      </c>
      <c r="P143" s="2">
        <f t="shared" si="36"/>
        <v>75</v>
      </c>
      <c r="Q143" s="2">
        <f t="shared" si="37"/>
        <v>82</v>
      </c>
      <c r="R143" s="2">
        <v>99.96</v>
      </c>
      <c r="S143" s="10" t="s">
        <v>905</v>
      </c>
      <c r="T143" s="10" t="s">
        <v>905</v>
      </c>
      <c r="U143" s="2"/>
      <c r="V143" s="2"/>
      <c r="W143" s="2"/>
      <c r="X143" s="2"/>
      <c r="Y143" s="2"/>
    </row>
    <row r="144" s="1" customFormat="1" customHeight="1" spans="1:25">
      <c r="A144" s="2"/>
      <c r="B144" s="2"/>
      <c r="C144" s="1" t="s">
        <v>906</v>
      </c>
      <c r="D144" s="1" t="s">
        <v>907</v>
      </c>
      <c r="E144" s="1">
        <v>4</v>
      </c>
      <c r="F144" s="1" t="s">
        <v>908</v>
      </c>
      <c r="G144" s="14" t="s">
        <v>909</v>
      </c>
      <c r="H144" s="10" t="s">
        <v>909</v>
      </c>
      <c r="I144" s="15" t="s">
        <v>910</v>
      </c>
      <c r="J144" s="1">
        <v>0</v>
      </c>
      <c r="K144" s="1">
        <v>0</v>
      </c>
      <c r="L144" s="1">
        <f t="shared" si="42"/>
        <v>11200</v>
      </c>
      <c r="M144" s="1">
        <f t="shared" si="43"/>
        <v>12900</v>
      </c>
      <c r="N144" s="1">
        <f t="shared" si="44"/>
        <v>4350</v>
      </c>
      <c r="O144" s="1">
        <f t="shared" si="45"/>
        <v>4350</v>
      </c>
      <c r="P144" s="2">
        <f t="shared" si="36"/>
        <v>77</v>
      </c>
      <c r="Q144" s="2">
        <f t="shared" si="37"/>
        <v>86</v>
      </c>
      <c r="R144" s="2">
        <v>99.98</v>
      </c>
      <c r="S144" s="10" t="s">
        <v>911</v>
      </c>
      <c r="T144" s="10" t="s">
        <v>911</v>
      </c>
      <c r="U144" s="2"/>
      <c r="V144" s="2"/>
      <c r="W144" s="2"/>
      <c r="X144" s="2"/>
      <c r="Y144" s="2"/>
    </row>
    <row r="145" s="1" customFormat="1" customHeight="1" spans="1:25">
      <c r="A145" s="2"/>
      <c r="B145" s="2"/>
      <c r="C145" s="1" t="s">
        <v>912</v>
      </c>
      <c r="D145" s="1" t="s">
        <v>913</v>
      </c>
      <c r="E145" s="1">
        <v>4</v>
      </c>
      <c r="F145" s="1" t="s">
        <v>914</v>
      </c>
      <c r="G145" s="14" t="s">
        <v>915</v>
      </c>
      <c r="H145" s="10" t="s">
        <v>915</v>
      </c>
      <c r="I145" s="15" t="s">
        <v>916</v>
      </c>
      <c r="J145" s="1">
        <v>0</v>
      </c>
      <c r="K145" s="1">
        <v>0</v>
      </c>
      <c r="L145" s="1">
        <f t="shared" si="42"/>
        <v>11800</v>
      </c>
      <c r="M145" s="1">
        <f t="shared" si="43"/>
        <v>13500</v>
      </c>
      <c r="N145" s="1">
        <f t="shared" si="44"/>
        <v>4600</v>
      </c>
      <c r="O145" s="1">
        <f t="shared" si="45"/>
        <v>4600</v>
      </c>
      <c r="P145" s="2">
        <f t="shared" si="36"/>
        <v>79</v>
      </c>
      <c r="Q145" s="2">
        <f t="shared" si="37"/>
        <v>90</v>
      </c>
      <c r="R145" s="2">
        <v>99.99</v>
      </c>
      <c r="S145" s="10" t="s">
        <v>917</v>
      </c>
      <c r="T145" s="10" t="s">
        <v>917</v>
      </c>
      <c r="U145" s="2"/>
      <c r="V145" s="2"/>
      <c r="W145" s="2"/>
      <c r="X145" s="2"/>
      <c r="Y145" s="2"/>
    </row>
    <row r="146" s="1" customFormat="1" customHeight="1" spans="1:25">
      <c r="A146" s="2"/>
      <c r="B146" s="2"/>
      <c r="C146" s="1" t="s">
        <v>918</v>
      </c>
      <c r="D146" s="1" t="s">
        <v>919</v>
      </c>
      <c r="E146" s="1">
        <v>4</v>
      </c>
      <c r="F146" s="1" t="s">
        <v>920</v>
      </c>
      <c r="G146" s="5" t="s">
        <v>921</v>
      </c>
      <c r="H146" s="6" t="s">
        <v>922</v>
      </c>
      <c r="I146" s="8" t="s">
        <v>923</v>
      </c>
      <c r="J146" s="1">
        <v>10</v>
      </c>
      <c r="K146" s="1" t="s">
        <v>924</v>
      </c>
      <c r="L146" s="1">
        <f t="shared" si="42"/>
        <v>12400</v>
      </c>
      <c r="M146" s="1">
        <f t="shared" si="43"/>
        <v>14100</v>
      </c>
      <c r="N146" s="1">
        <f t="shared" si="44"/>
        <v>4850</v>
      </c>
      <c r="O146" s="1">
        <f t="shared" si="45"/>
        <v>4850</v>
      </c>
      <c r="P146" s="2">
        <f>P145+3</f>
        <v>82</v>
      </c>
      <c r="Q146" s="2">
        <v>150</v>
      </c>
      <c r="R146" s="2">
        <v>99.99</v>
      </c>
      <c r="S146" s="10" t="s">
        <v>925</v>
      </c>
      <c r="T146" s="10" t="s">
        <v>925</v>
      </c>
      <c r="W146" s="2"/>
      <c r="X146" s="2"/>
      <c r="Y146" s="2"/>
    </row>
    <row r="147" s="1" customFormat="1" customHeight="1" spans="1:25">
      <c r="A147" s="2"/>
      <c r="B147" s="2"/>
      <c r="C147" s="1" t="s">
        <v>926</v>
      </c>
      <c r="D147" s="1" t="s">
        <v>927</v>
      </c>
      <c r="E147" s="1">
        <v>4</v>
      </c>
      <c r="F147" s="1" t="s">
        <v>928</v>
      </c>
      <c r="G147" s="7" t="s">
        <v>929</v>
      </c>
      <c r="H147" s="7" t="s">
        <v>930</v>
      </c>
      <c r="I147" s="9" t="s">
        <v>931</v>
      </c>
      <c r="J147" s="1">
        <f t="shared" ref="J147:J155" si="46">J146*5</f>
        <v>50</v>
      </c>
      <c r="K147" s="1" t="s">
        <v>932</v>
      </c>
      <c r="L147" s="1">
        <f t="shared" si="42"/>
        <v>13000</v>
      </c>
      <c r="M147" s="1">
        <f t="shared" si="43"/>
        <v>14700</v>
      </c>
      <c r="N147" s="1">
        <f t="shared" si="44"/>
        <v>5100</v>
      </c>
      <c r="O147" s="1">
        <f t="shared" si="45"/>
        <v>5100</v>
      </c>
      <c r="P147" s="2">
        <f t="shared" ref="P146:P180" si="47">P146+3</f>
        <v>85</v>
      </c>
      <c r="Q147" s="2">
        <f t="shared" si="37"/>
        <v>154</v>
      </c>
      <c r="R147" s="2">
        <v>99.99</v>
      </c>
      <c r="S147" s="10" t="s">
        <v>933</v>
      </c>
      <c r="T147" s="10" t="s">
        <v>933</v>
      </c>
      <c r="W147" s="2"/>
      <c r="X147" s="2"/>
      <c r="Y147" s="2"/>
    </row>
    <row r="148" s="1" customFormat="1" customHeight="1" spans="1:25">
      <c r="A148" s="2"/>
      <c r="B148" s="2"/>
      <c r="C148" s="1" t="s">
        <v>934</v>
      </c>
      <c r="D148" s="1" t="s">
        <v>935</v>
      </c>
      <c r="E148" s="1">
        <v>4</v>
      </c>
      <c r="F148" s="1" t="s">
        <v>936</v>
      </c>
      <c r="G148" s="7" t="s">
        <v>937</v>
      </c>
      <c r="H148" s="7" t="s">
        <v>938</v>
      </c>
      <c r="I148" s="9" t="s">
        <v>939</v>
      </c>
      <c r="J148" s="1">
        <f t="shared" si="46"/>
        <v>250</v>
      </c>
      <c r="K148" s="1" t="s">
        <v>940</v>
      </c>
      <c r="L148" s="1">
        <f t="shared" si="42"/>
        <v>13600</v>
      </c>
      <c r="M148" s="1">
        <f t="shared" si="43"/>
        <v>15300</v>
      </c>
      <c r="N148" s="1">
        <f t="shared" si="44"/>
        <v>5350</v>
      </c>
      <c r="O148" s="1">
        <f t="shared" si="45"/>
        <v>5350</v>
      </c>
      <c r="P148" s="2">
        <f t="shared" si="47"/>
        <v>88</v>
      </c>
      <c r="Q148" s="2">
        <f t="shared" si="37"/>
        <v>158</v>
      </c>
      <c r="R148" s="2">
        <v>99.99</v>
      </c>
      <c r="S148" s="10" t="s">
        <v>941</v>
      </c>
      <c r="T148" s="10" t="s">
        <v>941</v>
      </c>
      <c r="W148" s="2"/>
      <c r="X148" s="2"/>
      <c r="Y148" s="2"/>
    </row>
    <row r="149" s="1" customFormat="1" customHeight="1" spans="1:25">
      <c r="A149" s="2"/>
      <c r="B149" s="2"/>
      <c r="C149" s="1" t="s">
        <v>942</v>
      </c>
      <c r="D149" s="1" t="s">
        <v>943</v>
      </c>
      <c r="E149" s="1">
        <v>4</v>
      </c>
      <c r="F149" s="1" t="s">
        <v>944</v>
      </c>
      <c r="G149" s="7" t="s">
        <v>945</v>
      </c>
      <c r="H149" s="7" t="s">
        <v>946</v>
      </c>
      <c r="I149" s="9" t="s">
        <v>947</v>
      </c>
      <c r="J149" s="1">
        <f t="shared" si="46"/>
        <v>1250</v>
      </c>
      <c r="K149" s="1" t="s">
        <v>948</v>
      </c>
      <c r="L149" s="1">
        <f t="shared" si="42"/>
        <v>14200</v>
      </c>
      <c r="M149" s="1">
        <f t="shared" si="43"/>
        <v>15900</v>
      </c>
      <c r="N149" s="1">
        <f t="shared" si="44"/>
        <v>5600</v>
      </c>
      <c r="O149" s="1">
        <f t="shared" si="45"/>
        <v>5600</v>
      </c>
      <c r="P149" s="2">
        <f t="shared" si="47"/>
        <v>91</v>
      </c>
      <c r="Q149" s="2">
        <f t="shared" si="37"/>
        <v>162</v>
      </c>
      <c r="R149" s="2">
        <v>99.99</v>
      </c>
      <c r="S149" s="10" t="s">
        <v>949</v>
      </c>
      <c r="T149" s="10" t="s">
        <v>949</v>
      </c>
      <c r="W149" s="2"/>
      <c r="X149" s="2"/>
      <c r="Y149" s="2"/>
    </row>
    <row r="150" s="1" customFormat="1" customHeight="1" spans="1:25">
      <c r="A150" s="2"/>
      <c r="B150" s="2"/>
      <c r="C150" s="1" t="s">
        <v>950</v>
      </c>
      <c r="D150" s="1" t="s">
        <v>951</v>
      </c>
      <c r="E150" s="1">
        <v>4</v>
      </c>
      <c r="F150" s="1" t="s">
        <v>952</v>
      </c>
      <c r="G150" s="7" t="s">
        <v>953</v>
      </c>
      <c r="H150" s="7" t="s">
        <v>954</v>
      </c>
      <c r="I150" s="9" t="s">
        <v>955</v>
      </c>
      <c r="J150" s="1">
        <f t="shared" si="46"/>
        <v>6250</v>
      </c>
      <c r="K150" s="1" t="s">
        <v>956</v>
      </c>
      <c r="L150" s="1">
        <f t="shared" si="42"/>
        <v>14800</v>
      </c>
      <c r="M150" s="1">
        <f t="shared" si="43"/>
        <v>16500</v>
      </c>
      <c r="N150" s="1">
        <f t="shared" si="44"/>
        <v>5850</v>
      </c>
      <c r="O150" s="1">
        <f t="shared" si="45"/>
        <v>5850</v>
      </c>
      <c r="P150" s="2">
        <f t="shared" si="47"/>
        <v>94</v>
      </c>
      <c r="Q150" s="2">
        <f t="shared" si="37"/>
        <v>166</v>
      </c>
      <c r="R150" s="2">
        <v>99.99</v>
      </c>
      <c r="S150" s="10" t="s">
        <v>957</v>
      </c>
      <c r="T150" s="10" t="s">
        <v>957</v>
      </c>
      <c r="W150" s="2"/>
      <c r="X150" s="2"/>
      <c r="Y150" s="2"/>
    </row>
    <row r="151" s="1" customFormat="1" customHeight="1" spans="1:25">
      <c r="A151" s="2"/>
      <c r="B151" s="2"/>
      <c r="C151" s="1" t="s">
        <v>958</v>
      </c>
      <c r="D151" s="1" t="s">
        <v>959</v>
      </c>
      <c r="E151" s="1">
        <v>4</v>
      </c>
      <c r="F151" s="1" t="s">
        <v>960</v>
      </c>
      <c r="G151" s="7" t="s">
        <v>961</v>
      </c>
      <c r="H151" s="7" t="s">
        <v>962</v>
      </c>
      <c r="I151" s="9" t="s">
        <v>963</v>
      </c>
      <c r="J151" s="1">
        <f t="shared" si="46"/>
        <v>31250</v>
      </c>
      <c r="K151" s="1" t="s">
        <v>964</v>
      </c>
      <c r="L151" s="1">
        <f t="shared" si="42"/>
        <v>15400</v>
      </c>
      <c r="M151" s="1">
        <f t="shared" si="43"/>
        <v>17100</v>
      </c>
      <c r="N151" s="1">
        <f t="shared" si="44"/>
        <v>6100</v>
      </c>
      <c r="O151" s="1">
        <f t="shared" si="45"/>
        <v>6100</v>
      </c>
      <c r="P151" s="2">
        <f t="shared" si="47"/>
        <v>97</v>
      </c>
      <c r="Q151" s="2">
        <f t="shared" si="37"/>
        <v>170</v>
      </c>
      <c r="R151" s="2">
        <v>99.99</v>
      </c>
      <c r="S151" s="10" t="s">
        <v>965</v>
      </c>
      <c r="T151" s="10" t="s">
        <v>965</v>
      </c>
      <c r="U151" s="2"/>
      <c r="V151" s="2"/>
      <c r="W151" s="2"/>
      <c r="X151" s="2"/>
      <c r="Y151" s="2"/>
    </row>
    <row r="152" s="1" customFormat="1" customHeight="1" spans="1:25">
      <c r="A152" s="2"/>
      <c r="B152" s="2"/>
      <c r="C152" s="1" t="s">
        <v>966</v>
      </c>
      <c r="D152" s="1" t="s">
        <v>967</v>
      </c>
      <c r="E152" s="1">
        <v>4</v>
      </c>
      <c r="F152" s="1" t="s">
        <v>968</v>
      </c>
      <c r="G152" s="7" t="s">
        <v>961</v>
      </c>
      <c r="H152" s="7" t="s">
        <v>969</v>
      </c>
      <c r="I152" s="9" t="s">
        <v>970</v>
      </c>
      <c r="J152" s="1">
        <f t="shared" si="46"/>
        <v>156250</v>
      </c>
      <c r="K152" s="1">
        <v>0</v>
      </c>
      <c r="L152" s="1">
        <f t="shared" si="42"/>
        <v>16000</v>
      </c>
      <c r="M152" s="1">
        <f t="shared" si="43"/>
        <v>17700</v>
      </c>
      <c r="N152" s="1">
        <f t="shared" si="44"/>
        <v>6350</v>
      </c>
      <c r="O152" s="1">
        <f t="shared" si="45"/>
        <v>6350</v>
      </c>
      <c r="P152" s="2">
        <f t="shared" si="47"/>
        <v>100</v>
      </c>
      <c r="Q152" s="2">
        <f t="shared" si="37"/>
        <v>174</v>
      </c>
      <c r="R152" s="2">
        <v>99.99</v>
      </c>
      <c r="S152" s="10" t="s">
        <v>971</v>
      </c>
      <c r="T152" s="10" t="s">
        <v>971</v>
      </c>
      <c r="U152" s="2"/>
      <c r="V152" s="2"/>
      <c r="W152" s="2"/>
      <c r="X152" s="2"/>
      <c r="Y152" s="2"/>
    </row>
    <row r="153" s="1" customFormat="1" customHeight="1" spans="1:25">
      <c r="A153" s="2"/>
      <c r="B153" s="2"/>
      <c r="C153" s="1" t="s">
        <v>972</v>
      </c>
      <c r="D153" s="1" t="s">
        <v>973</v>
      </c>
      <c r="E153" s="1">
        <v>4</v>
      </c>
      <c r="F153" s="1" t="s">
        <v>974</v>
      </c>
      <c r="G153" s="7" t="s">
        <v>961</v>
      </c>
      <c r="H153" s="7" t="s">
        <v>975</v>
      </c>
      <c r="I153" s="9" t="s">
        <v>976</v>
      </c>
      <c r="J153" s="1">
        <f t="shared" si="46"/>
        <v>781250</v>
      </c>
      <c r="K153" s="1">
        <v>0</v>
      </c>
      <c r="L153" s="1">
        <f t="shared" si="42"/>
        <v>16600</v>
      </c>
      <c r="M153" s="1">
        <f t="shared" si="43"/>
        <v>18300</v>
      </c>
      <c r="N153" s="1">
        <f t="shared" si="44"/>
        <v>6600</v>
      </c>
      <c r="O153" s="1">
        <f t="shared" si="45"/>
        <v>6600</v>
      </c>
      <c r="P153" s="2">
        <f t="shared" si="47"/>
        <v>103</v>
      </c>
      <c r="Q153" s="2">
        <f t="shared" si="37"/>
        <v>178</v>
      </c>
      <c r="R153" s="2">
        <v>99.99</v>
      </c>
      <c r="S153" s="10" t="s">
        <v>977</v>
      </c>
      <c r="T153" s="10" t="s">
        <v>977</v>
      </c>
      <c r="U153" s="2"/>
      <c r="V153" s="2"/>
      <c r="W153" s="2"/>
      <c r="X153" s="2"/>
      <c r="Y153" s="2"/>
    </row>
    <row r="154" s="1" customFormat="1" customHeight="1" spans="1:25">
      <c r="A154" s="2"/>
      <c r="B154" s="2"/>
      <c r="C154" s="1" t="s">
        <v>978</v>
      </c>
      <c r="D154" s="1" t="s">
        <v>979</v>
      </c>
      <c r="E154" s="1">
        <v>4</v>
      </c>
      <c r="F154" s="1" t="s">
        <v>980</v>
      </c>
      <c r="G154" s="7" t="s">
        <v>961</v>
      </c>
      <c r="H154" s="7" t="s">
        <v>981</v>
      </c>
      <c r="I154" s="9" t="s">
        <v>982</v>
      </c>
      <c r="J154" s="1">
        <f t="shared" si="46"/>
        <v>3906250</v>
      </c>
      <c r="K154" s="1">
        <v>0</v>
      </c>
      <c r="L154" s="1">
        <f t="shared" si="42"/>
        <v>17200</v>
      </c>
      <c r="M154" s="1">
        <f t="shared" si="43"/>
        <v>18900</v>
      </c>
      <c r="N154" s="1">
        <f t="shared" si="44"/>
        <v>6850</v>
      </c>
      <c r="O154" s="1">
        <f t="shared" si="45"/>
        <v>6850</v>
      </c>
      <c r="P154" s="2">
        <f t="shared" si="47"/>
        <v>106</v>
      </c>
      <c r="Q154" s="2">
        <f t="shared" si="37"/>
        <v>182</v>
      </c>
      <c r="R154" s="2">
        <v>99.99</v>
      </c>
      <c r="S154" s="10" t="s">
        <v>983</v>
      </c>
      <c r="T154" s="10" t="s">
        <v>983</v>
      </c>
      <c r="U154" s="2"/>
      <c r="V154" s="2"/>
      <c r="W154" s="2"/>
      <c r="X154" s="2"/>
      <c r="Y154" s="2"/>
    </row>
    <row r="155" s="1" customFormat="1" customHeight="1" spans="1:25">
      <c r="A155" s="2"/>
      <c r="B155" s="2"/>
      <c r="C155" s="1" t="s">
        <v>984</v>
      </c>
      <c r="D155" s="1" t="s">
        <v>985</v>
      </c>
      <c r="E155" s="1">
        <v>4</v>
      </c>
      <c r="F155" s="1" t="s">
        <v>986</v>
      </c>
      <c r="G155" s="7" t="s">
        <v>961</v>
      </c>
      <c r="H155" s="7" t="s">
        <v>987</v>
      </c>
      <c r="I155" s="9" t="s">
        <v>988</v>
      </c>
      <c r="J155" s="1">
        <f t="shared" si="46"/>
        <v>19531250</v>
      </c>
      <c r="K155" s="1">
        <v>0</v>
      </c>
      <c r="L155" s="1">
        <f t="shared" si="42"/>
        <v>17800</v>
      </c>
      <c r="M155" s="1">
        <f t="shared" si="43"/>
        <v>19500</v>
      </c>
      <c r="N155" s="1">
        <f t="shared" si="44"/>
        <v>7100</v>
      </c>
      <c r="O155" s="1">
        <f t="shared" si="45"/>
        <v>7100</v>
      </c>
      <c r="P155" s="2">
        <f t="shared" si="47"/>
        <v>109</v>
      </c>
      <c r="Q155" s="2">
        <f t="shared" si="37"/>
        <v>186</v>
      </c>
      <c r="R155" s="2">
        <v>99.99</v>
      </c>
      <c r="S155" s="10" t="s">
        <v>989</v>
      </c>
      <c r="T155" s="10" t="s">
        <v>989</v>
      </c>
      <c r="U155" s="2"/>
      <c r="V155" s="2"/>
      <c r="W155" s="2"/>
      <c r="X155" s="2"/>
      <c r="Y155" s="2"/>
    </row>
    <row r="156" s="1" customFormat="1" customHeight="1" spans="1:25">
      <c r="A156" s="2"/>
      <c r="B156" s="2"/>
      <c r="C156" s="1" t="s">
        <v>990</v>
      </c>
      <c r="D156" s="1" t="s">
        <v>991</v>
      </c>
      <c r="E156" s="1">
        <v>4</v>
      </c>
      <c r="F156" s="1" t="s">
        <v>992</v>
      </c>
      <c r="G156" s="7" t="s">
        <v>961</v>
      </c>
      <c r="H156" s="7" t="s">
        <v>993</v>
      </c>
      <c r="I156" s="9" t="s">
        <v>994</v>
      </c>
      <c r="J156" s="1" t="s">
        <v>995</v>
      </c>
      <c r="K156" s="1">
        <v>0</v>
      </c>
      <c r="L156" s="1">
        <f t="shared" si="42"/>
        <v>18400</v>
      </c>
      <c r="M156" s="1">
        <f t="shared" si="43"/>
        <v>20100</v>
      </c>
      <c r="N156" s="1">
        <f t="shared" si="44"/>
        <v>7350</v>
      </c>
      <c r="O156" s="1">
        <f t="shared" si="45"/>
        <v>7350</v>
      </c>
      <c r="P156" s="2">
        <f t="shared" si="47"/>
        <v>112</v>
      </c>
      <c r="Q156" s="2">
        <f t="shared" si="37"/>
        <v>190</v>
      </c>
      <c r="R156" s="2">
        <v>99.99</v>
      </c>
      <c r="S156" s="10" t="s">
        <v>773</v>
      </c>
      <c r="T156" s="10" t="s">
        <v>773</v>
      </c>
      <c r="U156" s="2"/>
      <c r="V156" s="2"/>
      <c r="W156" s="2"/>
      <c r="X156" s="2"/>
      <c r="Y156" s="2"/>
    </row>
    <row r="157" s="1" customFormat="1" customHeight="1" spans="1:25">
      <c r="A157" s="2"/>
      <c r="B157" s="2"/>
      <c r="C157" s="1" t="s">
        <v>996</v>
      </c>
      <c r="D157" s="1" t="s">
        <v>997</v>
      </c>
      <c r="E157" s="1">
        <v>4</v>
      </c>
      <c r="F157" s="1" t="s">
        <v>998</v>
      </c>
      <c r="G157" s="7" t="s">
        <v>961</v>
      </c>
      <c r="H157" s="7" t="s">
        <v>999</v>
      </c>
      <c r="I157" s="9" t="s">
        <v>1000</v>
      </c>
      <c r="J157" s="1" t="s">
        <v>1001</v>
      </c>
      <c r="K157" s="1">
        <v>0</v>
      </c>
      <c r="L157" s="1">
        <f t="shared" si="42"/>
        <v>19000</v>
      </c>
      <c r="M157" s="1">
        <f t="shared" si="43"/>
        <v>20700</v>
      </c>
      <c r="N157" s="1">
        <f t="shared" si="44"/>
        <v>7600</v>
      </c>
      <c r="O157" s="1">
        <f t="shared" si="45"/>
        <v>7600</v>
      </c>
      <c r="P157" s="2">
        <f t="shared" si="47"/>
        <v>115</v>
      </c>
      <c r="Q157" s="2">
        <f t="shared" si="37"/>
        <v>194</v>
      </c>
      <c r="R157" s="2">
        <v>99.99</v>
      </c>
      <c r="S157" s="10" t="s">
        <v>779</v>
      </c>
      <c r="T157" s="10" t="s">
        <v>779</v>
      </c>
      <c r="U157" s="2"/>
      <c r="V157" s="2"/>
      <c r="W157" s="2"/>
      <c r="X157" s="2"/>
      <c r="Y157" s="2"/>
    </row>
    <row r="158" s="1" customFormat="1" customHeight="1" spans="1:25">
      <c r="A158" s="2"/>
      <c r="B158" s="2"/>
      <c r="C158" s="1" t="s">
        <v>1002</v>
      </c>
      <c r="D158" s="1" t="s">
        <v>1003</v>
      </c>
      <c r="E158" s="1">
        <v>4</v>
      </c>
      <c r="F158" s="1" t="s">
        <v>1004</v>
      </c>
      <c r="G158" s="7" t="s">
        <v>961</v>
      </c>
      <c r="H158" s="7" t="s">
        <v>1005</v>
      </c>
      <c r="I158" s="9" t="s">
        <v>1006</v>
      </c>
      <c r="J158" s="1" t="s">
        <v>1007</v>
      </c>
      <c r="K158" s="1">
        <v>0</v>
      </c>
      <c r="L158" s="1">
        <f t="shared" si="42"/>
        <v>19600</v>
      </c>
      <c r="M158" s="1">
        <f t="shared" si="43"/>
        <v>21300</v>
      </c>
      <c r="N158" s="1">
        <f t="shared" si="44"/>
        <v>7850</v>
      </c>
      <c r="O158" s="1">
        <f t="shared" si="45"/>
        <v>7850</v>
      </c>
      <c r="P158" s="2">
        <f t="shared" si="47"/>
        <v>118</v>
      </c>
      <c r="Q158" s="2">
        <f t="shared" si="37"/>
        <v>198</v>
      </c>
      <c r="R158" s="2">
        <v>99.99</v>
      </c>
      <c r="S158" s="10" t="s">
        <v>785</v>
      </c>
      <c r="T158" s="10" t="s">
        <v>785</v>
      </c>
      <c r="U158" s="2"/>
      <c r="V158" s="2"/>
      <c r="W158" s="2"/>
      <c r="X158" s="2"/>
      <c r="Y158" s="2"/>
    </row>
    <row r="159" s="1" customFormat="1" customHeight="1" spans="1:25">
      <c r="A159" s="2"/>
      <c r="B159" s="2"/>
      <c r="C159" s="1" t="s">
        <v>1008</v>
      </c>
      <c r="D159" s="1" t="s">
        <v>1009</v>
      </c>
      <c r="E159" s="1">
        <v>4</v>
      </c>
      <c r="F159" s="1" t="s">
        <v>1010</v>
      </c>
      <c r="G159" s="7" t="s">
        <v>961</v>
      </c>
      <c r="H159" s="7" t="s">
        <v>1011</v>
      </c>
      <c r="I159" s="9" t="s">
        <v>1012</v>
      </c>
      <c r="J159" s="1" t="s">
        <v>1013</v>
      </c>
      <c r="K159" s="1">
        <v>0</v>
      </c>
      <c r="L159" s="1">
        <f t="shared" si="42"/>
        <v>20200</v>
      </c>
      <c r="M159" s="1">
        <f t="shared" si="43"/>
        <v>21900</v>
      </c>
      <c r="N159" s="1">
        <f t="shared" si="44"/>
        <v>8100</v>
      </c>
      <c r="O159" s="1">
        <f t="shared" si="45"/>
        <v>8100</v>
      </c>
      <c r="P159" s="2">
        <f t="shared" si="47"/>
        <v>121</v>
      </c>
      <c r="Q159" s="2">
        <f t="shared" si="37"/>
        <v>202</v>
      </c>
      <c r="R159" s="2">
        <v>99.99</v>
      </c>
      <c r="S159" s="10" t="s">
        <v>791</v>
      </c>
      <c r="T159" s="10" t="s">
        <v>791</v>
      </c>
      <c r="U159" s="2"/>
      <c r="V159" s="2"/>
      <c r="W159" s="2"/>
      <c r="X159" s="2"/>
      <c r="Y159" s="2"/>
    </row>
    <row r="160" s="1" customFormat="1" customHeight="1" spans="1:25">
      <c r="A160" s="2"/>
      <c r="B160" s="2"/>
      <c r="C160" s="1" t="s">
        <v>1014</v>
      </c>
      <c r="D160" s="1" t="s">
        <v>1015</v>
      </c>
      <c r="E160" s="1">
        <v>4</v>
      </c>
      <c r="F160" s="1" t="s">
        <v>1016</v>
      </c>
      <c r="G160" s="7" t="s">
        <v>961</v>
      </c>
      <c r="H160" s="7" t="s">
        <v>1017</v>
      </c>
      <c r="I160" s="9" t="s">
        <v>1018</v>
      </c>
      <c r="J160" s="1" t="s">
        <v>1019</v>
      </c>
      <c r="K160" s="1">
        <v>0</v>
      </c>
      <c r="L160" s="1">
        <f t="shared" si="42"/>
        <v>20800</v>
      </c>
      <c r="M160" s="1">
        <f t="shared" si="43"/>
        <v>22500</v>
      </c>
      <c r="N160" s="1">
        <f t="shared" si="44"/>
        <v>8350</v>
      </c>
      <c r="O160" s="1">
        <f t="shared" si="45"/>
        <v>8350</v>
      </c>
      <c r="P160" s="2">
        <f t="shared" si="47"/>
        <v>124</v>
      </c>
      <c r="Q160" s="2">
        <f t="shared" si="37"/>
        <v>206</v>
      </c>
      <c r="R160" s="2">
        <v>99.99</v>
      </c>
      <c r="S160" s="10" t="s">
        <v>797</v>
      </c>
      <c r="T160" s="10" t="s">
        <v>797</v>
      </c>
      <c r="U160" s="2"/>
      <c r="V160" s="2"/>
      <c r="W160" s="2"/>
      <c r="X160" s="2"/>
      <c r="Y160" s="2"/>
    </row>
    <row r="161" s="1" customFormat="1" customHeight="1" spans="1:25">
      <c r="A161" s="2"/>
      <c r="B161" s="2"/>
      <c r="C161" s="1" t="s">
        <v>1020</v>
      </c>
      <c r="D161" s="1" t="s">
        <v>1021</v>
      </c>
      <c r="E161" s="1">
        <v>4</v>
      </c>
      <c r="F161" s="1" t="s">
        <v>1022</v>
      </c>
      <c r="G161" s="7" t="s">
        <v>961</v>
      </c>
      <c r="H161" s="7" t="s">
        <v>1023</v>
      </c>
      <c r="I161" s="9" t="s">
        <v>1024</v>
      </c>
      <c r="J161" s="1" t="s">
        <v>1025</v>
      </c>
      <c r="K161" s="1">
        <v>0</v>
      </c>
      <c r="L161" s="1">
        <f t="shared" si="42"/>
        <v>21400</v>
      </c>
      <c r="M161" s="1">
        <f t="shared" si="43"/>
        <v>23100</v>
      </c>
      <c r="N161" s="1">
        <f t="shared" si="44"/>
        <v>8600</v>
      </c>
      <c r="O161" s="1">
        <f t="shared" si="45"/>
        <v>8600</v>
      </c>
      <c r="P161" s="2">
        <f t="shared" si="47"/>
        <v>127</v>
      </c>
      <c r="Q161" s="2">
        <f t="shared" si="37"/>
        <v>210</v>
      </c>
      <c r="R161" s="2">
        <v>99.99</v>
      </c>
      <c r="S161" s="10" t="s">
        <v>803</v>
      </c>
      <c r="T161" s="10" t="s">
        <v>803</v>
      </c>
      <c r="U161" s="2"/>
      <c r="V161" s="2"/>
      <c r="W161" s="2"/>
      <c r="X161" s="2"/>
      <c r="Y161" s="2"/>
    </row>
    <row r="162" s="1" customFormat="1" customHeight="1" spans="1:25">
      <c r="A162" s="2"/>
      <c r="B162" s="2"/>
      <c r="C162" s="1" t="s">
        <v>1026</v>
      </c>
      <c r="D162" s="1" t="s">
        <v>1027</v>
      </c>
      <c r="E162" s="1">
        <v>4</v>
      </c>
      <c r="F162" s="1" t="s">
        <v>1028</v>
      </c>
      <c r="G162" s="7" t="s">
        <v>961</v>
      </c>
      <c r="H162" s="7" t="s">
        <v>1029</v>
      </c>
      <c r="I162" s="9" t="s">
        <v>1030</v>
      </c>
      <c r="J162" s="1" t="s">
        <v>1031</v>
      </c>
      <c r="K162" s="1">
        <v>0</v>
      </c>
      <c r="L162" s="1">
        <f t="shared" si="42"/>
        <v>22000</v>
      </c>
      <c r="M162" s="1">
        <f t="shared" si="43"/>
        <v>23700</v>
      </c>
      <c r="N162" s="1">
        <f t="shared" si="44"/>
        <v>8850</v>
      </c>
      <c r="O162" s="1">
        <f t="shared" si="45"/>
        <v>8850</v>
      </c>
      <c r="P162" s="2">
        <f t="shared" si="47"/>
        <v>130</v>
      </c>
      <c r="Q162" s="2">
        <f t="shared" si="37"/>
        <v>214</v>
      </c>
      <c r="R162" s="2">
        <v>99.99</v>
      </c>
      <c r="S162" s="10" t="s">
        <v>809</v>
      </c>
      <c r="T162" s="10" t="s">
        <v>809</v>
      </c>
      <c r="U162" s="2"/>
      <c r="V162" s="2"/>
      <c r="W162" s="2"/>
      <c r="X162" s="2"/>
      <c r="Y162" s="2"/>
    </row>
    <row r="163" s="1" customFormat="1" customHeight="1" spans="1:25">
      <c r="A163" s="2"/>
      <c r="B163" s="2"/>
      <c r="C163" s="1" t="s">
        <v>1032</v>
      </c>
      <c r="D163" s="1" t="s">
        <v>1033</v>
      </c>
      <c r="E163" s="1">
        <v>4</v>
      </c>
      <c r="F163" s="1" t="s">
        <v>1034</v>
      </c>
      <c r="G163" s="7" t="s">
        <v>961</v>
      </c>
      <c r="H163" s="7" t="s">
        <v>1035</v>
      </c>
      <c r="I163" s="9" t="s">
        <v>1036</v>
      </c>
      <c r="J163" s="1" t="s">
        <v>1037</v>
      </c>
      <c r="K163" s="1">
        <v>0</v>
      </c>
      <c r="L163" s="1">
        <f t="shared" si="42"/>
        <v>22600</v>
      </c>
      <c r="M163" s="1">
        <f t="shared" si="43"/>
        <v>24300</v>
      </c>
      <c r="N163" s="1">
        <f t="shared" si="44"/>
        <v>9100</v>
      </c>
      <c r="O163" s="1">
        <f t="shared" si="45"/>
        <v>9100</v>
      </c>
      <c r="P163" s="2">
        <f t="shared" si="47"/>
        <v>133</v>
      </c>
      <c r="Q163" s="2">
        <f t="shared" si="37"/>
        <v>218</v>
      </c>
      <c r="R163" s="2">
        <v>99.99</v>
      </c>
      <c r="S163" s="10" t="s">
        <v>815</v>
      </c>
      <c r="T163" s="10" t="s">
        <v>815</v>
      </c>
      <c r="U163" s="2"/>
      <c r="V163" s="2"/>
      <c r="W163" s="2"/>
      <c r="X163" s="2"/>
      <c r="Y163" s="2"/>
    </row>
    <row r="164" s="1" customFormat="1" customHeight="1" spans="1:25">
      <c r="A164" s="2"/>
      <c r="B164" s="2"/>
      <c r="C164" s="1" t="s">
        <v>1038</v>
      </c>
      <c r="D164" s="1" t="s">
        <v>1039</v>
      </c>
      <c r="E164" s="1">
        <v>4</v>
      </c>
      <c r="F164" s="1" t="s">
        <v>1040</v>
      </c>
      <c r="G164" s="7" t="s">
        <v>961</v>
      </c>
      <c r="H164" s="7" t="s">
        <v>1041</v>
      </c>
      <c r="I164" s="9" t="s">
        <v>1042</v>
      </c>
      <c r="J164" s="1" t="s">
        <v>1043</v>
      </c>
      <c r="K164" s="1">
        <v>0</v>
      </c>
      <c r="L164" s="1">
        <f t="shared" si="42"/>
        <v>23200</v>
      </c>
      <c r="M164" s="1">
        <f t="shared" si="43"/>
        <v>24900</v>
      </c>
      <c r="N164" s="1">
        <f t="shared" si="44"/>
        <v>9350</v>
      </c>
      <c r="O164" s="1">
        <f t="shared" si="45"/>
        <v>9350</v>
      </c>
      <c r="P164" s="2">
        <f t="shared" si="47"/>
        <v>136</v>
      </c>
      <c r="Q164" s="2">
        <f t="shared" si="37"/>
        <v>222</v>
      </c>
      <c r="R164" s="2">
        <v>99.99</v>
      </c>
      <c r="S164" s="10" t="s">
        <v>821</v>
      </c>
      <c r="T164" s="10" t="s">
        <v>821</v>
      </c>
      <c r="U164" s="2"/>
      <c r="V164" s="2"/>
      <c r="W164" s="2"/>
      <c r="X164" s="2"/>
      <c r="Y164" s="2"/>
    </row>
    <row r="165" s="1" customFormat="1" customHeight="1" spans="1:25">
      <c r="A165" s="2"/>
      <c r="B165" s="2"/>
      <c r="C165" s="1" t="s">
        <v>1044</v>
      </c>
      <c r="D165" s="1" t="s">
        <v>1045</v>
      </c>
      <c r="E165" s="1">
        <v>4</v>
      </c>
      <c r="F165" s="1" t="s">
        <v>1046</v>
      </c>
      <c r="G165" s="7" t="s">
        <v>961</v>
      </c>
      <c r="H165" s="7" t="s">
        <v>1047</v>
      </c>
      <c r="I165" s="9" t="s">
        <v>1048</v>
      </c>
      <c r="J165" s="1" t="s">
        <v>1049</v>
      </c>
      <c r="K165" s="1">
        <v>0</v>
      </c>
      <c r="L165" s="1">
        <f t="shared" si="42"/>
        <v>23800</v>
      </c>
      <c r="M165" s="1">
        <f t="shared" si="43"/>
        <v>25500</v>
      </c>
      <c r="N165" s="1">
        <f t="shared" si="44"/>
        <v>9600</v>
      </c>
      <c r="O165" s="1">
        <f t="shared" si="45"/>
        <v>9600</v>
      </c>
      <c r="P165" s="2">
        <f t="shared" si="47"/>
        <v>139</v>
      </c>
      <c r="Q165" s="2">
        <f t="shared" si="37"/>
        <v>226</v>
      </c>
      <c r="R165" s="2">
        <v>99.99</v>
      </c>
      <c r="S165" s="10" t="s">
        <v>827</v>
      </c>
      <c r="T165" s="10" t="s">
        <v>827</v>
      </c>
      <c r="U165" s="2"/>
      <c r="V165" s="2"/>
      <c r="W165" s="2"/>
      <c r="X165" s="2"/>
      <c r="Y165" s="2"/>
    </row>
    <row r="166" customHeight="1" spans="3:20">
      <c r="C166" s="1" t="s">
        <v>1050</v>
      </c>
      <c r="D166" s="1" t="s">
        <v>1051</v>
      </c>
      <c r="E166" s="1">
        <v>4</v>
      </c>
      <c r="F166" s="1" t="s">
        <v>1052</v>
      </c>
      <c r="G166" s="7" t="s">
        <v>961</v>
      </c>
      <c r="H166" s="7" t="s">
        <v>1053</v>
      </c>
      <c r="I166" s="9" t="s">
        <v>1054</v>
      </c>
      <c r="J166" s="1" t="s">
        <v>1055</v>
      </c>
      <c r="K166" s="1">
        <v>0</v>
      </c>
      <c r="L166" s="1">
        <f t="shared" si="42"/>
        <v>24400</v>
      </c>
      <c r="M166" s="1">
        <f t="shared" si="43"/>
        <v>26100</v>
      </c>
      <c r="N166" s="1">
        <f t="shared" si="44"/>
        <v>9850</v>
      </c>
      <c r="O166" s="1">
        <f t="shared" si="45"/>
        <v>9850</v>
      </c>
      <c r="P166" s="2">
        <f t="shared" si="47"/>
        <v>142</v>
      </c>
      <c r="Q166" s="2">
        <f t="shared" si="37"/>
        <v>230</v>
      </c>
      <c r="R166" s="2">
        <v>99.99</v>
      </c>
      <c r="S166" s="10" t="s">
        <v>833</v>
      </c>
      <c r="T166" s="10" t="s">
        <v>833</v>
      </c>
    </row>
    <row r="167" customHeight="1" spans="3:20">
      <c r="C167" s="1" t="s">
        <v>1056</v>
      </c>
      <c r="D167" s="1" t="s">
        <v>1057</v>
      </c>
      <c r="E167" s="1">
        <v>4</v>
      </c>
      <c r="F167" s="1" t="s">
        <v>1058</v>
      </c>
      <c r="G167" s="7" t="s">
        <v>961</v>
      </c>
      <c r="H167" s="7" t="s">
        <v>1059</v>
      </c>
      <c r="I167" s="9" t="s">
        <v>1060</v>
      </c>
      <c r="J167" s="1" t="s">
        <v>1061</v>
      </c>
      <c r="K167" s="1">
        <v>0</v>
      </c>
      <c r="L167" s="1">
        <f t="shared" si="42"/>
        <v>25000</v>
      </c>
      <c r="M167" s="1">
        <f t="shared" si="43"/>
        <v>26700</v>
      </c>
      <c r="N167" s="1">
        <f t="shared" si="44"/>
        <v>10100</v>
      </c>
      <c r="O167" s="1">
        <f t="shared" si="45"/>
        <v>10100</v>
      </c>
      <c r="P167" s="2">
        <f t="shared" si="47"/>
        <v>145</v>
      </c>
      <c r="Q167" s="2">
        <f t="shared" si="37"/>
        <v>234</v>
      </c>
      <c r="R167" s="2">
        <v>99.99</v>
      </c>
      <c r="S167" s="10" t="s">
        <v>839</v>
      </c>
      <c r="T167" s="10" t="s">
        <v>839</v>
      </c>
    </row>
    <row r="168" customHeight="1" spans="3:20">
      <c r="C168" s="1" t="s">
        <v>1062</v>
      </c>
      <c r="D168" s="1" t="s">
        <v>1063</v>
      </c>
      <c r="E168" s="1">
        <v>4</v>
      </c>
      <c r="F168" s="1" t="s">
        <v>1064</v>
      </c>
      <c r="G168" s="7" t="s">
        <v>961</v>
      </c>
      <c r="H168" s="7" t="s">
        <v>1065</v>
      </c>
      <c r="I168" s="9" t="s">
        <v>1066</v>
      </c>
      <c r="J168" s="1" t="s">
        <v>1067</v>
      </c>
      <c r="K168" s="1">
        <v>0</v>
      </c>
      <c r="L168" s="1">
        <f t="shared" si="42"/>
        <v>25600</v>
      </c>
      <c r="M168" s="1">
        <f t="shared" si="43"/>
        <v>27300</v>
      </c>
      <c r="N168" s="1">
        <f t="shared" si="44"/>
        <v>10350</v>
      </c>
      <c r="O168" s="1">
        <f t="shared" si="45"/>
        <v>10350</v>
      </c>
      <c r="P168" s="2">
        <f t="shared" si="47"/>
        <v>148</v>
      </c>
      <c r="Q168" s="2">
        <f t="shared" si="37"/>
        <v>238</v>
      </c>
      <c r="R168" s="2">
        <v>99.99</v>
      </c>
      <c r="S168" s="10" t="s">
        <v>845</v>
      </c>
      <c r="T168" s="10" t="s">
        <v>845</v>
      </c>
    </row>
    <row r="169" customHeight="1" spans="3:20">
      <c r="C169" s="1" t="s">
        <v>1068</v>
      </c>
      <c r="D169" s="1" t="s">
        <v>1069</v>
      </c>
      <c r="E169" s="1">
        <v>4</v>
      </c>
      <c r="F169" s="1" t="s">
        <v>1070</v>
      </c>
      <c r="G169" s="7" t="s">
        <v>961</v>
      </c>
      <c r="H169" s="7" t="s">
        <v>1071</v>
      </c>
      <c r="I169" s="9" t="s">
        <v>1072</v>
      </c>
      <c r="J169" s="1" t="s">
        <v>1073</v>
      </c>
      <c r="K169" s="1">
        <v>0</v>
      </c>
      <c r="L169" s="1">
        <f t="shared" si="42"/>
        <v>26200</v>
      </c>
      <c r="M169" s="1">
        <f t="shared" si="43"/>
        <v>27900</v>
      </c>
      <c r="N169" s="1">
        <f t="shared" si="44"/>
        <v>10600</v>
      </c>
      <c r="O169" s="1">
        <f t="shared" si="45"/>
        <v>10600</v>
      </c>
      <c r="P169" s="2">
        <f t="shared" si="47"/>
        <v>151</v>
      </c>
      <c r="Q169" s="2">
        <f t="shared" si="37"/>
        <v>242</v>
      </c>
      <c r="R169" s="2">
        <v>99.99</v>
      </c>
      <c r="S169" s="10" t="s">
        <v>851</v>
      </c>
      <c r="T169" s="10" t="s">
        <v>851</v>
      </c>
    </row>
    <row r="170" customHeight="1" spans="3:20">
      <c r="C170" s="1" t="s">
        <v>1074</v>
      </c>
      <c r="D170" s="1" t="s">
        <v>1075</v>
      </c>
      <c r="E170" s="1">
        <v>4</v>
      </c>
      <c r="F170" s="1" t="s">
        <v>1076</v>
      </c>
      <c r="G170" s="7" t="s">
        <v>961</v>
      </c>
      <c r="H170" s="7" t="s">
        <v>1077</v>
      </c>
      <c r="I170" s="9" t="s">
        <v>1072</v>
      </c>
      <c r="J170" s="1" t="s">
        <v>1078</v>
      </c>
      <c r="K170" s="1">
        <v>0</v>
      </c>
      <c r="L170" s="1">
        <f t="shared" si="42"/>
        <v>26800</v>
      </c>
      <c r="M170" s="1">
        <f t="shared" si="43"/>
        <v>28500</v>
      </c>
      <c r="N170" s="1">
        <f t="shared" si="44"/>
        <v>10850</v>
      </c>
      <c r="O170" s="1">
        <f t="shared" si="45"/>
        <v>10850</v>
      </c>
      <c r="P170" s="2">
        <f t="shared" si="47"/>
        <v>154</v>
      </c>
      <c r="Q170" s="2">
        <f t="shared" si="37"/>
        <v>246</v>
      </c>
      <c r="R170" s="2">
        <v>99.99</v>
      </c>
      <c r="S170" s="10" t="s">
        <v>857</v>
      </c>
      <c r="T170" s="10" t="s">
        <v>857</v>
      </c>
    </row>
    <row r="171" customHeight="1" spans="3:20">
      <c r="C171" s="1" t="s">
        <v>1079</v>
      </c>
      <c r="D171" s="1" t="s">
        <v>1080</v>
      </c>
      <c r="E171" s="1">
        <v>4</v>
      </c>
      <c r="F171" s="1" t="s">
        <v>1081</v>
      </c>
      <c r="G171" s="7" t="s">
        <v>961</v>
      </c>
      <c r="H171" s="7" t="s">
        <v>1082</v>
      </c>
      <c r="I171" s="9" t="s">
        <v>1072</v>
      </c>
      <c r="J171" s="1" t="s">
        <v>1083</v>
      </c>
      <c r="K171" s="1">
        <v>0</v>
      </c>
      <c r="L171" s="1">
        <f t="shared" si="42"/>
        <v>27400</v>
      </c>
      <c r="M171" s="1">
        <f t="shared" si="43"/>
        <v>29100</v>
      </c>
      <c r="N171" s="1">
        <f t="shared" si="44"/>
        <v>11100</v>
      </c>
      <c r="O171" s="1">
        <f t="shared" si="45"/>
        <v>11100</v>
      </c>
      <c r="P171" s="2">
        <f t="shared" si="47"/>
        <v>157</v>
      </c>
      <c r="Q171" s="2">
        <f t="shared" si="37"/>
        <v>250</v>
      </c>
      <c r="R171" s="2">
        <v>99.99</v>
      </c>
      <c r="S171" s="10" t="s">
        <v>863</v>
      </c>
      <c r="T171" s="10" t="s">
        <v>863</v>
      </c>
    </row>
    <row r="172" customHeight="1" spans="3:20">
      <c r="C172" s="1" t="s">
        <v>1084</v>
      </c>
      <c r="D172" s="1" t="s">
        <v>1085</v>
      </c>
      <c r="E172" s="1">
        <v>4</v>
      </c>
      <c r="F172" s="1" t="s">
        <v>1086</v>
      </c>
      <c r="G172" s="7" t="s">
        <v>961</v>
      </c>
      <c r="H172" s="7" t="s">
        <v>1087</v>
      </c>
      <c r="I172" s="9" t="s">
        <v>1072</v>
      </c>
      <c r="J172" s="1" t="s">
        <v>1088</v>
      </c>
      <c r="K172" s="1">
        <v>0</v>
      </c>
      <c r="L172" s="1">
        <f t="shared" si="42"/>
        <v>28000</v>
      </c>
      <c r="M172" s="1">
        <f t="shared" si="43"/>
        <v>29700</v>
      </c>
      <c r="N172" s="1">
        <f t="shared" si="44"/>
        <v>11350</v>
      </c>
      <c r="O172" s="1">
        <f t="shared" si="45"/>
        <v>11350</v>
      </c>
      <c r="P172" s="2">
        <f t="shared" si="47"/>
        <v>160</v>
      </c>
      <c r="Q172" s="2">
        <f t="shared" si="37"/>
        <v>254</v>
      </c>
      <c r="R172" s="2">
        <v>99.99</v>
      </c>
      <c r="S172" s="10" t="s">
        <v>869</v>
      </c>
      <c r="T172" s="10" t="s">
        <v>869</v>
      </c>
    </row>
    <row r="173" customHeight="1" spans="3:20">
      <c r="C173" s="1" t="s">
        <v>1089</v>
      </c>
      <c r="D173" s="1" t="s">
        <v>1090</v>
      </c>
      <c r="E173" s="1">
        <v>4</v>
      </c>
      <c r="F173" s="1" t="s">
        <v>1091</v>
      </c>
      <c r="G173" s="7" t="s">
        <v>961</v>
      </c>
      <c r="H173" s="7" t="s">
        <v>1092</v>
      </c>
      <c r="I173" s="9" t="s">
        <v>1072</v>
      </c>
      <c r="J173" s="1" t="s">
        <v>1093</v>
      </c>
      <c r="K173" s="1">
        <v>0</v>
      </c>
      <c r="L173" s="1">
        <f t="shared" si="42"/>
        <v>28600</v>
      </c>
      <c r="M173" s="1">
        <f t="shared" si="43"/>
        <v>30300</v>
      </c>
      <c r="N173" s="1">
        <f t="shared" si="44"/>
        <v>11600</v>
      </c>
      <c r="O173" s="1">
        <f t="shared" si="45"/>
        <v>11600</v>
      </c>
      <c r="P173" s="2">
        <f t="shared" si="47"/>
        <v>163</v>
      </c>
      <c r="Q173" s="2">
        <f t="shared" si="37"/>
        <v>258</v>
      </c>
      <c r="R173" s="2">
        <v>99.99</v>
      </c>
      <c r="S173" s="10" t="s">
        <v>875</v>
      </c>
      <c r="T173" s="10" t="s">
        <v>875</v>
      </c>
    </row>
    <row r="174" customHeight="1" spans="3:20">
      <c r="C174" s="1" t="s">
        <v>1094</v>
      </c>
      <c r="D174" s="1" t="s">
        <v>1095</v>
      </c>
      <c r="E174" s="1">
        <v>4</v>
      </c>
      <c r="F174" s="1" t="s">
        <v>1096</v>
      </c>
      <c r="G174" s="7" t="s">
        <v>961</v>
      </c>
      <c r="H174" s="7" t="s">
        <v>1097</v>
      </c>
      <c r="I174" s="9" t="s">
        <v>1072</v>
      </c>
      <c r="J174" s="1" t="s">
        <v>1098</v>
      </c>
      <c r="K174" s="1">
        <v>0</v>
      </c>
      <c r="L174" s="1">
        <f t="shared" si="42"/>
        <v>29200</v>
      </c>
      <c r="M174" s="1">
        <f t="shared" si="43"/>
        <v>30900</v>
      </c>
      <c r="N174" s="1">
        <f t="shared" si="44"/>
        <v>11850</v>
      </c>
      <c r="O174" s="1">
        <f t="shared" si="45"/>
        <v>11850</v>
      </c>
      <c r="P174" s="2">
        <f t="shared" si="47"/>
        <v>166</v>
      </c>
      <c r="Q174" s="2">
        <f t="shared" si="37"/>
        <v>262</v>
      </c>
      <c r="R174" s="2">
        <v>99.99</v>
      </c>
      <c r="S174" s="10" t="s">
        <v>881</v>
      </c>
      <c r="T174" s="10" t="s">
        <v>881</v>
      </c>
    </row>
    <row r="175" customHeight="1" spans="3:20">
      <c r="C175" s="1" t="s">
        <v>1099</v>
      </c>
      <c r="D175" s="1" t="s">
        <v>1100</v>
      </c>
      <c r="E175" s="1">
        <v>4</v>
      </c>
      <c r="F175" s="1" t="s">
        <v>1101</v>
      </c>
      <c r="G175" s="7" t="s">
        <v>961</v>
      </c>
      <c r="H175" s="7" t="s">
        <v>1102</v>
      </c>
      <c r="I175" s="9" t="s">
        <v>1072</v>
      </c>
      <c r="J175" s="1" t="s">
        <v>1103</v>
      </c>
      <c r="K175" s="1">
        <v>0</v>
      </c>
      <c r="L175" s="1">
        <f t="shared" si="42"/>
        <v>29800</v>
      </c>
      <c r="M175" s="1">
        <f t="shared" si="43"/>
        <v>31500</v>
      </c>
      <c r="N175" s="1">
        <f t="shared" si="44"/>
        <v>12100</v>
      </c>
      <c r="O175" s="1">
        <f t="shared" si="45"/>
        <v>12100</v>
      </c>
      <c r="P175" s="2">
        <f t="shared" si="47"/>
        <v>169</v>
      </c>
      <c r="Q175" s="2">
        <f t="shared" si="37"/>
        <v>266</v>
      </c>
      <c r="R175" s="2">
        <v>99.99</v>
      </c>
      <c r="S175" s="10" t="s">
        <v>887</v>
      </c>
      <c r="T175" s="10" t="s">
        <v>887</v>
      </c>
    </row>
    <row r="176" s="1" customFormat="1" customHeight="1" spans="1:25">
      <c r="A176" s="2"/>
      <c r="B176" s="2"/>
      <c r="C176" s="1" t="s">
        <v>1104</v>
      </c>
      <c r="D176" s="1" t="s">
        <v>1105</v>
      </c>
      <c r="E176" s="1">
        <v>4</v>
      </c>
      <c r="F176" s="1" t="s">
        <v>1106</v>
      </c>
      <c r="G176" s="7" t="s">
        <v>961</v>
      </c>
      <c r="H176" s="7" t="s">
        <v>1107</v>
      </c>
      <c r="I176" s="9" t="s">
        <v>1072</v>
      </c>
      <c r="J176" s="1" t="s">
        <v>1108</v>
      </c>
      <c r="K176" s="1">
        <v>0</v>
      </c>
      <c r="L176" s="1">
        <f t="shared" si="42"/>
        <v>30400</v>
      </c>
      <c r="M176" s="1">
        <f t="shared" si="43"/>
        <v>32100</v>
      </c>
      <c r="N176" s="1">
        <f t="shared" si="44"/>
        <v>12350</v>
      </c>
      <c r="O176" s="1">
        <f t="shared" si="45"/>
        <v>12350</v>
      </c>
      <c r="P176" s="2">
        <f t="shared" si="47"/>
        <v>172</v>
      </c>
      <c r="Q176" s="2">
        <f t="shared" si="37"/>
        <v>270</v>
      </c>
      <c r="R176" s="2">
        <v>99.99</v>
      </c>
      <c r="S176" s="10" t="s">
        <v>893</v>
      </c>
      <c r="T176" s="10" t="s">
        <v>893</v>
      </c>
      <c r="U176" s="2"/>
      <c r="V176" s="2"/>
      <c r="W176" s="2"/>
      <c r="X176" s="2"/>
      <c r="Y176" s="2"/>
    </row>
    <row r="177" s="1" customFormat="1" customHeight="1" spans="1:25">
      <c r="A177" s="2"/>
      <c r="B177" s="2"/>
      <c r="C177" s="1" t="s">
        <v>1109</v>
      </c>
      <c r="D177" s="1" t="s">
        <v>1110</v>
      </c>
      <c r="E177" s="1">
        <v>4</v>
      </c>
      <c r="F177" s="1" t="s">
        <v>1111</v>
      </c>
      <c r="G177" s="7" t="s">
        <v>961</v>
      </c>
      <c r="H177" s="7" t="s">
        <v>1112</v>
      </c>
      <c r="I177" s="9" t="s">
        <v>1072</v>
      </c>
      <c r="J177" s="1" t="s">
        <v>1113</v>
      </c>
      <c r="K177" s="1">
        <v>0</v>
      </c>
      <c r="L177" s="1">
        <f t="shared" si="42"/>
        <v>31000</v>
      </c>
      <c r="M177" s="1">
        <f t="shared" si="43"/>
        <v>32700</v>
      </c>
      <c r="N177" s="1">
        <f t="shared" si="44"/>
        <v>12600</v>
      </c>
      <c r="O177" s="1">
        <f t="shared" si="45"/>
        <v>12600</v>
      </c>
      <c r="P177" s="2">
        <f t="shared" si="47"/>
        <v>175</v>
      </c>
      <c r="Q177" s="2">
        <f t="shared" si="37"/>
        <v>274</v>
      </c>
      <c r="R177" s="2">
        <v>99.99</v>
      </c>
      <c r="S177" s="10" t="s">
        <v>899</v>
      </c>
      <c r="T177" s="10" t="s">
        <v>899</v>
      </c>
      <c r="U177" s="2"/>
      <c r="V177" s="2"/>
      <c r="W177" s="2"/>
      <c r="X177" s="2"/>
      <c r="Y177" s="2"/>
    </row>
    <row r="178" s="1" customFormat="1" customHeight="1" spans="1:25">
      <c r="A178" s="2"/>
      <c r="B178" s="2"/>
      <c r="C178" s="1" t="s">
        <v>1114</v>
      </c>
      <c r="D178" s="1" t="s">
        <v>1115</v>
      </c>
      <c r="E178" s="1">
        <v>4</v>
      </c>
      <c r="F178" s="1" t="s">
        <v>1116</v>
      </c>
      <c r="G178" s="7" t="s">
        <v>961</v>
      </c>
      <c r="H178" s="7" t="s">
        <v>1117</v>
      </c>
      <c r="I178" s="9" t="s">
        <v>1072</v>
      </c>
      <c r="J178" s="1" t="s">
        <v>1118</v>
      </c>
      <c r="K178" s="1">
        <v>0</v>
      </c>
      <c r="L178" s="1">
        <f t="shared" si="42"/>
        <v>31600</v>
      </c>
      <c r="M178" s="1">
        <f t="shared" si="43"/>
        <v>33300</v>
      </c>
      <c r="N178" s="1">
        <f t="shared" si="44"/>
        <v>12850</v>
      </c>
      <c r="O178" s="1">
        <f t="shared" si="45"/>
        <v>12850</v>
      </c>
      <c r="P178" s="2">
        <f t="shared" si="47"/>
        <v>178</v>
      </c>
      <c r="Q178" s="2">
        <f t="shared" si="37"/>
        <v>278</v>
      </c>
      <c r="R178" s="2">
        <v>99.99</v>
      </c>
      <c r="S178" s="10" t="s">
        <v>905</v>
      </c>
      <c r="T178" s="10" t="s">
        <v>905</v>
      </c>
      <c r="U178" s="2"/>
      <c r="V178" s="2"/>
      <c r="W178" s="2"/>
      <c r="X178" s="2"/>
      <c r="Y178" s="2"/>
    </row>
    <row r="179" s="1" customFormat="1" customHeight="1" spans="1:25">
      <c r="A179" s="2"/>
      <c r="B179" s="2"/>
      <c r="C179" s="1" t="s">
        <v>1119</v>
      </c>
      <c r="D179" s="1" t="s">
        <v>1120</v>
      </c>
      <c r="E179" s="1">
        <v>4</v>
      </c>
      <c r="F179" s="1" t="s">
        <v>1121</v>
      </c>
      <c r="G179" s="7" t="s">
        <v>961</v>
      </c>
      <c r="H179" s="7" t="s">
        <v>1122</v>
      </c>
      <c r="I179" s="9" t="s">
        <v>1072</v>
      </c>
      <c r="J179" s="1" t="s">
        <v>1123</v>
      </c>
      <c r="K179" s="1">
        <v>0</v>
      </c>
      <c r="L179" s="1">
        <f t="shared" si="42"/>
        <v>32200</v>
      </c>
      <c r="M179" s="1">
        <f t="shared" si="43"/>
        <v>33900</v>
      </c>
      <c r="N179" s="1">
        <f t="shared" si="44"/>
        <v>13100</v>
      </c>
      <c r="O179" s="1">
        <f t="shared" si="45"/>
        <v>13100</v>
      </c>
      <c r="P179" s="2">
        <f t="shared" si="47"/>
        <v>181</v>
      </c>
      <c r="Q179" s="2">
        <f t="shared" si="37"/>
        <v>282</v>
      </c>
      <c r="R179" s="2">
        <v>99.99</v>
      </c>
      <c r="S179" s="10" t="s">
        <v>911</v>
      </c>
      <c r="T179" s="10" t="s">
        <v>911</v>
      </c>
      <c r="U179" s="2"/>
      <c r="V179" s="2"/>
      <c r="W179" s="2"/>
      <c r="X179" s="2"/>
      <c r="Y179" s="2"/>
    </row>
    <row r="180" s="1" customFormat="1" customHeight="1" spans="1:25">
      <c r="A180" s="2"/>
      <c r="B180" s="2"/>
      <c r="C180" s="1" t="s">
        <v>1124</v>
      </c>
      <c r="D180" s="1" t="s">
        <v>1125</v>
      </c>
      <c r="E180" s="1">
        <v>4</v>
      </c>
      <c r="F180" s="1" t="s">
        <v>1126</v>
      </c>
      <c r="G180" s="7" t="s">
        <v>961</v>
      </c>
      <c r="H180" s="7" t="s">
        <v>1127</v>
      </c>
      <c r="I180" s="9" t="s">
        <v>1072</v>
      </c>
      <c r="J180" s="1" t="s">
        <v>1128</v>
      </c>
      <c r="K180" s="1">
        <v>0</v>
      </c>
      <c r="L180" s="1">
        <f t="shared" si="42"/>
        <v>32800</v>
      </c>
      <c r="M180" s="1">
        <f t="shared" si="43"/>
        <v>34500</v>
      </c>
      <c r="N180" s="1">
        <f t="shared" si="44"/>
        <v>13350</v>
      </c>
      <c r="O180" s="1">
        <f t="shared" si="45"/>
        <v>13350</v>
      </c>
      <c r="P180" s="2">
        <f t="shared" si="47"/>
        <v>184</v>
      </c>
      <c r="Q180" s="2">
        <f t="shared" si="37"/>
        <v>286</v>
      </c>
      <c r="R180" s="2">
        <v>99.99</v>
      </c>
      <c r="S180" s="10" t="s">
        <v>917</v>
      </c>
      <c r="T180" s="10" t="s">
        <v>917</v>
      </c>
      <c r="U180" s="2"/>
      <c r="V180" s="2"/>
      <c r="W180" s="2"/>
      <c r="X180" s="2"/>
      <c r="Y180" s="2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2025-03-16T12:59:43Z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
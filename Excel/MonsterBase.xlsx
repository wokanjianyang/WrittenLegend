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<sst xmlns="http://schemas.openxmlformats.org/spreadsheetml/2006/main" count="1349" uniqueCount="1108">
  <si>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</si>
  <si>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</si>
  <si>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</si>
  <si>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</si>
  <si>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</si>
  <si>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</si>
  <si>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</si>
  <si>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</si>
  <si>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</si>
  <si>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</si>
  <si>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</si>
  <si>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</si>
  <si>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</si>
  <si>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</si>
  <si>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</si>
  <si>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</si>
  <si>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</si>
  <si>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</si>
  <si>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</si>
  <si>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</si>
  <si>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</si>
  <si>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</si>
  <si>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</si>
  <si>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</si>
  <si>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</si>
  <si>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</si>
  <si>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</si>
  <si>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</si>
  <si>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</si>
  <si>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</si>
  <si>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</si>
  <si>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</si>
  <si>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</si>
  <si>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</si>
  <si>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</si>
  <si>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</si>
  <si>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</si>
  <si>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</si>
  <si>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</si>
  <si>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</si>
  <si>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</si>
  <si>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</si>
  <si>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</si>
  <si>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</si>
  <si>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</si>
  <si>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</si>
  <si>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</si>
  <si>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</si>
  <si>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</si>
  <si>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</si>
  <si>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</si>
  <si>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</si>
  <si>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</si>
  <si>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</si>
  <si>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</si>
  <si>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</si>
  <si>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</si>
  <si>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</si>
  <si>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</si>
  <si>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</si>
  <si>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</si>
  <si>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</si>
  <si>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</si>
  <si>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</si>
  <si>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</si>
  <si>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</si>
  <si>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</si>
  <si>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</si>
  <si>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</si>
  <si>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</si>
  <si>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</si>
  <si>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</si>
  <si>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</si>
  <si>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</si>
  <si>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</si>
  <si>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</si>
  <si>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</si>
  <si>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</si>
  <si>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</si>
  <si>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</si>
  <si>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</si>
  <si>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</si>
  <si>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</si>
  <si>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</si>
  <si>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</si>
  <si>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</si>
  <si>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</si>
  <si>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</si>
  <si>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</si>
  <si>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</si>
  <si>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</si>
  <si>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</si>
  <si>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</si>
  <si>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</si>
  <si>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</si>
  <si>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</si>
  <si>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</si>
  <si>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</si>
  <si>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</si>
  <si>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</si>
  <si>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</si>
  <si>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</si>
  <si>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</si>
  <si>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</si>
  <si>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</si>
  <si>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</si>
  <si>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</si>
  <si>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</si>
  <si>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</si>
  <si>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</si>
  <si>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</si>
  <si>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</si>
  <si>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</si>
  <si>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</si>
  <si>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</si>
  <si>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</si>
  <si>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</si>
  <si>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</si>
  <si>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</si>
  <si>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</si>
  <si>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</si>
  <si>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</si>
  <si>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</si>
  <si>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</si>
  <si>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</si>
  <si>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</si>
  <si>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</si>
  <si>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</si>
  <si>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</si>
  <si>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</si>
  <si>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</si>
  <si>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</si>
  <si>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</si>
  <si>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</si>
  <si>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</si>
  <si>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</si>
  <si>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</si>
  <si>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</si>
  <si>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</si>
  <si>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</si>
  <si>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</si>
  <si>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</si>
  <si>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</si>
  <si>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</si>
  <si>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</si>
  <si>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</si>
  <si>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</si>
  <si>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</si>
  <si>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</si>
  <si>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</si>
  <si>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</si>
  <si>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</si>
  <si>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</si>
  <si>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</si>
  <si>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</si>
  <si>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</si>
  <si>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</si>
  <si>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</si>
  <si>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</si>
  <si>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</si>
  <si>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</si>
  <si>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</si>
  <si>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</si>
  <si>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</si>
  <si>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</si>
  <si>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</si>
  <si>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</si>
  <si>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</si>
  <si>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</si>
  <si>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</si>
  <si>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</si>
  <si>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</si>
  <si>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</si>
  <si>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</si>
  <si>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</si>
  <si>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</si>
  <si>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</si>
  <si>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</si>
  <si>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</si>
  <si>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</si>
  <si>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</si>
  <si>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</si>
  <si>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</si>
  <si>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</si>
  <si>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</si>
  <si>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</si>
  <si>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</si>
  <si>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</si>
  <si>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</si>
  <si>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</si>
  <si>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</si>
  <si>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</si>
  <si>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</si>
  <si>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</si>
  <si>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</si>
  <si>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</si>
  <si>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</si>
  <si>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</si>
  <si>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</si>
  <si>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</si>
  <si>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</si>
  <si>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</si>
  <si>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</si>
  <si>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</si>
  <si>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</si>
  <si>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</si>
  <si>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</si>
  <si>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</si>
  <si>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</si>
  <si>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</si>
  <si>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</si>
  <si>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</si>
  <si>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</si>
  <si>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</si>
  <si>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</si>
  <si>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</si>
  <si>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</si>
  <si>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</si>
  <si>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</si>
  <si>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</si>
  <si>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</si>
  <si>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</si>
  <si>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</si>
  <si>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</si>
  <si>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</si>
  <si>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</si>
  <si>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</si>
  <si>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</si>
  <si>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</si>
  <si>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</si>
  <si>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</si>
  <si>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</si>
  <si>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</si>
  <si>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</si>
  <si>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</si>
  <si>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</si>
  <si>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</si>
  <si>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</si>
  <si>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</si>
  <si>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</si>
  <si>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</si>
  <si>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</si>
  <si>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</si>
  <si>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</si>
  <si>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</si>
  <si>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</si>
  <si>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</si>
  <si>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</si>
  <si>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</si>
  <si>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</si>
  <si>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</si>
  <si>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</si>
  <si>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</si>
  <si>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</si>
  <si>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</si>
  <si>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</si>
  <si>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</si>
  <si>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</si>
  <si>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</si>
  <si>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</si>
  <si>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</si>
  <si>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</si>
  <si>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</si>
  <si>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</si>
  <si>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</si>
  <si>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</si>
  <si>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</si>
  <si>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</si>
  <si>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</si>
  <si>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</si>
  <si>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</si>
  <si>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</si>
  <si>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</si>
  <si>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</si>
  <si>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</si>
  <si>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</si>
  <si>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</si>
  <si>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</si>
  <si>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</si>
  <si>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</si>
  <si>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</si>
  <si>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</si>
  <si>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</si>
  <si>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</si>
  <si>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</si>
  <si>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</si>
  <si>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</si>
  <si>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</si>
  <si>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</si>
  <si>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</si>
  <si>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</si>
  <si>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</si>
  <si>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</si>
  <si>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</si>
  <si>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</si>
  <si>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</si>
  <si>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</si>
  <si>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</si>
  <si>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</si>
  <si>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</si>
  <si>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</si>
  <si>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</si>
  <si>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</si>
  <si>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</si>
  <si>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</si>
  <si>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</si>
  <si>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</si>
  <si>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</si>
  <si>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</si>
  <si>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</si>
  <si>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</si>
  <si>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</si>
  <si>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</si>
  <si>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</si>
  <si>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</si>
  <si>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</si>
  <si>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</si>
  <si>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</si>
  <si>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</si>
  <si>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</si>
  <si>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</si>
  <si>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</si>
  <si>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</si>
  <si>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</si>
  <si>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</si>
  <si>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</si>
  <si>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</si>
  <si>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</si>
  <si>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</si>
  <si>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</si>
  <si>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</si>
  <si>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</si>
  <si>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</si>
  <si>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</si>
  <si>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</si>
  <si>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</si>
  <si>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</si>
  <si>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</si>
  <si>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</si>
  <si>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</si>
  <si>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</si>
  <si>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</si>
  <si>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</si>
  <si>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</si>
  <si>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</si>
  <si>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</si>
  <si>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</si>
  <si>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</si>
  <si>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</si>
  <si>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</si>
  <si>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</si>
  <si>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</si>
  <si>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</si>
  <si>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</si>
  <si>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</si>
  <si>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</si>
  <si>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</si>
  <si>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</si>
  <si>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</si>
  <si>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</si>
  <si>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</si>
  <si>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</si>
  <si>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</si>
  <si>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</si>
  <si>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</si>
  <si>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</si>
  <si>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</si>
  <si>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</si>
  <si>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</si>
  <si>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</si>
  <si>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</si>
  <si>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</si>
  <si>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</si>
  <si>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</si>
  <si>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</si>
  <si>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</si>
  <si>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</si>
  <si>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</si>
  <si>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</si>
  <si>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</si>
  <si>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</si>
  <si>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</si>
  <si>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</si>
  <si>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</si>
  <si>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</si>
  <si>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</si>
  <si>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</si>
  <si>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</si>
  <si>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</si>
  <si>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</si>
  <si>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</si>
  <si>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</si>
  <si>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</si>
  <si>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</si>
  <si>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</si>
  <si>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</si>
  <si>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</si>
  <si>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</si>
  <si>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</si>
  <si>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</si>
  <si>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</si>
  <si>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</si>
  <si>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</si>
  <si>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</si>
  <si>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</si>
  <si>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</si>
  <si>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</si>
  <si>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</si>
  <si>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</si>
  <si>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</si>
  <si>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</si>
  <si>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</si>
  <si>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</si>
  <si>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</si>
  <si>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</si>
  <si>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</si>
  <si>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</si>
  <si>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</si>
  <si>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</si>
  <si>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</si>
  <si>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</si>
  <si>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</si>
  <si>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</si>
  <si>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</si>
  <si>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</si>
  <si>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</si>
  <si>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</si>
  <si>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</si>
  <si>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</si>
  <si>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</si>
  <si>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</si>
  <si>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</si>
  <si>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</si>
  <si>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</si>
  <si>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</si>
  <si>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</si>
  <si>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</si>
  <si>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</si>
  <si>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</si>
  <si>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</si>
  <si>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</si>
  <si>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</si>
  <si>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</si>
  <si>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</si>
  <si>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</si>
  <si>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</si>
  <si>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</si>
  <si>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</si>
  <si>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</si>
  <si>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</si>
  <si>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</si>
  <si>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</si>
  <si>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</si>
  <si>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</si>
  <si>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</si>
  <si>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</si>
  <si>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</si>
  <si>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</si>
  <si>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</si>
  <si>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</si>
  <si>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</si>
  <si>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</si>
  <si>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</si>
  <si>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</si>
  <si>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</si>
  <si>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</si>
  <si>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</si>
  <si>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</si>
  <si>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</si>
  <si>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</si>
  <si>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</si>
  <si>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</si>
  <si>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</si>
  <si>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</si>
  <si>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</si>
  <si>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</si>
  <si>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</si>
  <si>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</si>
  <si>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</si>
  <si>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</si>
  <si>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</si>
  <si>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</si>
  <si>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</si>
  <si>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</si>
  <si>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</si>
  <si>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</si>
  <si>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</si>
  <si>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</si>
  <si>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</si>
  <si>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</si>
  <si>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</si>
  <si>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</si>
  <si>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</si>
  <si>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</si>
  <si>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</si>
  <si>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</si>
  <si>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</si>
  <si>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</si>
  <si>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</si>
  <si>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</si>
  <si>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</si>
  <si>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</si>
  <si>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</si>
  <si>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</si>
  <si>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</si>
  <si>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</si>
  <si>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</si>
  <si>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</si>
  <si>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</si>
  <si>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</si>
  <si>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</si>
  <si>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</si>
  <si>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</si>
  <si>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</si>
  <si>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</si>
  <si>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</si>
  <si>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</si>
  <si>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</si>
  <si>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</si>
  <si>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</si>
  <si>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</si>
  <si>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</si>
  <si>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</si>
  <si>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</si>
  <si>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</si>
  <si>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</si>
  <si>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</si>
  <si>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</si>
  <si>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</si>
  <si>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</si>
  <si>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</si>
  <si>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</si>
  <si>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</si>
  <si>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</si>
  <si>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</si>
  <si>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</si>
  <si>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</si>
  <si>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</si>
  <si>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</si>
  <si>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</si>
  <si>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</si>
  <si>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</si>
  <si>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</si>
  <si>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</si>
  <si>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</si>
  <si>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</si>
  <si>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</si>
  <si>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</si>
  <si>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</si>
  <si>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</si>
  <si>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</si>
  <si>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</si>
  <si>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</si>
  <si>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</si>
  <si>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</si>
  <si>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</si>
  <si>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</si>
  <si>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</si>
  <si>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</si>
  <si>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</si>
  <si>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</si>
  <si>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</si>
  <si>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</si>
  <si>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</si>
  <si>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</si>
  <si>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</si>
  <si>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</si>
  <si>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</si>
  <si>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</si>
  <si>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</si>
  <si>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</si>
  <si>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</si>
  <si>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</si>
  <si>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</si>
  <si>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</si>
  <si>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</si>
  <si>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</si>
  <si>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</si>
  <si>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</si>
  <si>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</si>
  <si>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</si>
  <si>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</si>
  <si>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</si>
  <si>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</si>
  <si>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</si>
  <si>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</si>
  <si>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</si>
  <si>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</si>
  <si>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</si>
  <si>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</si>
  <si>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</si>
  <si>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</si>
  <si>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</si>
  <si>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</si>
  <si>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</si>
  <si>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</si>
  <si>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</si>
  <si>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</si>
  <si>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</si>
  <si>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</si>
  <si>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</si>
  <si>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</si>
  <si>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</si>
  <si>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</si>
  <si>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</si>
  <si>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</si>
  <si>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</si>
  <si>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</si>
  <si>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</si>
  <si>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</si>
  <si>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</si>
  <si>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</si>
  <si>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</si>
  <si>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</si>
  <si>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</si>
  <si>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</si>
  <si>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</si>
  <si>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</si>
  <si>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</si>
  <si>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</si>
  <si>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</si>
  <si>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</si>
  <si>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</si>
  <si>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</si>
  <si>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</si>
  <si>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</si>
  <si>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</si>
  <si>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</si>
  <si>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</si>
  <si>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</si>
  <si>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</si>
  <si>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</si>
  <si>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</si>
  <si>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</si>
  <si>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</si>
  <si>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</si>
  <si>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</si>
  <si>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</si>
  <si>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</si>
  <si>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</si>
  <si>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</si>
  <si>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</si>
  <si>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</si>
  <si>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</si>
  <si>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</si>
  <si>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</si>
  <si>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</si>
  <si>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</si>
  <si>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</si>
  <si>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</si>
  <si>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</si>
  <si>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</si>
  <si>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</si>
  <si>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</si>
  <si>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</si>
  <si>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</si>
  <si>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</si>
  <si>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</si>
  <si>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</si>
  <si>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</si>
  <si>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</si>
  <si>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</si>
  <si>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</si>
  <si>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</si>
  <si>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</si>
  <si>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</si>
  <si>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</si>
  <si>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</si>
  <si>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</si>
  <si>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</si>
  <si>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</si>
  <si>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</si>
  <si>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</si>
  <si>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</si>
  <si>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</si>
  <si>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</si>
  <si>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</si>
  <si>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</si>
  <si>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</si>
  <si>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</si>
  <si>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</si>
  <si>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</si>
  <si>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</si>
  <si>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</si>
  <si>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</si>
  <si>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</si>
  <si>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</si>
  <si>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</si>
  <si>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</si>
  <si>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</si>
  <si>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</si>
  <si>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</si>
  <si>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</si>
  <si>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</si>
  <si>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</si>
  <si>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</si>
  <si>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</si>
  <si>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</si>
  <si>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</si>
  <si>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</si>
  <si>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</si>
  <si>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</si>
  <si>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</si>
  <si>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</si>
  <si>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</si>
  <si>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</si>
  <si>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</si>
  <si>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</si>
  <si>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</si>
  <si>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</si>
  <si>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</si>
  <si>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</si>
  <si>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</si>
  <si>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</si>
  <si>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</si>
  <si>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</si>
  <si>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</si>
  <si>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</si>
  <si>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</si>
  <si>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</si>
  <si>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</si>
  <si>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</si>
  <si>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</si>
  <si>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</si>
  <si>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</si>
  <si>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</si>
  <si>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</si>
  <si>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</si>
  <si>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</si>
  <si>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</si>
  <si>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</si>
  <si>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</si>
  <si>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</si>
  <si>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</si>
  <si>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</si>
  <si>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</si>
  <si>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</si>
  <si>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</si>
  <si>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</si>
  <si>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</si>
  <si>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</si>
  <si>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</si>
  <si>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</si>
  <si>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</si>
  <si>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</si>
  <si>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</si>
  <si>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</si>
  <si>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</si>
  <si>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</si>
  <si>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</si>
  <si>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</si>
  <si>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</si>
  <si>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</si>
  <si>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</si>
  <si>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</si>
  <si>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</si>
  <si>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</si>
  <si>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</si>
  <si>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</si>
  <si>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</si>
  <si>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</si>
  <si>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</si>
  <si>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</si>
  <si>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</si>
  <si>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</si>
  <si>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</si>
  <si>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</si>
  <si>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</si>
  <si>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</si>
  <si>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</si>
  <si>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</si>
  <si>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</si>
  <si>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</si>
  <si>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</si>
  <si>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</si>
  <si>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</si>
  <si>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</si>
  <si>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</si>
  <si>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</si>
  <si>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</si>
  <si>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</si>
  <si>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</si>
  <si>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</si>
  <si>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</si>
  <si>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</si>
  <si>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</si>
  <si>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</si>
  <si>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</si>
  <si>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</si>
  <si>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</si>
  <si>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</si>
  <si>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</si>
  <si>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</si>
  <si>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</si>
  <si>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</si>
  <si>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</si>
  <si>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</si>
  <si>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</si>
  <si>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</si>
  <si>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</si>
  <si>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</si>
  <si>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</si>
  <si>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</si>
  <si>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</si>
  <si>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</si>
  <si>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</si>
  <si>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</si>
  <si>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</si>
  <si>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</si>
  <si>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</si>
  <si>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</si>
  <si>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</si>
  <si>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</si>
  <si>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</si>
  <si>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</si>
  <si>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</si>
  <si>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</si>
  <si>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</si>
  <si>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</si>
  <si>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</si>
  <si>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</si>
  <si>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</si>
  <si>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</si>
  <si>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</si>
  <si>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</si>
  <si>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</si>
  <si>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</si>
  <si>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</si>
  <si>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</si>
  <si>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</si>
  <si>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</si>
  <si>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</si>
  <si>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</si>
  <si>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</si>
  <si>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</si>
  <si>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</si>
  <si>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</si>
  <si>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</si>
  <si>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</si>
  <si>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</si>
  <si>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</si>
  <si>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</si>
  <si>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</si>
  <si>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</si>
  <si>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</si>
  <si>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</si>
  <si>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</si>
  <si>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</si>
  <si>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</si>
  <si>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</si>
  <si>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</si>
  <si>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</si>
  <si>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</si>
  <si>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</si>
  <si>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</si>
  <si>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</si>
  <si>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</si>
  <si>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</si>
  <si>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</si>
  <si>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</si>
  <si>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</si>
  <si>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</si>
  <si>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</si>
  <si>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</si>
  <si>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</si>
  <si>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</si>
  <si>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</si>
  <si>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</si>
  <si>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</si>
  <si>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</si>
  <si>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</si>
  <si>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</si>
  <si>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</si>
  <si>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</si>
  <si>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</si>
  <si>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</si>
  <si>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</si>
  <si>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</si>
  <si>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</si>
  <si>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</si>
  <si>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</si>
  <si>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</si>
  <si>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</si>
  <si>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</si>
  <si>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</si>
  <si>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</si>
  <si>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</si>
  <si>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</si>
  <si>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</si>
  <si>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</si>
  <si>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</si>
  <si>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</si>
  <si>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</si>
  <si>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</si>
  <si>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</si>
  <si>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</si>
  <si>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</si>
  <si>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</si>
  <si>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</si>
  <si>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</si>
  <si>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</si>
  <si>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</si>
  <si>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</si>
  <si>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</si>
  <si>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</si>
  <si>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</si>
  <si>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</si>
  <si>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</si>
  <si>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</si>
  <si>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</si>
  <si>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</si>
  <si>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</si>
  <si>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</si>
  <si>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</si>
  <si>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</si>
  <si>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</si>
  <si>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</si>
  <si>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</si>
  <si>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</si>
  <si>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</si>
  <si>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</si>
  <si>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</si>
  <si>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</si>
  <si>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</si>
  <si>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</si>
  <si>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</si>
  <si>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</si>
  <si>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</si>
  <si>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</si>
  <si>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</si>
  <si>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</si>
  <si>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</si>
  <si>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</si>
  <si>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</si>
  <si>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</si>
  <si>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</si>
  <si>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</si>
  <si>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</si>
  <si>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</si>
  <si>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</si>
  <si>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</si>
  <si>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</si>
  <si>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</si>
  <si>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</si>
  <si>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</si>
  <si>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</si>
  <si>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</si>
  <si>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</si>
  <si>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</si>
  <si>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</si>
  <si>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</si>
  <si>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</si>
  <si>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</si>
  <si>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</si>
  <si>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</si>
  <si>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</si>
  <si>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</si>
  <si>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</si>
  <si>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</si>
  <si>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</si>
  <si>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</si>
  <si>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</si>
  <si>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</si>
  <si>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</si>
  <si>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</si>
  <si>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</si>
  <si>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</si>
  <si>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</si>
  <si>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</si>
  <si>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</si>
  <si>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</si>
  <si>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</si>
  <si>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</si>
  <si>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</si>
  <si>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</si>
  <si>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</si>
  <si>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</si>
  <si>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</si>
  <si>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</si>
  <si>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</si>
  <si>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</si>
  <si>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</si>
  <si>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</si>
  <si>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</si>
  <si>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</si>
  <si>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</si>
  <si>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</si>
  <si>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</si>
  <si>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</si>
  <si>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</si>
  <si>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</si>
  <si>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</si>
  <si>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</si>
  <si>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</si>
  <si>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</si>
  <si>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</si>
  <si>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</si>
  <si>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</si>
  <si>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</si>
  <si>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</si>
  <si>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</si>
  <si>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</si>
  <si>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</si>
  <si>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</si>
  <si>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</si>
  <si>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</si>
  <si>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15河</t>
  </si>
  <si>
    <t>9由</t>
  </si>
  <si>
    <t>32无</t>
  </si>
  <si>
    <t>2亿</t>
  </si>
  <si>
    <t>1000沟</t>
  </si>
  <si>
    <t>63000000000</t>
  </si>
  <si>
    <t>10152</t>
  </si>
  <si>
    <t>1151</t>
  </si>
  <si>
    <t>深渊沙虫</t>
  </si>
  <si>
    <t>75河</t>
  </si>
  <si>
    <t>90由</t>
  </si>
  <si>
    <t>640无</t>
  </si>
  <si>
    <t>20亿</t>
  </si>
  <si>
    <t>1涧</t>
  </si>
  <si>
    <t>66000000000</t>
  </si>
  <si>
    <t>10153</t>
  </si>
  <si>
    <t>1152</t>
  </si>
  <si>
    <t>深渊小鹰</t>
  </si>
  <si>
    <t>375河</t>
  </si>
  <si>
    <t>900由</t>
  </si>
  <si>
    <t>12800无</t>
  </si>
  <si>
    <t>200亿</t>
  </si>
  <si>
    <t>10涧</t>
  </si>
  <si>
    <t>69000000000</t>
  </si>
  <si>
    <t>10154</t>
  </si>
  <si>
    <t>1153</t>
  </si>
  <si>
    <t>深渊角虫</t>
  </si>
  <si>
    <t>2000河</t>
  </si>
  <si>
    <t>9000由</t>
  </si>
  <si>
    <t>25量</t>
  </si>
  <si>
    <t>2000亿</t>
  </si>
  <si>
    <t>100涧</t>
  </si>
  <si>
    <t>72000000000</t>
  </si>
  <si>
    <t>10155</t>
  </si>
  <si>
    <t>1154</t>
  </si>
  <si>
    <t>深渊蜈蚣</t>
  </si>
  <si>
    <t>1沙</t>
  </si>
  <si>
    <t>9他</t>
  </si>
  <si>
    <t>125量</t>
  </si>
  <si>
    <t>2兆</t>
  </si>
  <si>
    <t>1000涧</t>
  </si>
  <si>
    <t>75000000000</t>
  </si>
  <si>
    <t>10156</t>
  </si>
  <si>
    <t>1155</t>
  </si>
  <si>
    <t>深渊钳虫</t>
  </si>
  <si>
    <t>10157</t>
  </si>
  <si>
    <t>1156</t>
  </si>
  <si>
    <t>深渊蠕虫</t>
  </si>
  <si>
    <t>10158</t>
  </si>
  <si>
    <t>1157</t>
  </si>
  <si>
    <t>深渊黑猪</t>
  </si>
  <si>
    <t>10159</t>
  </si>
  <si>
    <t>1158</t>
  </si>
  <si>
    <t>深渊红猪</t>
  </si>
  <si>
    <t>10160</t>
  </si>
  <si>
    <t>1159</t>
  </si>
  <si>
    <t>深渊蝎蛇</t>
  </si>
  <si>
    <t>10161</t>
  </si>
  <si>
    <t>1160</t>
  </si>
  <si>
    <t>深渊恶魔</t>
  </si>
  <si>
    <t>10162</t>
  </si>
  <si>
    <t>1161</t>
  </si>
  <si>
    <t>深渊勇士</t>
  </si>
  <si>
    <t>10163</t>
  </si>
  <si>
    <t>1162</t>
  </si>
  <si>
    <t>深渊雕像</t>
  </si>
  <si>
    <t>10164</t>
  </si>
  <si>
    <t>1163</t>
  </si>
  <si>
    <t>深渊卫士</t>
  </si>
  <si>
    <t>10165</t>
  </si>
  <si>
    <t>1164</t>
  </si>
  <si>
    <t>深渊魔猪</t>
  </si>
  <si>
    <t>10166</t>
  </si>
  <si>
    <t>1165</t>
  </si>
  <si>
    <t>深渊树妖</t>
  </si>
  <si>
    <t>10167</t>
  </si>
  <si>
    <t>1166</t>
  </si>
  <si>
    <t>深渊侍卫</t>
  </si>
  <si>
    <t>10168</t>
  </si>
  <si>
    <t>1167</t>
  </si>
  <si>
    <t>深渊剧毒</t>
  </si>
  <si>
    <t>10169</t>
  </si>
  <si>
    <t>1168</t>
  </si>
  <si>
    <t>深渊锤兵</t>
  </si>
  <si>
    <t>10170</t>
  </si>
  <si>
    <t>1169</t>
  </si>
  <si>
    <t>深渊魔牛</t>
  </si>
  <si>
    <t>10171</t>
  </si>
  <si>
    <t>1170</t>
  </si>
  <si>
    <t>深渊水龙</t>
  </si>
  <si>
    <t>10172</t>
  </si>
  <si>
    <t>1171</t>
  </si>
  <si>
    <t>深渊土龙</t>
  </si>
  <si>
    <t>10173</t>
  </si>
  <si>
    <t>1172</t>
  </si>
  <si>
    <t>深渊毒龙</t>
  </si>
  <si>
    <t>10174</t>
  </si>
  <si>
    <t>1173</t>
  </si>
  <si>
    <t>深渊火龙</t>
  </si>
  <si>
    <t>10175</t>
  </si>
  <si>
    <t>1174</t>
  </si>
  <si>
    <t>深渊冰龙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</si>
</sst>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G136" workbookViewId="0">
      <selection activeCell="T155" sqref="T155:T160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" style="3" customWidth="1"/>
    <col min="8" max="8" width="24.6666666666667" style="3" customWidth="1"/>
    <col min="9" max="9" width="21.75" style="3" customWidth="1"/>
    <col min="10" max="11" width="11.75" style="3" customWidth="1"/>
    <col min="12" max="12" width="12.75" style="3" customWidth="1"/>
    <col min="13" max="13" width="9.375" style="3" customWidth="1"/>
    <col min="14" max="14" width="9.125" style="3" customWidth="1"/>
    <col min="15" max="15" width="8.75" style="3" customWidth="1"/>
    <col min="16" max="16" width="9.87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1.125" style="1"/>
    <col min="22" max="22" width="9" style="1"/>
    <col min="23" max="23" width="13.625" style="3" customWidth="1"/>
    <col min="24" max="24" width="8.125" style="3" customWidth="1"/>
    <col min="25" max="25" width="9.625" style="3" customWidth="1"/>
    <col min="26" max="16384" width="9" style="3"/>
  </cols>
  <sheetData>
    <row r="1" s="1" customFormat="1" customHeight="1" spans="1:25">
      <c r="A1" s="3"/>
      <c r="B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W1" s="3"/>
      <c r="X1" s="3"/>
      <c r="Y1" s="3"/>
    </row>
    <row r="2" s="1" customFormat="1" customHeight="1" spans="1:25">
      <c r="A2" s="3"/>
      <c r="B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W2" s="3"/>
      <c r="X2" s="3"/>
      <c r="Y2" s="3"/>
    </row>
    <row r="3" s="1" customFormat="1" customHeight="1" spans="1:2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W3" s="3"/>
      <c r="X3" s="3"/>
      <c r="Y3" s="3"/>
    </row>
    <row r="4" s="1" customFormat="1" customHeight="1" spans="1:25">
      <c r="A4" s="3"/>
      <c r="B4" s="3"/>
      <c r="C4" s="4" t="s">
        <v>18</v>
      </c>
      <c r="D4" s="4" t="s">
        <v>19</v>
      </c>
      <c r="E4" s="4" t="s">
        <v>2</v>
      </c>
      <c r="F4" s="4" t="s">
        <v>20</v>
      </c>
      <c r="G4" s="4" t="s">
        <v>21</v>
      </c>
      <c r="H4" s="4" t="s">
        <v>22</v>
      </c>
      <c r="I4" s="4" t="s">
        <v>23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24</v>
      </c>
      <c r="T4" s="4" t="s">
        <v>25</v>
      </c>
      <c r="W4" s="3"/>
      <c r="X4" s="3"/>
      <c r="Y4" s="3"/>
    </row>
    <row r="5" s="1" customFormat="1" customHeight="1" spans="1:25">
      <c r="A5" s="3"/>
      <c r="B5" s="3"/>
      <c r="C5" s="4" t="s">
        <v>26</v>
      </c>
      <c r="D5" s="4" t="s">
        <v>26</v>
      </c>
      <c r="E5" s="4" t="s">
        <v>26</v>
      </c>
      <c r="F5" s="4" t="s">
        <v>27</v>
      </c>
      <c r="G5" s="4" t="s">
        <v>27</v>
      </c>
      <c r="H5" s="4" t="s">
        <v>27</v>
      </c>
      <c r="I5" s="4" t="s">
        <v>27</v>
      </c>
      <c r="J5" s="4" t="s">
        <v>27</v>
      </c>
      <c r="K5" s="4" t="s">
        <v>27</v>
      </c>
      <c r="L5" s="4" t="s">
        <v>26</v>
      </c>
      <c r="M5" s="4" t="s">
        <v>26</v>
      </c>
      <c r="N5" s="4" t="s">
        <v>26</v>
      </c>
      <c r="O5" s="4" t="s">
        <v>26</v>
      </c>
      <c r="P5" s="4" t="s">
        <v>26</v>
      </c>
      <c r="Q5" s="4" t="s">
        <v>26</v>
      </c>
      <c r="R5" s="4" t="s">
        <v>28</v>
      </c>
      <c r="S5" s="4" t="s">
        <v>29</v>
      </c>
      <c r="T5" s="4" t="s">
        <v>29</v>
      </c>
      <c r="W5" s="3"/>
      <c r="X5" s="3"/>
      <c r="Y5" s="3"/>
    </row>
    <row r="6" ht="14.25" spans="3:20">
      <c r="C6" s="1" t="s">
        <v>30</v>
      </c>
      <c r="D6" s="1" t="s">
        <v>31</v>
      </c>
      <c r="E6" s="1">
        <v>1</v>
      </c>
      <c r="F6" s="1" t="s">
        <v>32</v>
      </c>
      <c r="G6" s="14" t="s">
        <v>33</v>
      </c>
      <c r="H6" s="14" t="s">
        <v>34</v>
      </c>
      <c r="I6" s="14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5">
        <v>0</v>
      </c>
      <c r="Q6" s="5">
        <v>0</v>
      </c>
      <c r="R6" s="5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5">
        <v>0</v>
      </c>
      <c r="Q7" s="5">
        <v>0</v>
      </c>
      <c r="R7" s="5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5">
        <v>0</v>
      </c>
      <c r="Q8" s="5">
        <v>0</v>
      </c>
      <c r="R8" s="5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5">
        <v>0</v>
      </c>
      <c r="Q9" s="5">
        <v>0</v>
      </c>
      <c r="R9" s="5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5">
        <v>0</v>
      </c>
      <c r="Q10" s="5">
        <v>0</v>
      </c>
      <c r="R10" s="5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5">
        <v>0</v>
      </c>
      <c r="Q11" s="5">
        <v>0</v>
      </c>
      <c r="R11" s="5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5">
        <v>0</v>
      </c>
      <c r="Q12" s="5">
        <v>0</v>
      </c>
      <c r="R12" s="5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5">
        <v>0</v>
      </c>
      <c r="Q13" s="5">
        <v>0</v>
      </c>
      <c r="R13" s="5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5">
        <v>0</v>
      </c>
      <c r="Q14" s="5">
        <v>0</v>
      </c>
      <c r="R14" s="5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5">
        <v>0</v>
      </c>
      <c r="Q15" s="5">
        <v>0</v>
      </c>
      <c r="R15" s="5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5">
        <v>0</v>
      </c>
      <c r="Q16" s="5">
        <v>0</v>
      </c>
      <c r="R16" s="5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5">
        <v>0</v>
      </c>
      <c r="Q17" s="5">
        <v>0</v>
      </c>
      <c r="R17" s="5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5">
        <v>0</v>
      </c>
      <c r="Q18" s="5">
        <v>0</v>
      </c>
      <c r="R18" s="5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5">
        <v>0</v>
      </c>
      <c r="Q19" s="5">
        <v>0</v>
      </c>
      <c r="R19" s="5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5">
        <v>0</v>
      </c>
      <c r="Q20" s="5">
        <v>0</v>
      </c>
      <c r="R20" s="5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5">
        <v>0</v>
      </c>
      <c r="Q21" s="5">
        <v>0</v>
      </c>
      <c r="R21" s="5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5">
        <v>0</v>
      </c>
      <c r="Q22" s="5">
        <v>0</v>
      </c>
      <c r="R22" s="5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5">
        <v>0</v>
      </c>
      <c r="Q23" s="5">
        <v>0</v>
      </c>
      <c r="R23" s="5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5">
        <v>0</v>
      </c>
      <c r="Q24" s="5">
        <v>0</v>
      </c>
      <c r="R24" s="5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5">
        <v>0</v>
      </c>
      <c r="Q25" s="5">
        <v>0</v>
      </c>
      <c r="R25" s="5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5">
        <v>0</v>
      </c>
      <c r="Q26" s="5">
        <v>0</v>
      </c>
      <c r="R26" s="5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5">
        <v>0</v>
      </c>
      <c r="Q27" s="5">
        <v>0</v>
      </c>
      <c r="R27" s="5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5">
        <v>0</v>
      </c>
      <c r="Q28" s="5">
        <v>0</v>
      </c>
      <c r="R28" s="5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5">
        <v>0</v>
      </c>
      <c r="Q29" s="5">
        <v>0</v>
      </c>
      <c r="R29" s="5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5">
        <v>0</v>
      </c>
      <c r="Q30" s="5">
        <v>0</v>
      </c>
      <c r="R30" s="5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5">
        <v>0</v>
      </c>
      <c r="Q31" s="5">
        <v>0</v>
      </c>
      <c r="R31" s="5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5">
        <v>0</v>
      </c>
      <c r="Q32" s="5">
        <v>0</v>
      </c>
      <c r="R32" s="5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5">
        <v>0</v>
      </c>
      <c r="Q33" s="5">
        <v>0</v>
      </c>
      <c r="R33" s="5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5">
        <v>0</v>
      </c>
      <c r="Q34" s="5">
        <v>0</v>
      </c>
      <c r="R34" s="5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5">
        <v>0</v>
      </c>
      <c r="Q35" s="5">
        <v>0</v>
      </c>
      <c r="R35" s="5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5">
        <v>0</v>
      </c>
      <c r="Q36" s="5">
        <v>0</v>
      </c>
      <c r="R36" s="5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5">
        <v>0</v>
      </c>
      <c r="Q37" s="5">
        <v>0</v>
      </c>
      <c r="R37" s="5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5">
        <v>0</v>
      </c>
      <c r="Q38" s="5">
        <v>0</v>
      </c>
      <c r="R38" s="5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5">
        <v>0</v>
      </c>
      <c r="Q39" s="5">
        <v>0</v>
      </c>
      <c r="R39" s="5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5">
        <v>0</v>
      </c>
      <c r="Q40" s="5">
        <v>0</v>
      </c>
      <c r="R40" s="5">
        <v>0</v>
      </c>
      <c r="S40" s="1" t="s">
        <v>264</v>
      </c>
      <c r="T40" s="1" t="s">
        <v>264</v>
      </c>
    </row>
    <row r="41" s="1" customFormat="1" customHeight="1" spans="1:25">
      <c r="A41" s="3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5">
        <v>0</v>
      </c>
      <c r="Q41" s="5">
        <v>0</v>
      </c>
      <c r="R41" s="5">
        <v>0</v>
      </c>
      <c r="S41" s="1" t="s">
        <v>271</v>
      </c>
      <c r="T41" s="1" t="s">
        <v>271</v>
      </c>
      <c r="W41" s="3"/>
      <c r="X41" s="3"/>
      <c r="Y41" s="3"/>
    </row>
    <row r="42" s="1" customFormat="1" customHeight="1" spans="1:25">
      <c r="A42" s="3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5">
        <v>0</v>
      </c>
      <c r="Q42" s="5">
        <v>0</v>
      </c>
      <c r="R42" s="5">
        <v>0</v>
      </c>
      <c r="S42" s="1" t="s">
        <v>278</v>
      </c>
      <c r="T42" s="1" t="s">
        <v>278</v>
      </c>
      <c r="W42" s="3"/>
      <c r="X42" s="3"/>
      <c r="Y42" s="3"/>
    </row>
    <row r="43" s="1" customFormat="1" customHeight="1" spans="1:25">
      <c r="A43" s="3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5">
        <v>0</v>
      </c>
      <c r="Q43" s="5">
        <v>0</v>
      </c>
      <c r="R43" s="5">
        <v>0</v>
      </c>
      <c r="S43" s="1" t="s">
        <v>285</v>
      </c>
      <c r="T43" s="1" t="s">
        <v>285</v>
      </c>
      <c r="W43" s="3"/>
      <c r="X43" s="3"/>
      <c r="Y43" s="3"/>
    </row>
    <row r="44" s="1" customFormat="1" customHeight="1" spans="1:25">
      <c r="A44" s="3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5">
        <v>0</v>
      </c>
      <c r="Q44" s="5">
        <v>0</v>
      </c>
      <c r="R44" s="5">
        <v>0</v>
      </c>
      <c r="S44" s="1" t="s">
        <v>292</v>
      </c>
      <c r="T44" s="1" t="s">
        <v>292</v>
      </c>
      <c r="W44" s="3"/>
      <c r="X44" s="3"/>
      <c r="Y44" s="3"/>
    </row>
    <row r="45" s="1" customFormat="1" customHeight="1" spans="1:25">
      <c r="A45" s="3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5">
        <v>0</v>
      </c>
      <c r="Q45" s="5">
        <v>0</v>
      </c>
      <c r="R45" s="5">
        <v>0</v>
      </c>
      <c r="S45" s="1" t="s">
        <v>299</v>
      </c>
      <c r="T45" s="1" t="s">
        <v>299</v>
      </c>
      <c r="W45" s="3"/>
      <c r="X45" s="3"/>
      <c r="Y45" s="3"/>
    </row>
    <row r="46" s="1" customFormat="1" customHeight="1" spans="1:25">
      <c r="A46" s="3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5">
        <v>0</v>
      </c>
      <c r="Q46" s="5">
        <v>0</v>
      </c>
      <c r="R46" s="5">
        <v>0</v>
      </c>
      <c r="S46" s="1" t="s">
        <v>306</v>
      </c>
      <c r="T46" s="1" t="s">
        <v>306</v>
      </c>
      <c r="U46" s="3"/>
      <c r="V46" s="3"/>
      <c r="W46" s="3"/>
      <c r="X46" s="3"/>
      <c r="Y46" s="3"/>
    </row>
    <row r="47" s="1" customFormat="1" customHeight="1" spans="1:25">
      <c r="A47" s="3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5">
        <v>0</v>
      </c>
      <c r="Q47" s="5">
        <v>0</v>
      </c>
      <c r="R47" s="5">
        <v>0</v>
      </c>
      <c r="S47" s="1" t="s">
        <v>313</v>
      </c>
      <c r="T47" s="1" t="s">
        <v>313</v>
      </c>
      <c r="U47" s="3"/>
      <c r="V47" s="3"/>
      <c r="W47" s="3"/>
      <c r="X47" s="3"/>
      <c r="Y47" s="3"/>
    </row>
    <row r="48" s="1" customFormat="1" customHeight="1" spans="1:25">
      <c r="A48" s="3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5">
        <v>0</v>
      </c>
      <c r="Q48" s="5">
        <v>0</v>
      </c>
      <c r="R48" s="5">
        <v>0</v>
      </c>
      <c r="S48" s="1" t="s">
        <v>320</v>
      </c>
      <c r="T48" s="1" t="s">
        <v>320</v>
      </c>
      <c r="U48" s="3"/>
      <c r="V48" s="3"/>
      <c r="W48" s="3"/>
      <c r="X48" s="3"/>
      <c r="Y48" s="3"/>
    </row>
    <row r="49" s="1" customFormat="1" customHeight="1" spans="1:25">
      <c r="A49" s="3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5">
        <v>0</v>
      </c>
      <c r="Q49" s="5">
        <v>0</v>
      </c>
      <c r="R49" s="5">
        <v>0</v>
      </c>
      <c r="S49" s="1" t="s">
        <v>327</v>
      </c>
      <c r="T49" s="1" t="s">
        <v>327</v>
      </c>
      <c r="U49" s="3"/>
      <c r="V49" s="3"/>
      <c r="W49" s="3"/>
      <c r="X49" s="3"/>
      <c r="Y49" s="3"/>
    </row>
    <row r="50" s="1" customFormat="1" customHeight="1" spans="1:25">
      <c r="A50" s="3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5">
        <v>0</v>
      </c>
      <c r="Q50" s="5">
        <v>0</v>
      </c>
      <c r="R50" s="5">
        <v>0</v>
      </c>
      <c r="S50" s="1" t="s">
        <v>334</v>
      </c>
      <c r="T50" s="1" t="s">
        <v>334</v>
      </c>
      <c r="U50" s="3"/>
      <c r="V50" s="3"/>
      <c r="W50" s="3"/>
      <c r="X50" s="3"/>
      <c r="Y50" s="3"/>
    </row>
    <row r="51" s="1" customFormat="1" customHeight="1" spans="1:25">
      <c r="A51" s="3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5">
        <v>0</v>
      </c>
      <c r="Q51" s="5">
        <v>0</v>
      </c>
      <c r="R51" s="5">
        <v>0</v>
      </c>
      <c r="S51" s="1" t="s">
        <v>341</v>
      </c>
      <c r="T51" s="1" t="s">
        <v>341</v>
      </c>
      <c r="U51" s="3"/>
      <c r="V51" s="3"/>
      <c r="W51" s="3"/>
      <c r="X51" s="3"/>
      <c r="Y51" s="3"/>
    </row>
    <row r="52" s="1" customFormat="1" customHeight="1" spans="1:25">
      <c r="A52" s="3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5">
        <v>0</v>
      </c>
      <c r="Q52" s="5">
        <v>0</v>
      </c>
      <c r="R52" s="5">
        <v>0</v>
      </c>
      <c r="S52" s="1" t="s">
        <v>348</v>
      </c>
      <c r="T52" s="1" t="s">
        <v>348</v>
      </c>
      <c r="U52" s="3"/>
      <c r="V52" s="3"/>
      <c r="W52" s="3"/>
      <c r="X52" s="3"/>
      <c r="Y52" s="3"/>
    </row>
    <row r="53" s="1" customFormat="1" customHeight="1" spans="1:25">
      <c r="A53" s="3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5">
        <v>0</v>
      </c>
      <c r="Q53" s="5">
        <v>0</v>
      </c>
      <c r="R53" s="5">
        <v>0</v>
      </c>
      <c r="S53" s="1" t="s">
        <v>355</v>
      </c>
      <c r="T53" s="1" t="s">
        <v>355</v>
      </c>
      <c r="U53" s="3"/>
      <c r="V53" s="3"/>
      <c r="W53" s="3"/>
      <c r="X53" s="3"/>
      <c r="Y53" s="3"/>
    </row>
    <row r="54" s="1" customFormat="1" customHeight="1" spans="1:25">
      <c r="A54" s="3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5">
        <v>0</v>
      </c>
      <c r="Q54" s="5">
        <v>0</v>
      </c>
      <c r="R54" s="5">
        <v>0</v>
      </c>
      <c r="S54" s="1" t="s">
        <v>362</v>
      </c>
      <c r="T54" s="1" t="s">
        <v>362</v>
      </c>
      <c r="U54" s="3"/>
      <c r="V54" s="3"/>
      <c r="W54" s="3"/>
      <c r="X54" s="3"/>
      <c r="Y54" s="3"/>
    </row>
    <row r="55" s="1" customFormat="1" customHeight="1" spans="1:25">
      <c r="A55" s="3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5">
        <v>0</v>
      </c>
      <c r="Q55" s="5">
        <v>0</v>
      </c>
      <c r="R55" s="5">
        <v>0</v>
      </c>
      <c r="S55" s="1" t="s">
        <v>369</v>
      </c>
      <c r="T55" s="1" t="s">
        <v>369</v>
      </c>
      <c r="U55" s="3"/>
      <c r="V55" s="3"/>
      <c r="W55" s="3"/>
      <c r="X55" s="3"/>
      <c r="Y55" s="3"/>
    </row>
    <row r="56" s="1" customFormat="1" customHeight="1" spans="1:25">
      <c r="A56" s="3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5">
        <v>0</v>
      </c>
      <c r="Q56" s="5">
        <v>0</v>
      </c>
      <c r="R56" s="5">
        <v>0</v>
      </c>
      <c r="S56" s="1" t="s">
        <v>376</v>
      </c>
      <c r="T56" s="1" t="s">
        <v>376</v>
      </c>
      <c r="U56" s="3"/>
      <c r="V56" s="3"/>
      <c r="W56" s="3"/>
      <c r="X56" s="3"/>
      <c r="Y56" s="3"/>
    </row>
    <row r="57" s="1" customFormat="1" customHeight="1" spans="1:25">
      <c r="A57" s="3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5">
        <v>0</v>
      </c>
      <c r="Q57" s="5">
        <v>0</v>
      </c>
      <c r="R57" s="5">
        <v>0</v>
      </c>
      <c r="S57" s="1" t="s">
        <v>383</v>
      </c>
      <c r="T57" s="1" t="s">
        <v>383</v>
      </c>
      <c r="U57" s="3"/>
      <c r="V57" s="3"/>
      <c r="W57" s="3"/>
      <c r="X57" s="3"/>
      <c r="Y57" s="3"/>
    </row>
    <row r="58" s="1" customFormat="1" customHeight="1" spans="1:25">
      <c r="A58" s="3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5">
        <v>0</v>
      </c>
      <c r="Q58" s="5">
        <v>0</v>
      </c>
      <c r="R58" s="5">
        <v>0</v>
      </c>
      <c r="S58" s="1" t="s">
        <v>390</v>
      </c>
      <c r="T58" s="1" t="s">
        <v>390</v>
      </c>
      <c r="U58" s="3"/>
      <c r="V58" s="3"/>
      <c r="W58" s="3"/>
      <c r="X58" s="3"/>
      <c r="Y58" s="3"/>
    </row>
    <row r="59" s="1" customFormat="1" customHeight="1" spans="1:25">
      <c r="A59" s="3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5">
        <v>0</v>
      </c>
      <c r="Q59" s="5">
        <v>0</v>
      </c>
      <c r="R59" s="5">
        <v>0</v>
      </c>
      <c r="S59" s="1" t="s">
        <v>397</v>
      </c>
      <c r="T59" s="1" t="s">
        <v>397</v>
      </c>
      <c r="U59" s="3"/>
      <c r="V59" s="3"/>
      <c r="W59" s="3"/>
      <c r="X59" s="3"/>
      <c r="Y59" s="3"/>
    </row>
    <row r="60" s="1" customFormat="1" customHeight="1" spans="1:25">
      <c r="A60" s="3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5">
        <v>0</v>
      </c>
      <c r="Q60" s="5">
        <v>0</v>
      </c>
      <c r="R60" s="5">
        <v>0</v>
      </c>
      <c r="S60" s="1" t="s">
        <v>404</v>
      </c>
      <c r="T60" s="1" t="s">
        <v>404</v>
      </c>
      <c r="U60" s="3"/>
      <c r="V60" s="3"/>
      <c r="W60" s="3"/>
      <c r="X60" s="3"/>
      <c r="Y60" s="3"/>
    </row>
    <row r="61" s="1" customFormat="1" customHeight="1" spans="1:25">
      <c r="A61" s="3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5">
        <v>0</v>
      </c>
      <c r="Q61" s="5">
        <v>0</v>
      </c>
      <c r="R61" s="5">
        <v>0</v>
      </c>
      <c r="S61" s="1" t="s">
        <v>411</v>
      </c>
      <c r="T61" s="1" t="s">
        <v>411</v>
      </c>
      <c r="U61" s="3"/>
      <c r="V61" s="3"/>
      <c r="W61" s="3"/>
      <c r="X61" s="3"/>
      <c r="Y61" s="3"/>
    </row>
    <row r="62" s="1" customFormat="1" customHeight="1" spans="1:25">
      <c r="A62" s="3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5">
        <v>0</v>
      </c>
      <c r="Q62" s="5">
        <v>0</v>
      </c>
      <c r="R62" s="5">
        <v>0</v>
      </c>
      <c r="S62" s="1" t="s">
        <v>418</v>
      </c>
      <c r="T62" s="1" t="s">
        <v>418</v>
      </c>
      <c r="U62" s="3"/>
      <c r="V62" s="3"/>
      <c r="W62" s="3"/>
      <c r="X62" s="3"/>
      <c r="Y62" s="3"/>
    </row>
    <row r="63" s="1" customFormat="1" customHeight="1" spans="1:25">
      <c r="A63" s="3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5">
        <v>0</v>
      </c>
      <c r="Q63" s="5">
        <v>0</v>
      </c>
      <c r="R63" s="5">
        <v>0</v>
      </c>
      <c r="S63" s="1" t="s">
        <v>425</v>
      </c>
      <c r="T63" s="1" t="s">
        <v>425</v>
      </c>
      <c r="U63" s="3"/>
      <c r="V63" s="3"/>
      <c r="W63" s="3"/>
      <c r="X63" s="3"/>
      <c r="Y63" s="3"/>
    </row>
    <row r="64" s="1" customFormat="1" customHeight="1" spans="1:25">
      <c r="A64" s="3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5">
        <v>0</v>
      </c>
      <c r="Q64" s="5">
        <v>0</v>
      </c>
      <c r="R64" s="5">
        <v>0</v>
      </c>
      <c r="S64" s="1" t="s">
        <v>432</v>
      </c>
      <c r="T64" s="1" t="s">
        <v>432</v>
      </c>
      <c r="U64" s="3"/>
      <c r="V64" s="3"/>
      <c r="W64" s="3"/>
      <c r="X64" s="3"/>
      <c r="Y64" s="3"/>
    </row>
    <row r="65" s="1" customFormat="1" customHeight="1" spans="1:25">
      <c r="A65" s="3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4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5">
        <v>0</v>
      </c>
      <c r="Q65" s="5">
        <v>0</v>
      </c>
      <c r="R65" s="5">
        <v>0</v>
      </c>
      <c r="S65" s="1" t="s">
        <v>439</v>
      </c>
      <c r="T65" s="1" t="s">
        <v>439</v>
      </c>
      <c r="U65" s="3"/>
      <c r="V65" s="3"/>
      <c r="W65" s="3"/>
      <c r="X65" s="3"/>
      <c r="Y65" s="3"/>
    </row>
    <row r="66" s="1" customFormat="1" customHeight="1" spans="1:25">
      <c r="A66" s="3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4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5">
        <v>0</v>
      </c>
      <c r="Q66" s="5">
        <v>0</v>
      </c>
      <c r="R66" s="5">
        <v>0</v>
      </c>
      <c r="S66" s="1" t="s">
        <v>446</v>
      </c>
      <c r="T66" s="1" t="s">
        <v>446</v>
      </c>
      <c r="U66" s="3"/>
      <c r="V66" s="3"/>
      <c r="W66" s="3"/>
      <c r="X66" s="3"/>
      <c r="Y66" s="3"/>
    </row>
    <row r="67" s="1" customFormat="1" customHeight="1" spans="1:25">
      <c r="A67" s="3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4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5">
        <v>0</v>
      </c>
      <c r="Q67" s="5">
        <v>0</v>
      </c>
      <c r="R67" s="5">
        <v>0</v>
      </c>
      <c r="S67" s="1" t="s">
        <v>453</v>
      </c>
      <c r="T67" s="1" t="s">
        <v>453</v>
      </c>
      <c r="U67" s="3"/>
      <c r="V67" s="3"/>
      <c r="W67" s="3"/>
      <c r="X67" s="3"/>
      <c r="Y67" s="3"/>
    </row>
    <row r="68" s="1" customFormat="1" customHeight="1" spans="1:25">
      <c r="A68" s="3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4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5">
        <v>0</v>
      </c>
      <c r="Q68" s="5">
        <v>0</v>
      </c>
      <c r="R68" s="5">
        <v>0</v>
      </c>
      <c r="S68" s="1" t="s">
        <v>460</v>
      </c>
      <c r="T68" s="1" t="s">
        <v>460</v>
      </c>
      <c r="U68" s="3"/>
      <c r="V68" s="3"/>
      <c r="W68" s="3"/>
      <c r="X68" s="3"/>
      <c r="Y68" s="3"/>
    </row>
    <row r="69" s="1" customFormat="1" customHeight="1" spans="1:25">
      <c r="A69" s="3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4" t="s">
        <v>465</v>
      </c>
      <c r="I69" s="14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5">
        <v>0</v>
      </c>
      <c r="Q69" s="5">
        <v>0</v>
      </c>
      <c r="R69" s="5">
        <v>0</v>
      </c>
      <c r="S69" s="1" t="s">
        <v>467</v>
      </c>
      <c r="T69" s="1" t="s">
        <v>467</v>
      </c>
      <c r="U69" s="3"/>
      <c r="V69" s="3"/>
      <c r="W69" s="3"/>
      <c r="X69" s="3"/>
      <c r="Y69" s="3"/>
    </row>
    <row r="70" s="1" customFormat="1" customHeight="1" spans="1:25">
      <c r="A70" s="3"/>
      <c r="C70" s="1" t="s">
        <v>468</v>
      </c>
      <c r="D70" s="1" t="s">
        <v>469</v>
      </c>
      <c r="E70" s="1">
        <v>2</v>
      </c>
      <c r="F70" s="1" t="s">
        <v>470</v>
      </c>
      <c r="G70" s="14" t="s">
        <v>471</v>
      </c>
      <c r="H70" s="14" t="s">
        <v>472</v>
      </c>
      <c r="I70" s="14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5">
        <v>0</v>
      </c>
      <c r="Q70" s="5">
        <v>0</v>
      </c>
      <c r="R70" s="5">
        <v>0</v>
      </c>
      <c r="S70" s="1" t="s">
        <v>474</v>
      </c>
      <c r="T70" s="1" t="s">
        <v>474</v>
      </c>
      <c r="U70" s="3"/>
      <c r="V70" s="3"/>
      <c r="W70" s="3"/>
      <c r="X70" s="3"/>
      <c r="Y70" s="3"/>
    </row>
    <row r="71" s="1" customFormat="1" customHeight="1" spans="1:25">
      <c r="A71" s="3"/>
      <c r="C71" s="1" t="s">
        <v>475</v>
      </c>
      <c r="D71" s="1" t="s">
        <v>476</v>
      </c>
      <c r="E71" s="1">
        <v>2</v>
      </c>
      <c r="F71" s="1" t="s">
        <v>477</v>
      </c>
      <c r="G71" s="14" t="s">
        <v>478</v>
      </c>
      <c r="H71" s="14" t="s">
        <v>479</v>
      </c>
      <c r="I71" s="14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5">
        <v>0</v>
      </c>
      <c r="Q71" s="5">
        <v>0</v>
      </c>
      <c r="R71" s="5">
        <v>0</v>
      </c>
      <c r="S71" s="1" t="s">
        <v>481</v>
      </c>
      <c r="T71" s="1" t="s">
        <v>481</v>
      </c>
      <c r="U71" s="3"/>
      <c r="V71" s="3"/>
      <c r="W71" s="3"/>
      <c r="X71" s="3"/>
      <c r="Y71" s="3"/>
    </row>
    <row r="72" s="1" customFormat="1" customHeight="1" spans="1:25">
      <c r="A72" s="3"/>
      <c r="C72" s="1" t="s">
        <v>482</v>
      </c>
      <c r="D72" s="1" t="s">
        <v>483</v>
      </c>
      <c r="E72" s="1">
        <v>2</v>
      </c>
      <c r="F72" s="1" t="s">
        <v>484</v>
      </c>
      <c r="G72" s="14" t="s">
        <v>485</v>
      </c>
      <c r="H72" s="14" t="s">
        <v>486</v>
      </c>
      <c r="I72" s="14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5">
        <v>0</v>
      </c>
      <c r="Q72" s="5">
        <v>0</v>
      </c>
      <c r="R72" s="5">
        <v>0</v>
      </c>
      <c r="S72" s="1" t="s">
        <v>488</v>
      </c>
      <c r="T72" s="1" t="s">
        <v>488</v>
      </c>
      <c r="U72" s="3"/>
      <c r="V72" s="3"/>
      <c r="W72" s="3"/>
      <c r="X72" s="3"/>
      <c r="Y72" s="3"/>
    </row>
    <row r="73" s="1" customFormat="1" customHeight="1" spans="1:25">
      <c r="A73" s="3"/>
      <c r="C73" s="1" t="s">
        <v>489</v>
      </c>
      <c r="D73" s="1" t="s">
        <v>490</v>
      </c>
      <c r="E73" s="1">
        <v>2</v>
      </c>
      <c r="F73" s="1" t="s">
        <v>491</v>
      </c>
      <c r="G73" s="14" t="s">
        <v>492</v>
      </c>
      <c r="H73" s="14" t="s">
        <v>493</v>
      </c>
      <c r="I73" s="14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5">
        <v>0</v>
      </c>
      <c r="Q73" s="5">
        <v>0</v>
      </c>
      <c r="R73" s="5">
        <v>0</v>
      </c>
      <c r="S73" s="1" t="s">
        <v>495</v>
      </c>
      <c r="T73" s="1" t="s">
        <v>495</v>
      </c>
      <c r="U73" s="3"/>
      <c r="V73" s="3"/>
      <c r="W73" s="3"/>
      <c r="X73" s="3"/>
      <c r="Y73" s="3"/>
    </row>
    <row r="74" s="1" customFormat="1" customHeight="1" spans="1:25">
      <c r="A74" s="3"/>
      <c r="C74" s="1" t="s">
        <v>496</v>
      </c>
      <c r="D74" s="1" t="s">
        <v>497</v>
      </c>
      <c r="E74" s="1">
        <v>2</v>
      </c>
      <c r="F74" s="1" t="s">
        <v>498</v>
      </c>
      <c r="G74" s="14" t="s">
        <v>499</v>
      </c>
      <c r="H74" s="14" t="s">
        <v>500</v>
      </c>
      <c r="I74" s="14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5">
        <v>0</v>
      </c>
      <c r="Q74" s="5">
        <v>0</v>
      </c>
      <c r="R74" s="5">
        <v>0</v>
      </c>
      <c r="S74" s="1" t="s">
        <v>502</v>
      </c>
      <c r="T74" s="1" t="s">
        <v>502</v>
      </c>
      <c r="U74" s="3"/>
      <c r="V74" s="3"/>
      <c r="W74" s="3"/>
      <c r="X74" s="3"/>
      <c r="Y74" s="3"/>
    </row>
    <row r="75" s="1" customFormat="1" customHeight="1" spans="1:25">
      <c r="A75" s="3"/>
      <c r="C75" s="1" t="s">
        <v>503</v>
      </c>
      <c r="D75" s="1" t="s">
        <v>504</v>
      </c>
      <c r="E75" s="1">
        <v>2</v>
      </c>
      <c r="F75" s="1" t="s">
        <v>505</v>
      </c>
      <c r="G75" s="14" t="s">
        <v>506</v>
      </c>
      <c r="H75" s="14" t="s">
        <v>507</v>
      </c>
      <c r="I75" s="14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5">
        <v>0</v>
      </c>
      <c r="Q75" s="5">
        <v>0</v>
      </c>
      <c r="R75" s="5">
        <v>0</v>
      </c>
      <c r="S75" s="1" t="s">
        <v>509</v>
      </c>
      <c r="T75" s="14" t="s">
        <v>509</v>
      </c>
      <c r="U75" s="3"/>
      <c r="V75" s="3"/>
      <c r="W75" s="3"/>
      <c r="X75" s="3"/>
      <c r="Y75" s="3"/>
    </row>
    <row r="76" s="1" customFormat="1" customHeight="1" spans="1:25">
      <c r="A76" s="3"/>
      <c r="B76" s="3"/>
      <c r="C76" s="1" t="s">
        <v>510</v>
      </c>
      <c r="D76" s="1" t="s">
        <v>511</v>
      </c>
      <c r="E76" s="1">
        <v>3</v>
      </c>
      <c r="F76" s="1" t="s">
        <v>512</v>
      </c>
      <c r="G76" s="14" t="s">
        <v>513</v>
      </c>
      <c r="H76" s="14" t="s">
        <v>514</v>
      </c>
      <c r="I76" s="14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5">
        <v>0</v>
      </c>
      <c r="Q76" s="5">
        <v>0</v>
      </c>
      <c r="R76" s="5">
        <v>0</v>
      </c>
      <c r="S76" s="1">
        <v>229385000</v>
      </c>
      <c r="T76" s="1">
        <v>229385000</v>
      </c>
      <c r="W76" s="3"/>
      <c r="X76" s="3"/>
      <c r="Y76" s="3"/>
    </row>
    <row r="77" s="1" customFormat="1" customHeight="1" spans="1:25">
      <c r="A77" s="3"/>
      <c r="B77" s="3"/>
      <c r="C77" s="1" t="s">
        <v>516</v>
      </c>
      <c r="D77" s="1" t="s">
        <v>517</v>
      </c>
      <c r="E77" s="1">
        <v>3</v>
      </c>
      <c r="F77" s="1" t="s">
        <v>518</v>
      </c>
      <c r="G77" s="14" t="s">
        <v>519</v>
      </c>
      <c r="H77" s="14" t="s">
        <v>520</v>
      </c>
      <c r="I77" s="14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5">
        <v>0</v>
      </c>
      <c r="Q77" s="5">
        <v>0</v>
      </c>
      <c r="R77" s="5">
        <v>0</v>
      </c>
      <c r="S77" s="1">
        <v>239385000</v>
      </c>
      <c r="T77" s="1">
        <v>239385000</v>
      </c>
      <c r="W77" s="3"/>
      <c r="X77" s="3"/>
      <c r="Y77" s="3"/>
    </row>
    <row r="78" s="1" customFormat="1" customHeight="1" spans="1:25">
      <c r="A78" s="3"/>
      <c r="B78" s="3"/>
      <c r="C78" s="1" t="s">
        <v>522</v>
      </c>
      <c r="D78" s="1" t="s">
        <v>523</v>
      </c>
      <c r="E78" s="1">
        <v>3</v>
      </c>
      <c r="F78" s="1" t="s">
        <v>524</v>
      </c>
      <c r="G78" s="14" t="s">
        <v>525</v>
      </c>
      <c r="H78" s="14" t="s">
        <v>526</v>
      </c>
      <c r="I78" s="14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5">
        <v>0</v>
      </c>
      <c r="Q78" s="5">
        <v>0</v>
      </c>
      <c r="R78" s="5">
        <v>0</v>
      </c>
      <c r="S78" s="1">
        <v>249385000</v>
      </c>
      <c r="T78" s="1">
        <v>249385000</v>
      </c>
      <c r="W78" s="3"/>
      <c r="X78" s="3"/>
      <c r="Y78" s="3"/>
    </row>
    <row r="79" s="1" customFormat="1" customHeight="1" spans="1:25">
      <c r="A79" s="3"/>
      <c r="B79" s="3"/>
      <c r="C79" s="1" t="s">
        <v>528</v>
      </c>
      <c r="D79" s="1" t="s">
        <v>529</v>
      </c>
      <c r="E79" s="1">
        <v>3</v>
      </c>
      <c r="F79" s="1" t="s">
        <v>530</v>
      </c>
      <c r="G79" s="14" t="s">
        <v>531</v>
      </c>
      <c r="H79" s="14" t="s">
        <v>532</v>
      </c>
      <c r="I79" s="14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5">
        <v>0</v>
      </c>
      <c r="Q79" s="5">
        <v>0</v>
      </c>
      <c r="R79" s="5">
        <v>0</v>
      </c>
      <c r="S79" s="1">
        <v>259385000</v>
      </c>
      <c r="T79" s="1">
        <v>259385000</v>
      </c>
      <c r="W79" s="3"/>
      <c r="X79" s="3"/>
      <c r="Y79" s="3"/>
    </row>
    <row r="80" s="1" customFormat="1" customHeight="1" spans="1:25">
      <c r="A80" s="3"/>
      <c r="B80" s="3"/>
      <c r="C80" s="1" t="s">
        <v>534</v>
      </c>
      <c r="D80" s="1" t="s">
        <v>535</v>
      </c>
      <c r="E80" s="1">
        <v>3</v>
      </c>
      <c r="F80" s="1" t="s">
        <v>536</v>
      </c>
      <c r="G80" s="14" t="s">
        <v>537</v>
      </c>
      <c r="H80" s="14" t="s">
        <v>538</v>
      </c>
      <c r="I80" s="14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5">
        <v>0</v>
      </c>
      <c r="Q80" s="5">
        <v>0</v>
      </c>
      <c r="R80" s="5">
        <v>0</v>
      </c>
      <c r="S80" s="1">
        <v>269385000</v>
      </c>
      <c r="T80" s="1">
        <v>269385000</v>
      </c>
      <c r="W80" s="3"/>
      <c r="X80" s="3"/>
      <c r="Y80" s="3"/>
    </row>
    <row r="81" s="1" customFormat="1" customHeight="1" spans="1:25">
      <c r="A81" s="3"/>
      <c r="B81" s="3"/>
      <c r="C81" s="1" t="s">
        <v>540</v>
      </c>
      <c r="D81" s="1" t="s">
        <v>541</v>
      </c>
      <c r="E81" s="1">
        <v>3</v>
      </c>
      <c r="F81" s="1" t="s">
        <v>542</v>
      </c>
      <c r="G81" s="14" t="s">
        <v>543</v>
      </c>
      <c r="H81" s="14" t="s">
        <v>544</v>
      </c>
      <c r="I81" s="14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5">
        <v>0</v>
      </c>
      <c r="Q81" s="5">
        <v>0</v>
      </c>
      <c r="R81" s="5">
        <v>0</v>
      </c>
      <c r="S81" s="1">
        <v>300000000</v>
      </c>
      <c r="T81" s="1">
        <v>300000000</v>
      </c>
      <c r="U81" s="3"/>
      <c r="V81" s="3"/>
      <c r="W81" s="3"/>
      <c r="X81" s="3"/>
      <c r="Y81" s="3"/>
    </row>
    <row r="82" s="1" customFormat="1" customHeight="1" spans="1:25">
      <c r="A82" s="3"/>
      <c r="B82" s="3"/>
      <c r="C82" s="1" t="s">
        <v>546</v>
      </c>
      <c r="D82" s="1" t="s">
        <v>547</v>
      </c>
      <c r="E82" s="1">
        <v>3</v>
      </c>
      <c r="F82" s="1" t="s">
        <v>548</v>
      </c>
      <c r="G82" s="14" t="s">
        <v>549</v>
      </c>
      <c r="H82" s="14" t="s">
        <v>550</v>
      </c>
      <c r="I82" s="14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5">
        <v>0</v>
      </c>
      <c r="Q82" s="5">
        <v>0</v>
      </c>
      <c r="R82" s="5">
        <v>0</v>
      </c>
      <c r="S82" s="1">
        <v>320000000</v>
      </c>
      <c r="T82" s="1">
        <v>320000000</v>
      </c>
      <c r="U82" s="3"/>
      <c r="V82" s="3"/>
      <c r="W82" s="3"/>
      <c r="X82" s="3"/>
      <c r="Y82" s="3"/>
    </row>
    <row r="83" s="1" customFormat="1" customHeight="1" spans="1:25">
      <c r="A83" s="3"/>
      <c r="B83" s="3"/>
      <c r="C83" s="1" t="s">
        <v>552</v>
      </c>
      <c r="D83" s="1" t="s">
        <v>553</v>
      </c>
      <c r="E83" s="1">
        <v>3</v>
      </c>
      <c r="F83" s="1" t="s">
        <v>554</v>
      </c>
      <c r="G83" s="14" t="s">
        <v>555</v>
      </c>
      <c r="H83" s="14" t="s">
        <v>556</v>
      </c>
      <c r="I83" s="14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5">
        <v>0</v>
      </c>
      <c r="Q83" s="5">
        <v>0</v>
      </c>
      <c r="R83" s="5">
        <v>0</v>
      </c>
      <c r="S83" s="1">
        <v>340000000</v>
      </c>
      <c r="T83" s="1">
        <v>340000000</v>
      </c>
      <c r="U83" s="3"/>
      <c r="V83" s="3"/>
      <c r="W83" s="3"/>
      <c r="X83" s="3"/>
      <c r="Y83" s="3"/>
    </row>
    <row r="84" s="1" customFormat="1" customHeight="1" spans="1:25">
      <c r="A84" s="3"/>
      <c r="B84" s="3"/>
      <c r="C84" s="1" t="s">
        <v>558</v>
      </c>
      <c r="D84" s="1" t="s">
        <v>559</v>
      </c>
      <c r="E84" s="1">
        <v>3</v>
      </c>
      <c r="F84" s="1" t="s">
        <v>560</v>
      </c>
      <c r="G84" s="14" t="s">
        <v>561</v>
      </c>
      <c r="H84" s="14" t="s">
        <v>562</v>
      </c>
      <c r="I84" s="14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5">
        <v>0</v>
      </c>
      <c r="Q84" s="5">
        <v>0</v>
      </c>
      <c r="R84" s="5">
        <v>0</v>
      </c>
      <c r="S84" s="1">
        <v>370000000</v>
      </c>
      <c r="T84" s="1">
        <v>370000000</v>
      </c>
      <c r="U84" s="3"/>
      <c r="V84" s="3"/>
      <c r="W84" s="3"/>
      <c r="X84" s="3"/>
      <c r="Y84" s="3"/>
    </row>
    <row r="85" s="1" customFormat="1" customHeight="1" spans="1:25">
      <c r="A85" s="3"/>
      <c r="B85" s="3"/>
      <c r="C85" s="1" t="s">
        <v>564</v>
      </c>
      <c r="D85" s="1" t="s">
        <v>565</v>
      </c>
      <c r="E85" s="1">
        <v>3</v>
      </c>
      <c r="F85" s="1" t="s">
        <v>566</v>
      </c>
      <c r="G85" s="14" t="s">
        <v>567</v>
      </c>
      <c r="H85" s="14" t="s">
        <v>568</v>
      </c>
      <c r="I85" s="14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5">
        <v>0</v>
      </c>
      <c r="Q85" s="5">
        <v>0</v>
      </c>
      <c r="R85" s="5">
        <v>0</v>
      </c>
      <c r="S85" s="1">
        <v>400000000</v>
      </c>
      <c r="T85" s="1">
        <v>400000000</v>
      </c>
      <c r="U85" s="3"/>
      <c r="V85" s="3"/>
      <c r="W85" s="3"/>
      <c r="X85" s="3"/>
      <c r="Y85" s="3"/>
    </row>
    <row r="86" s="1" customFormat="1" customHeight="1" spans="1:25">
      <c r="A86" s="3"/>
      <c r="B86" s="3"/>
      <c r="C86" s="1" t="s">
        <v>570</v>
      </c>
      <c r="D86" s="1" t="s">
        <v>571</v>
      </c>
      <c r="E86" s="1">
        <v>3</v>
      </c>
      <c r="F86" s="1" t="s">
        <v>572</v>
      </c>
      <c r="G86" s="14" t="s">
        <v>573</v>
      </c>
      <c r="H86" s="14" t="s">
        <v>537</v>
      </c>
      <c r="I86" s="14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5">
        <v>0</v>
      </c>
      <c r="Q86" s="5">
        <v>0</v>
      </c>
      <c r="R86" s="5">
        <v>0</v>
      </c>
      <c r="S86" s="1">
        <v>500000000</v>
      </c>
      <c r="T86" s="1">
        <v>500000000</v>
      </c>
      <c r="U86" s="3"/>
      <c r="V86" s="3"/>
      <c r="W86" s="3"/>
      <c r="X86" s="3"/>
      <c r="Y86" s="3"/>
    </row>
    <row r="87" s="1" customFormat="1" customHeight="1" spans="1:25">
      <c r="A87" s="3"/>
      <c r="B87" s="3"/>
      <c r="C87" s="1" t="s">
        <v>575</v>
      </c>
      <c r="D87" s="1" t="s">
        <v>576</v>
      </c>
      <c r="E87" s="1">
        <v>3</v>
      </c>
      <c r="F87" s="1" t="s">
        <v>577</v>
      </c>
      <c r="G87" s="14" t="s">
        <v>578</v>
      </c>
      <c r="H87" s="14" t="s">
        <v>579</v>
      </c>
      <c r="I87" s="14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5">
        <v>0</v>
      </c>
      <c r="Q87" s="5">
        <v>0</v>
      </c>
      <c r="R87" s="5">
        <v>0</v>
      </c>
      <c r="S87" s="1">
        <v>600000000</v>
      </c>
      <c r="T87" s="1">
        <v>600000000</v>
      </c>
      <c r="U87" s="3"/>
      <c r="V87" s="3"/>
      <c r="W87" s="3"/>
      <c r="X87" s="3"/>
      <c r="Y87" s="3"/>
    </row>
    <row r="88" s="1" customFormat="1" customHeight="1" spans="1:25">
      <c r="A88" s="3"/>
      <c r="B88" s="3"/>
      <c r="C88" s="1" t="s">
        <v>581</v>
      </c>
      <c r="D88" s="1" t="s">
        <v>582</v>
      </c>
      <c r="E88" s="1">
        <v>3</v>
      </c>
      <c r="F88" s="1" t="s">
        <v>583</v>
      </c>
      <c r="G88" s="14" t="s">
        <v>487</v>
      </c>
      <c r="H88" s="14" t="s">
        <v>452</v>
      </c>
      <c r="I88" s="14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5">
        <v>0</v>
      </c>
      <c r="Q88" s="5">
        <v>0</v>
      </c>
      <c r="R88" s="5">
        <v>0</v>
      </c>
      <c r="S88" s="1">
        <v>700000000</v>
      </c>
      <c r="T88" s="1">
        <v>700000000</v>
      </c>
      <c r="U88" s="3"/>
      <c r="V88" s="3"/>
      <c r="W88" s="3"/>
      <c r="X88" s="3"/>
      <c r="Y88" s="3"/>
    </row>
    <row r="89" s="1" customFormat="1" customHeight="1" spans="1:25">
      <c r="A89" s="3"/>
      <c r="B89" s="3"/>
      <c r="C89" s="1" t="s">
        <v>585</v>
      </c>
      <c r="D89" s="1" t="s">
        <v>586</v>
      </c>
      <c r="E89" s="1">
        <v>3</v>
      </c>
      <c r="F89" s="1" t="s">
        <v>587</v>
      </c>
      <c r="G89" s="14" t="s">
        <v>501</v>
      </c>
      <c r="H89" s="14" t="s">
        <v>588</v>
      </c>
      <c r="I89" s="14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5">
        <v>0</v>
      </c>
      <c r="Q89" s="5">
        <v>0</v>
      </c>
      <c r="R89" s="5">
        <v>0</v>
      </c>
      <c r="S89" s="1">
        <v>800000000</v>
      </c>
      <c r="T89" s="1">
        <v>800000000</v>
      </c>
      <c r="U89" s="3"/>
      <c r="V89" s="3"/>
      <c r="W89" s="3"/>
      <c r="X89" s="3"/>
      <c r="Y89" s="3"/>
    </row>
    <row r="90" s="1" customFormat="1" customHeight="1" spans="1:25">
      <c r="A90" s="3"/>
      <c r="B90" s="3"/>
      <c r="C90" s="1" t="s">
        <v>590</v>
      </c>
      <c r="D90" s="1" t="s">
        <v>591</v>
      </c>
      <c r="E90" s="1">
        <v>3</v>
      </c>
      <c r="F90" s="1" t="s">
        <v>592</v>
      </c>
      <c r="G90" s="14" t="s">
        <v>593</v>
      </c>
      <c r="H90" s="14" t="s">
        <v>578</v>
      </c>
      <c r="I90" s="14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5">
        <v>0</v>
      </c>
      <c r="Q90" s="5">
        <v>0</v>
      </c>
      <c r="R90" s="5">
        <v>0</v>
      </c>
      <c r="S90" s="1">
        <v>1000000000</v>
      </c>
      <c r="T90" s="1">
        <v>1000000000</v>
      </c>
      <c r="U90" s="3"/>
      <c r="V90" s="3"/>
      <c r="W90" s="3"/>
      <c r="X90" s="3"/>
      <c r="Y90" s="3"/>
    </row>
    <row r="91" s="1" customFormat="1" customHeight="1" spans="1:25">
      <c r="A91" s="3"/>
      <c r="B91" s="3"/>
      <c r="C91" s="1" t="s">
        <v>595</v>
      </c>
      <c r="D91" s="1" t="s">
        <v>596</v>
      </c>
      <c r="E91" s="1">
        <v>3</v>
      </c>
      <c r="F91" s="1" t="s">
        <v>597</v>
      </c>
      <c r="G91" s="14" t="s">
        <v>598</v>
      </c>
      <c r="H91" s="14" t="s">
        <v>599</v>
      </c>
      <c r="I91" s="14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5">
        <v>0</v>
      </c>
      <c r="Q91" s="5">
        <v>0</v>
      </c>
      <c r="R91" s="5">
        <v>0</v>
      </c>
      <c r="S91" s="1">
        <v>1100000000</v>
      </c>
      <c r="T91" s="1">
        <v>1100000000</v>
      </c>
      <c r="U91" s="3"/>
      <c r="V91" s="3"/>
      <c r="W91" s="3"/>
      <c r="X91" s="3"/>
      <c r="Y91" s="3"/>
    </row>
    <row r="92" s="1" customFormat="1" customHeight="1" spans="1:25">
      <c r="A92" s="3"/>
      <c r="B92" s="3"/>
      <c r="C92" s="1" t="s">
        <v>601</v>
      </c>
      <c r="D92" s="1" t="s">
        <v>602</v>
      </c>
      <c r="E92" s="1">
        <v>3</v>
      </c>
      <c r="F92" s="1" t="s">
        <v>603</v>
      </c>
      <c r="G92" s="14" t="s">
        <v>604</v>
      </c>
      <c r="H92" s="14" t="s">
        <v>605</v>
      </c>
      <c r="I92" s="14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5">
        <v>0</v>
      </c>
      <c r="Q92" s="5">
        <v>0</v>
      </c>
      <c r="R92" s="5">
        <v>0</v>
      </c>
      <c r="S92" s="1">
        <v>1200000000</v>
      </c>
      <c r="T92" s="1">
        <v>1200000000</v>
      </c>
      <c r="U92" s="3"/>
      <c r="V92" s="3"/>
      <c r="W92" s="3"/>
      <c r="X92" s="3"/>
      <c r="Y92" s="3"/>
    </row>
    <row r="93" s="1" customFormat="1" customHeight="1" spans="1:25">
      <c r="A93" s="3"/>
      <c r="B93" s="3"/>
      <c r="C93" s="1" t="s">
        <v>607</v>
      </c>
      <c r="D93" s="1" t="s">
        <v>608</v>
      </c>
      <c r="E93" s="1">
        <v>3</v>
      </c>
      <c r="F93" s="1" t="s">
        <v>609</v>
      </c>
      <c r="G93" s="14" t="s">
        <v>610</v>
      </c>
      <c r="H93" s="14" t="s">
        <v>611</v>
      </c>
      <c r="I93" s="14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5">
        <v>0</v>
      </c>
      <c r="Q93" s="5">
        <v>0</v>
      </c>
      <c r="R93" s="5">
        <v>0</v>
      </c>
      <c r="S93" s="1">
        <v>1300000000</v>
      </c>
      <c r="T93" s="1">
        <v>1300000000</v>
      </c>
      <c r="U93" s="3"/>
      <c r="V93" s="3"/>
      <c r="W93" s="3"/>
      <c r="X93" s="3"/>
      <c r="Y93" s="3"/>
    </row>
    <row r="94" s="1" customFormat="1" customHeight="1" spans="1:25">
      <c r="A94" s="3"/>
      <c r="B94" s="3"/>
      <c r="C94" s="1" t="s">
        <v>613</v>
      </c>
      <c r="D94" s="1" t="s">
        <v>614</v>
      </c>
      <c r="E94" s="1">
        <v>3</v>
      </c>
      <c r="F94" s="1" t="s">
        <v>615</v>
      </c>
      <c r="G94" s="14" t="s">
        <v>569</v>
      </c>
      <c r="H94" s="14" t="s">
        <v>616</v>
      </c>
      <c r="I94" s="14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5">
        <v>0</v>
      </c>
      <c r="Q94" s="5">
        <v>0</v>
      </c>
      <c r="R94" s="5">
        <v>0</v>
      </c>
      <c r="S94" s="1">
        <v>1400000000</v>
      </c>
      <c r="T94" s="1">
        <v>1400000000</v>
      </c>
      <c r="U94" s="3"/>
      <c r="V94" s="3"/>
      <c r="W94" s="3"/>
      <c r="X94" s="3"/>
      <c r="Y94" s="3"/>
    </row>
    <row r="95" s="1" customFormat="1" customHeight="1" spans="1:25">
      <c r="A95" s="3"/>
      <c r="B95" s="3"/>
      <c r="C95" s="1" t="s">
        <v>618</v>
      </c>
      <c r="D95" s="1" t="s">
        <v>619</v>
      </c>
      <c r="E95" s="1">
        <v>3</v>
      </c>
      <c r="F95" s="1" t="s">
        <v>620</v>
      </c>
      <c r="G95" s="14" t="s">
        <v>574</v>
      </c>
      <c r="H95" s="14" t="s">
        <v>621</v>
      </c>
      <c r="I95" s="14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5">
        <v>0</v>
      </c>
      <c r="Q95" s="5">
        <v>0</v>
      </c>
      <c r="R95" s="5">
        <v>0</v>
      </c>
      <c r="S95" s="1">
        <v>1500000000</v>
      </c>
      <c r="T95" s="1">
        <v>1500000000</v>
      </c>
      <c r="U95" s="3"/>
      <c r="V95" s="3"/>
      <c r="W95" s="3"/>
      <c r="X95" s="3"/>
      <c r="Y95" s="3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4" t="s">
        <v>580</v>
      </c>
      <c r="H96" s="14" t="s">
        <v>626</v>
      </c>
      <c r="I96" s="14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5">
        <v>0</v>
      </c>
      <c r="Q96" s="5">
        <v>0</v>
      </c>
      <c r="R96" s="5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4" t="s">
        <v>584</v>
      </c>
      <c r="H97" s="14" t="s">
        <v>631</v>
      </c>
      <c r="I97" s="14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5">
        <v>0</v>
      </c>
      <c r="Q97" s="5">
        <v>0</v>
      </c>
      <c r="R97" s="5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4" t="s">
        <v>636</v>
      </c>
      <c r="H98" s="14" t="s">
        <v>637</v>
      </c>
      <c r="I98" s="14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5">
        <v>0</v>
      </c>
      <c r="Q98" s="5">
        <v>0</v>
      </c>
      <c r="R98" s="5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4" t="s">
        <v>642</v>
      </c>
      <c r="H99" s="14" t="s">
        <v>643</v>
      </c>
      <c r="I99" s="14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5">
        <v>0</v>
      </c>
      <c r="Q99" s="5">
        <v>0</v>
      </c>
      <c r="R99" s="5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4" t="s">
        <v>648</v>
      </c>
      <c r="H100" s="14" t="s">
        <v>649</v>
      </c>
      <c r="I100" s="14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5">
        <v>0</v>
      </c>
      <c r="Q100" s="5">
        <v>0</v>
      </c>
      <c r="R100" s="5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4" t="s">
        <v>654</v>
      </c>
      <c r="H101" s="14" t="s">
        <v>655</v>
      </c>
      <c r="I101" s="14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5">
        <v>0</v>
      </c>
      <c r="Q101" s="5">
        <v>0</v>
      </c>
      <c r="R101" s="5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4" t="s">
        <v>660</v>
      </c>
      <c r="H102" s="14" t="s">
        <v>661</v>
      </c>
      <c r="I102" s="14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5">
        <v>0</v>
      </c>
      <c r="Q102" s="5">
        <v>0</v>
      </c>
      <c r="R102" s="5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4" t="s">
        <v>666</v>
      </c>
      <c r="H103" s="14" t="s">
        <v>667</v>
      </c>
      <c r="I103" s="14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5">
        <v>0</v>
      </c>
      <c r="Q103" s="5">
        <v>0</v>
      </c>
      <c r="R103" s="5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4" t="s">
        <v>672</v>
      </c>
      <c r="H104" s="14" t="s">
        <v>666</v>
      </c>
      <c r="I104" s="14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5">
        <v>0</v>
      </c>
      <c r="Q104" s="5">
        <v>0</v>
      </c>
      <c r="R104" s="5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4" t="s">
        <v>677</v>
      </c>
      <c r="H105" s="14" t="s">
        <v>672</v>
      </c>
      <c r="I105" s="14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5">
        <v>0</v>
      </c>
      <c r="Q105" s="5">
        <v>0</v>
      </c>
      <c r="R105" s="5">
        <v>0</v>
      </c>
      <c r="S105" s="1">
        <v>2500000000</v>
      </c>
      <c r="T105" s="1">
        <v>2500000000</v>
      </c>
    </row>
    <row r="106" s="1" customFormat="1" customHeight="1" spans="1:25">
      <c r="A106" s="3"/>
      <c r="B106" s="3"/>
      <c r="C106" s="1" t="s">
        <v>679</v>
      </c>
      <c r="D106" s="1" t="s">
        <v>680</v>
      </c>
      <c r="E106" s="1">
        <v>3</v>
      </c>
      <c r="F106" s="1" t="s">
        <v>681</v>
      </c>
      <c r="G106" s="14" t="s">
        <v>682</v>
      </c>
      <c r="H106" s="14" t="s">
        <v>683</v>
      </c>
      <c r="I106" s="14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5">
        <v>0</v>
      </c>
      <c r="Q106" s="5">
        <v>0</v>
      </c>
      <c r="R106" s="5">
        <v>0</v>
      </c>
      <c r="S106" s="1">
        <v>2600000000</v>
      </c>
      <c r="T106" s="1">
        <v>2600000000</v>
      </c>
      <c r="U106" s="3"/>
      <c r="V106" s="3"/>
      <c r="W106" s="3"/>
      <c r="X106" s="3"/>
      <c r="Y106" s="3"/>
    </row>
    <row r="107" s="1" customFormat="1" customHeight="1" spans="1:25">
      <c r="A107" s="3"/>
      <c r="B107" s="3"/>
      <c r="C107" s="1" t="s">
        <v>685</v>
      </c>
      <c r="D107" s="1" t="s">
        <v>686</v>
      </c>
      <c r="E107" s="1">
        <v>3</v>
      </c>
      <c r="F107" s="1" t="s">
        <v>687</v>
      </c>
      <c r="G107" s="14" t="s">
        <v>688</v>
      </c>
      <c r="H107" s="14" t="s">
        <v>689</v>
      </c>
      <c r="I107" s="14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5">
        <v>0</v>
      </c>
      <c r="Q107" s="5">
        <v>0</v>
      </c>
      <c r="R107" s="5">
        <v>0</v>
      </c>
      <c r="S107" s="1">
        <v>2700000000</v>
      </c>
      <c r="T107" s="1">
        <v>2700000000</v>
      </c>
      <c r="U107" s="3"/>
      <c r="V107" s="3"/>
      <c r="W107" s="3"/>
      <c r="X107" s="3"/>
      <c r="Y107" s="3"/>
    </row>
    <row r="108" s="1" customFormat="1" customHeight="1" spans="1:25">
      <c r="A108" s="3"/>
      <c r="B108" s="3"/>
      <c r="C108" s="1" t="s">
        <v>691</v>
      </c>
      <c r="D108" s="1" t="s">
        <v>692</v>
      </c>
      <c r="E108" s="1">
        <v>3</v>
      </c>
      <c r="F108" s="1" t="s">
        <v>693</v>
      </c>
      <c r="G108" s="14" t="s">
        <v>694</v>
      </c>
      <c r="H108" s="14" t="s">
        <v>695</v>
      </c>
      <c r="I108" s="14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5">
        <v>0</v>
      </c>
      <c r="Q108" s="5">
        <v>0</v>
      </c>
      <c r="R108" s="5">
        <v>0</v>
      </c>
      <c r="S108" s="1">
        <v>2800000000</v>
      </c>
      <c r="T108" s="1">
        <v>2800000000</v>
      </c>
      <c r="U108" s="3"/>
      <c r="V108" s="3"/>
      <c r="W108" s="3"/>
      <c r="X108" s="3"/>
      <c r="Y108" s="3"/>
    </row>
    <row r="109" s="1" customFormat="1" customHeight="1" spans="1:25">
      <c r="A109" s="3"/>
      <c r="B109" s="3"/>
      <c r="C109" s="1" t="s">
        <v>697</v>
      </c>
      <c r="D109" s="1" t="s">
        <v>698</v>
      </c>
      <c r="E109" s="1">
        <v>3</v>
      </c>
      <c r="F109" s="1" t="s">
        <v>699</v>
      </c>
      <c r="G109" s="14" t="s">
        <v>700</v>
      </c>
      <c r="H109" s="14" t="s">
        <v>701</v>
      </c>
      <c r="I109" s="14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5">
        <v>0</v>
      </c>
      <c r="Q109" s="5">
        <v>0</v>
      </c>
      <c r="R109" s="5">
        <v>0</v>
      </c>
      <c r="S109" s="1">
        <v>2900000000</v>
      </c>
      <c r="T109" s="1">
        <v>2900000000</v>
      </c>
      <c r="U109" s="3"/>
      <c r="V109" s="3"/>
      <c r="W109" s="3"/>
      <c r="X109" s="3"/>
      <c r="Y109" s="3"/>
    </row>
    <row r="110" s="1" customFormat="1" customHeight="1" spans="1:25">
      <c r="A110" s="3"/>
      <c r="B110" s="3"/>
      <c r="C110" s="1" t="s">
        <v>703</v>
      </c>
      <c r="D110" s="1" t="s">
        <v>704</v>
      </c>
      <c r="E110" s="1">
        <v>3</v>
      </c>
      <c r="F110" s="1" t="s">
        <v>705</v>
      </c>
      <c r="G110" s="14" t="s">
        <v>706</v>
      </c>
      <c r="H110" s="14" t="s">
        <v>707</v>
      </c>
      <c r="I110" s="14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5">
        <v>0</v>
      </c>
      <c r="Q110" s="5">
        <v>0</v>
      </c>
      <c r="R110" s="5">
        <v>0</v>
      </c>
      <c r="S110" s="1">
        <v>3000000000</v>
      </c>
      <c r="T110" s="1">
        <v>3000000000</v>
      </c>
      <c r="U110" s="3"/>
      <c r="V110" s="3"/>
      <c r="W110" s="3"/>
      <c r="X110" s="3"/>
      <c r="Y110" s="3"/>
    </row>
    <row r="111" s="1" customFormat="1" customHeight="1" spans="1:25">
      <c r="A111" s="3"/>
      <c r="B111" s="3"/>
      <c r="C111" s="1" t="s">
        <v>709</v>
      </c>
      <c r="D111" s="1" t="s">
        <v>710</v>
      </c>
      <c r="E111" s="1">
        <v>4</v>
      </c>
      <c r="F111" s="1" t="s">
        <v>711</v>
      </c>
      <c r="G111" s="15" t="s">
        <v>712</v>
      </c>
      <c r="H111" s="16" t="s">
        <v>712</v>
      </c>
      <c r="I111" s="17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3">
        <v>30</v>
      </c>
      <c r="Q111" s="5">
        <v>0</v>
      </c>
      <c r="R111" s="3">
        <v>90</v>
      </c>
      <c r="S111" s="14" t="s">
        <v>714</v>
      </c>
      <c r="T111" s="14" t="s">
        <v>714</v>
      </c>
      <c r="W111" s="3"/>
      <c r="X111" s="3"/>
      <c r="Y111" s="3"/>
    </row>
    <row r="112" s="1" customFormat="1" customHeight="1" spans="1:25">
      <c r="A112" s="3"/>
      <c r="B112" s="3"/>
      <c r="C112" s="1" t="s">
        <v>715</v>
      </c>
      <c r="D112" s="1" t="s">
        <v>716</v>
      </c>
      <c r="E112" s="1">
        <v>4</v>
      </c>
      <c r="F112" s="1" t="s">
        <v>717</v>
      </c>
      <c r="G112" s="18" t="s">
        <v>718</v>
      </c>
      <c r="H112" s="14" t="s">
        <v>718</v>
      </c>
      <c r="I112" s="19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3">
        <f t="shared" ref="P112:P145" si="28">P111+1</f>
        <v>31</v>
      </c>
      <c r="Q112" s="5">
        <v>0</v>
      </c>
      <c r="R112" s="3">
        <v>90</v>
      </c>
      <c r="S112" s="14" t="s">
        <v>720</v>
      </c>
      <c r="T112" s="14" t="s">
        <v>720</v>
      </c>
      <c r="W112" s="3"/>
      <c r="X112" s="3"/>
      <c r="Y112" s="3"/>
    </row>
    <row r="113" s="1" customFormat="1" customHeight="1" spans="1:25">
      <c r="A113" s="3"/>
      <c r="B113" s="3"/>
      <c r="C113" s="1" t="s">
        <v>721</v>
      </c>
      <c r="D113" s="1" t="s">
        <v>722</v>
      </c>
      <c r="E113" s="1">
        <v>4</v>
      </c>
      <c r="F113" s="1" t="s">
        <v>723</v>
      </c>
      <c r="G113" s="18" t="s">
        <v>724</v>
      </c>
      <c r="H113" s="14" t="s">
        <v>724</v>
      </c>
      <c r="I113" s="19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3">
        <f t="shared" si="28"/>
        <v>32</v>
      </c>
      <c r="Q113" s="5">
        <v>0</v>
      </c>
      <c r="R113" s="3">
        <v>90</v>
      </c>
      <c r="S113" s="14" t="s">
        <v>726</v>
      </c>
      <c r="T113" s="14" t="s">
        <v>726</v>
      </c>
      <c r="W113" s="3"/>
      <c r="X113" s="3"/>
      <c r="Y113" s="3"/>
    </row>
    <row r="114" s="1" customFormat="1" customHeight="1" spans="1:25">
      <c r="A114" s="3"/>
      <c r="B114" s="3"/>
      <c r="C114" s="1" t="s">
        <v>727</v>
      </c>
      <c r="D114" s="1" t="s">
        <v>728</v>
      </c>
      <c r="E114" s="1">
        <v>4</v>
      </c>
      <c r="F114" s="1" t="s">
        <v>729</v>
      </c>
      <c r="G114" s="18" t="s">
        <v>730</v>
      </c>
      <c r="H114" s="14" t="s">
        <v>730</v>
      </c>
      <c r="I114" s="19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3">
        <f t="shared" si="28"/>
        <v>33</v>
      </c>
      <c r="Q114" s="5">
        <v>0</v>
      </c>
      <c r="R114" s="3">
        <v>90</v>
      </c>
      <c r="S114" s="14" t="s">
        <v>732</v>
      </c>
      <c r="T114" s="14" t="s">
        <v>732</v>
      </c>
      <c r="W114" s="3"/>
      <c r="X114" s="3"/>
      <c r="Y114" s="3"/>
    </row>
    <row r="115" s="1" customFormat="1" customHeight="1" spans="1:25">
      <c r="A115" s="3"/>
      <c r="B115" s="3"/>
      <c r="C115" s="1" t="s">
        <v>733</v>
      </c>
      <c r="D115" s="1" t="s">
        <v>734</v>
      </c>
      <c r="E115" s="1">
        <v>4</v>
      </c>
      <c r="F115" s="1" t="s">
        <v>735</v>
      </c>
      <c r="G115" s="18" t="s">
        <v>736</v>
      </c>
      <c r="H115" s="14" t="s">
        <v>736</v>
      </c>
      <c r="I115" s="19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3">
        <f t="shared" si="28"/>
        <v>34</v>
      </c>
      <c r="Q115" s="5">
        <v>0</v>
      </c>
      <c r="R115" s="3">
        <v>90</v>
      </c>
      <c r="S115" s="14" t="s">
        <v>738</v>
      </c>
      <c r="T115" s="14" t="s">
        <v>738</v>
      </c>
      <c r="W115" s="3"/>
      <c r="X115" s="3"/>
      <c r="Y115" s="3"/>
    </row>
    <row r="116" s="1" customFormat="1" customHeight="1" spans="1:25">
      <c r="A116" s="3"/>
      <c r="B116" s="3"/>
      <c r="C116" s="1" t="s">
        <v>739</v>
      </c>
      <c r="D116" s="1" t="s">
        <v>740</v>
      </c>
      <c r="E116" s="1">
        <v>4</v>
      </c>
      <c r="F116" s="1" t="s">
        <v>741</v>
      </c>
      <c r="G116" s="18" t="s">
        <v>742</v>
      </c>
      <c r="H116" s="14" t="s">
        <v>742</v>
      </c>
      <c r="I116" s="19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3">
        <f t="shared" si="28"/>
        <v>35</v>
      </c>
      <c r="Q116" s="5">
        <v>0</v>
      </c>
      <c r="R116" s="3">
        <v>90</v>
      </c>
      <c r="S116" s="14" t="s">
        <v>744</v>
      </c>
      <c r="T116" s="14" t="s">
        <v>744</v>
      </c>
      <c r="U116" s="3"/>
      <c r="V116" s="3"/>
      <c r="W116" s="3"/>
      <c r="X116" s="3"/>
      <c r="Y116" s="3"/>
    </row>
    <row r="117" s="1" customFormat="1" customHeight="1" spans="1:25">
      <c r="A117" s="3"/>
      <c r="B117" s="3"/>
      <c r="C117" s="1" t="s">
        <v>745</v>
      </c>
      <c r="D117" s="1" t="s">
        <v>746</v>
      </c>
      <c r="E117" s="1">
        <v>4</v>
      </c>
      <c r="F117" s="1" t="s">
        <v>747</v>
      </c>
      <c r="G117" s="18" t="s">
        <v>748</v>
      </c>
      <c r="H117" s="14" t="s">
        <v>748</v>
      </c>
      <c r="I117" s="19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3">
        <f t="shared" si="28"/>
        <v>36</v>
      </c>
      <c r="Q117" s="5">
        <v>0</v>
      </c>
      <c r="R117" s="3">
        <v>90</v>
      </c>
      <c r="S117" s="14" t="s">
        <v>750</v>
      </c>
      <c r="T117" s="14" t="s">
        <v>750</v>
      </c>
      <c r="U117" s="3"/>
      <c r="V117" s="3"/>
      <c r="W117" s="3"/>
      <c r="X117" s="3"/>
      <c r="Y117" s="3"/>
    </row>
    <row r="118" s="1" customFormat="1" customHeight="1" spans="1:25">
      <c r="A118" s="3"/>
      <c r="B118" s="3"/>
      <c r="C118" s="1" t="s">
        <v>751</v>
      </c>
      <c r="D118" s="1" t="s">
        <v>752</v>
      </c>
      <c r="E118" s="1">
        <v>4</v>
      </c>
      <c r="F118" s="1" t="s">
        <v>753</v>
      </c>
      <c r="G118" s="18" t="s">
        <v>754</v>
      </c>
      <c r="H118" s="14" t="s">
        <v>754</v>
      </c>
      <c r="I118" s="19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3">
        <f t="shared" si="28"/>
        <v>37</v>
      </c>
      <c r="Q118" s="5">
        <v>0</v>
      </c>
      <c r="R118" s="3">
        <v>90</v>
      </c>
      <c r="S118" s="14" t="s">
        <v>756</v>
      </c>
      <c r="T118" s="14" t="s">
        <v>756</v>
      </c>
      <c r="U118" s="3"/>
      <c r="V118" s="3"/>
      <c r="W118" s="3"/>
      <c r="X118" s="3"/>
      <c r="Y118" s="3"/>
    </row>
    <row r="119" s="1" customFormat="1" customHeight="1" spans="1:25">
      <c r="A119" s="3"/>
      <c r="B119" s="3"/>
      <c r="C119" s="1" t="s">
        <v>757</v>
      </c>
      <c r="D119" s="1" t="s">
        <v>758</v>
      </c>
      <c r="E119" s="1">
        <v>4</v>
      </c>
      <c r="F119" s="1" t="s">
        <v>759</v>
      </c>
      <c r="G119" s="18" t="s">
        <v>760</v>
      </c>
      <c r="H119" s="14" t="s">
        <v>760</v>
      </c>
      <c r="I119" s="19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3">
        <f t="shared" si="28"/>
        <v>38</v>
      </c>
      <c r="Q119" s="5">
        <v>0</v>
      </c>
      <c r="R119" s="3">
        <v>90</v>
      </c>
      <c r="S119" s="14" t="s">
        <v>762</v>
      </c>
      <c r="T119" s="14" t="s">
        <v>762</v>
      </c>
      <c r="U119" s="3"/>
      <c r="V119" s="3"/>
      <c r="W119" s="3"/>
      <c r="X119" s="3"/>
      <c r="Y119" s="3"/>
    </row>
    <row r="120" s="1" customFormat="1" customHeight="1" spans="1:25">
      <c r="A120" s="3"/>
      <c r="B120" s="3"/>
      <c r="C120" s="1" t="s">
        <v>763</v>
      </c>
      <c r="D120" s="1" t="s">
        <v>764</v>
      </c>
      <c r="E120" s="1">
        <v>4</v>
      </c>
      <c r="F120" s="1" t="s">
        <v>765</v>
      </c>
      <c r="G120" s="18" t="s">
        <v>766</v>
      </c>
      <c r="H120" s="14" t="s">
        <v>766</v>
      </c>
      <c r="I120" s="19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3">
        <f t="shared" si="28"/>
        <v>39</v>
      </c>
      <c r="Q120" s="5">
        <v>0</v>
      </c>
      <c r="R120" s="3">
        <v>90</v>
      </c>
      <c r="S120" s="14" t="s">
        <v>768</v>
      </c>
      <c r="T120" s="14" t="s">
        <v>768</v>
      </c>
      <c r="U120" s="3"/>
      <c r="V120" s="3"/>
      <c r="W120" s="3"/>
      <c r="X120" s="3"/>
      <c r="Y120" s="3"/>
    </row>
    <row r="121" s="1" customFormat="1" customHeight="1" spans="1:25">
      <c r="A121" s="3"/>
      <c r="B121" s="3"/>
      <c r="C121" s="1" t="s">
        <v>769</v>
      </c>
      <c r="D121" s="1" t="s">
        <v>770</v>
      </c>
      <c r="E121" s="1">
        <v>4</v>
      </c>
      <c r="F121" s="1" t="s">
        <v>771</v>
      </c>
      <c r="G121" s="18" t="s">
        <v>713</v>
      </c>
      <c r="H121" s="14" t="s">
        <v>713</v>
      </c>
      <c r="I121" s="19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3">
        <f t="shared" si="28"/>
        <v>40</v>
      </c>
      <c r="Q121" s="5">
        <v>3</v>
      </c>
      <c r="R121" s="3">
        <v>90</v>
      </c>
      <c r="S121" s="14" t="s">
        <v>773</v>
      </c>
      <c r="T121" s="14" t="s">
        <v>773</v>
      </c>
      <c r="U121" s="3"/>
      <c r="V121" s="3"/>
      <c r="W121" s="3"/>
      <c r="X121" s="3"/>
      <c r="Y121" s="3"/>
    </row>
    <row r="122" s="1" customFormat="1" customHeight="1" spans="1:25">
      <c r="A122" s="3"/>
      <c r="B122" s="3"/>
      <c r="C122" s="1" t="s">
        <v>774</v>
      </c>
      <c r="D122" s="1" t="s">
        <v>775</v>
      </c>
      <c r="E122" s="1">
        <v>4</v>
      </c>
      <c r="F122" s="1" t="s">
        <v>776</v>
      </c>
      <c r="G122" s="18" t="s">
        <v>777</v>
      </c>
      <c r="H122" s="14" t="s">
        <v>777</v>
      </c>
      <c r="I122" s="19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3">
        <f t="shared" si="28"/>
        <v>41</v>
      </c>
      <c r="Q122" s="3">
        <f t="shared" ref="Q122:Q130" si="31">Q121+3</f>
        <v>6</v>
      </c>
      <c r="R122" s="3">
        <v>90</v>
      </c>
      <c r="S122" s="14" t="s">
        <v>779</v>
      </c>
      <c r="T122" s="14" t="s">
        <v>779</v>
      </c>
      <c r="U122" s="3"/>
      <c r="V122" s="3"/>
      <c r="W122" s="3"/>
      <c r="X122" s="3"/>
      <c r="Y122" s="3"/>
    </row>
    <row r="123" s="1" customFormat="1" customHeight="1" spans="1:25">
      <c r="A123" s="3"/>
      <c r="B123" s="3"/>
      <c r="C123" s="1" t="s">
        <v>780</v>
      </c>
      <c r="D123" s="1" t="s">
        <v>781</v>
      </c>
      <c r="E123" s="1">
        <v>4</v>
      </c>
      <c r="F123" s="1" t="s">
        <v>782</v>
      </c>
      <c r="G123" s="18" t="s">
        <v>783</v>
      </c>
      <c r="H123" s="14" t="s">
        <v>783</v>
      </c>
      <c r="I123" s="19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3">
        <f t="shared" si="28"/>
        <v>42</v>
      </c>
      <c r="Q123" s="3">
        <f t="shared" si="31"/>
        <v>9</v>
      </c>
      <c r="R123" s="3">
        <v>90</v>
      </c>
      <c r="S123" s="14" t="s">
        <v>785</v>
      </c>
      <c r="T123" s="14" t="s">
        <v>785</v>
      </c>
      <c r="U123" s="3"/>
      <c r="V123" s="3"/>
      <c r="W123" s="3"/>
      <c r="X123" s="3"/>
      <c r="Y123" s="3"/>
    </row>
    <row r="124" s="1" customFormat="1" customHeight="1" spans="1:25">
      <c r="A124" s="3"/>
      <c r="B124" s="3"/>
      <c r="C124" s="1" t="s">
        <v>786</v>
      </c>
      <c r="D124" s="1" t="s">
        <v>787</v>
      </c>
      <c r="E124" s="1">
        <v>4</v>
      </c>
      <c r="F124" s="1" t="s">
        <v>788</v>
      </c>
      <c r="G124" s="18" t="s">
        <v>789</v>
      </c>
      <c r="H124" s="14" t="s">
        <v>789</v>
      </c>
      <c r="I124" s="19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3">
        <f t="shared" si="28"/>
        <v>43</v>
      </c>
      <c r="Q124" s="3">
        <f t="shared" si="31"/>
        <v>12</v>
      </c>
      <c r="R124" s="3">
        <v>90</v>
      </c>
      <c r="S124" s="14" t="s">
        <v>791</v>
      </c>
      <c r="T124" s="14" t="s">
        <v>791</v>
      </c>
      <c r="U124" s="3"/>
      <c r="V124" s="3"/>
      <c r="W124" s="3"/>
      <c r="X124" s="3"/>
      <c r="Y124" s="3"/>
    </row>
    <row r="125" s="1" customFormat="1" customHeight="1" spans="1:25">
      <c r="A125" s="3"/>
      <c r="B125" s="3"/>
      <c r="C125" s="1" t="s">
        <v>792</v>
      </c>
      <c r="D125" s="1" t="s">
        <v>793</v>
      </c>
      <c r="E125" s="1">
        <v>4</v>
      </c>
      <c r="F125" s="1" t="s">
        <v>794</v>
      </c>
      <c r="G125" s="18" t="s">
        <v>795</v>
      </c>
      <c r="H125" s="14" t="s">
        <v>795</v>
      </c>
      <c r="I125" s="19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3">
        <f t="shared" si="28"/>
        <v>44</v>
      </c>
      <c r="Q125" s="3">
        <f t="shared" si="31"/>
        <v>15</v>
      </c>
      <c r="R125" s="3">
        <v>90</v>
      </c>
      <c r="S125" s="14" t="s">
        <v>797</v>
      </c>
      <c r="T125" s="14" t="s">
        <v>797</v>
      </c>
      <c r="U125" s="3"/>
      <c r="V125" s="3"/>
      <c r="W125" s="3"/>
      <c r="X125" s="3"/>
      <c r="Y125" s="3"/>
    </row>
    <row r="126" s="1" customFormat="1" customHeight="1" spans="1:25">
      <c r="A126" s="3"/>
      <c r="B126" s="3"/>
      <c r="C126" s="1" t="s">
        <v>798</v>
      </c>
      <c r="D126" s="1" t="s">
        <v>799</v>
      </c>
      <c r="E126" s="1">
        <v>4</v>
      </c>
      <c r="F126" s="1" t="s">
        <v>800</v>
      </c>
      <c r="G126" s="18" t="s">
        <v>801</v>
      </c>
      <c r="H126" s="14" t="s">
        <v>801</v>
      </c>
      <c r="I126" s="19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3">
        <f t="shared" si="28"/>
        <v>45</v>
      </c>
      <c r="Q126" s="3">
        <f t="shared" si="31"/>
        <v>18</v>
      </c>
      <c r="R126" s="3">
        <v>90</v>
      </c>
      <c r="S126" s="14" t="s">
        <v>803</v>
      </c>
      <c r="T126" s="14" t="s">
        <v>803</v>
      </c>
      <c r="U126" s="3"/>
      <c r="V126" s="3"/>
      <c r="W126" s="3"/>
      <c r="X126" s="3"/>
      <c r="Y126" s="3"/>
    </row>
    <row r="127" s="1" customFormat="1" customHeight="1" spans="1:25">
      <c r="A127" s="3"/>
      <c r="B127" s="3"/>
      <c r="C127" s="1" t="s">
        <v>804</v>
      </c>
      <c r="D127" s="1" t="s">
        <v>805</v>
      </c>
      <c r="E127" s="1">
        <v>4</v>
      </c>
      <c r="F127" s="1" t="s">
        <v>806</v>
      </c>
      <c r="G127" s="18" t="s">
        <v>807</v>
      </c>
      <c r="H127" s="14" t="s">
        <v>807</v>
      </c>
      <c r="I127" s="19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3">
        <f t="shared" si="28"/>
        <v>46</v>
      </c>
      <c r="Q127" s="3">
        <f t="shared" si="31"/>
        <v>21</v>
      </c>
      <c r="R127" s="3">
        <v>90</v>
      </c>
      <c r="S127" s="14" t="s">
        <v>809</v>
      </c>
      <c r="T127" s="14" t="s">
        <v>809</v>
      </c>
      <c r="U127" s="3"/>
      <c r="V127" s="3"/>
      <c r="W127" s="3"/>
      <c r="X127" s="3"/>
      <c r="Y127" s="3"/>
    </row>
    <row r="128" s="1" customFormat="1" customHeight="1" spans="1:25">
      <c r="A128" s="3"/>
      <c r="B128" s="3"/>
      <c r="C128" s="1" t="s">
        <v>810</v>
      </c>
      <c r="D128" s="1" t="s">
        <v>811</v>
      </c>
      <c r="E128" s="1">
        <v>4</v>
      </c>
      <c r="F128" s="1" t="s">
        <v>812</v>
      </c>
      <c r="G128" s="18" t="s">
        <v>813</v>
      </c>
      <c r="H128" s="14" t="s">
        <v>813</v>
      </c>
      <c r="I128" s="19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3">
        <f t="shared" si="28"/>
        <v>47</v>
      </c>
      <c r="Q128" s="3">
        <f t="shared" si="31"/>
        <v>24</v>
      </c>
      <c r="R128" s="3">
        <v>90</v>
      </c>
      <c r="S128" s="14" t="s">
        <v>815</v>
      </c>
      <c r="T128" s="14" t="s">
        <v>815</v>
      </c>
      <c r="U128" s="3"/>
      <c r="V128" s="3"/>
      <c r="W128" s="3"/>
      <c r="X128" s="3"/>
      <c r="Y128" s="3"/>
    </row>
    <row r="129" s="1" customFormat="1" customHeight="1" spans="1:25">
      <c r="A129" s="3"/>
      <c r="B129" s="3"/>
      <c r="C129" s="1" t="s">
        <v>816</v>
      </c>
      <c r="D129" s="1" t="s">
        <v>817</v>
      </c>
      <c r="E129" s="1">
        <v>4</v>
      </c>
      <c r="F129" s="1" t="s">
        <v>818</v>
      </c>
      <c r="G129" s="18" t="s">
        <v>819</v>
      </c>
      <c r="H129" s="14" t="s">
        <v>819</v>
      </c>
      <c r="I129" s="19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3">
        <f t="shared" si="28"/>
        <v>48</v>
      </c>
      <c r="Q129" s="3">
        <f t="shared" si="31"/>
        <v>27</v>
      </c>
      <c r="R129" s="3">
        <v>90</v>
      </c>
      <c r="S129" s="14" t="s">
        <v>821</v>
      </c>
      <c r="T129" s="14" t="s">
        <v>821</v>
      </c>
      <c r="U129" s="3"/>
      <c r="V129" s="3"/>
      <c r="W129" s="3"/>
      <c r="X129" s="3"/>
      <c r="Y129" s="3"/>
    </row>
    <row r="130" s="1" customFormat="1" customHeight="1" spans="1:25">
      <c r="A130" s="3"/>
      <c r="B130" s="3"/>
      <c r="C130" s="1" t="s">
        <v>822</v>
      </c>
      <c r="D130" s="1" t="s">
        <v>823</v>
      </c>
      <c r="E130" s="1">
        <v>4</v>
      </c>
      <c r="F130" s="1" t="s">
        <v>824</v>
      </c>
      <c r="G130" s="18" t="s">
        <v>825</v>
      </c>
      <c r="H130" s="14" t="s">
        <v>825</v>
      </c>
      <c r="I130" s="19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3">
        <f t="shared" si="28"/>
        <v>49</v>
      </c>
      <c r="Q130" s="3">
        <f t="shared" si="31"/>
        <v>30</v>
      </c>
      <c r="R130" s="3">
        <v>90</v>
      </c>
      <c r="S130" s="14" t="s">
        <v>827</v>
      </c>
      <c r="T130" s="14" t="s">
        <v>827</v>
      </c>
      <c r="U130" s="3"/>
      <c r="V130" s="3"/>
      <c r="W130" s="3"/>
      <c r="X130" s="3"/>
      <c r="Y130" s="3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8" t="s">
        <v>831</v>
      </c>
      <c r="H131" s="14" t="s">
        <v>831</v>
      </c>
      <c r="I131" s="19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3">
        <f t="shared" ref="P131:P145" si="36">P130+2</f>
        <v>51</v>
      </c>
      <c r="Q131" s="3">
        <f t="shared" ref="Q131:Q180" si="37">Q130+4</f>
        <v>34</v>
      </c>
      <c r="R131" s="3">
        <v>92</v>
      </c>
      <c r="S131" s="14" t="s">
        <v>833</v>
      </c>
      <c r="T131" s="14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8" t="s">
        <v>837</v>
      </c>
      <c r="H132" s="14" t="s">
        <v>837</v>
      </c>
      <c r="I132" s="19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3">
        <f t="shared" si="36"/>
        <v>53</v>
      </c>
      <c r="Q132" s="3">
        <f t="shared" si="37"/>
        <v>38</v>
      </c>
      <c r="R132" s="3">
        <v>94</v>
      </c>
      <c r="S132" s="14" t="s">
        <v>839</v>
      </c>
      <c r="T132" s="14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8" t="s">
        <v>843</v>
      </c>
      <c r="H133" s="14" t="s">
        <v>843</v>
      </c>
      <c r="I133" s="19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3">
        <f t="shared" si="36"/>
        <v>55</v>
      </c>
      <c r="Q133" s="3">
        <f t="shared" si="37"/>
        <v>42</v>
      </c>
      <c r="R133" s="3">
        <v>96</v>
      </c>
      <c r="S133" s="14" t="s">
        <v>845</v>
      </c>
      <c r="T133" s="14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8" t="s">
        <v>849</v>
      </c>
      <c r="H134" s="14" t="s">
        <v>849</v>
      </c>
      <c r="I134" s="19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3">
        <f t="shared" si="36"/>
        <v>57</v>
      </c>
      <c r="Q134" s="3">
        <f t="shared" si="37"/>
        <v>46</v>
      </c>
      <c r="R134" s="3">
        <v>98</v>
      </c>
      <c r="S134" s="14" t="s">
        <v>851</v>
      </c>
      <c r="T134" s="14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8" t="s">
        <v>855</v>
      </c>
      <c r="H135" s="14" t="s">
        <v>855</v>
      </c>
      <c r="I135" s="19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3">
        <f t="shared" si="36"/>
        <v>59</v>
      </c>
      <c r="Q135" s="3">
        <f t="shared" si="37"/>
        <v>50</v>
      </c>
      <c r="R135" s="3">
        <v>99</v>
      </c>
      <c r="S135" s="14" t="s">
        <v>857</v>
      </c>
      <c r="T135" s="14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8" t="s">
        <v>861</v>
      </c>
      <c r="H136" s="14" t="s">
        <v>861</v>
      </c>
      <c r="I136" s="19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3">
        <f t="shared" si="36"/>
        <v>61</v>
      </c>
      <c r="Q136" s="3">
        <f t="shared" si="37"/>
        <v>54</v>
      </c>
      <c r="R136" s="3">
        <v>99.2</v>
      </c>
      <c r="S136" s="14" t="s">
        <v>863</v>
      </c>
      <c r="T136" s="14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8" t="s">
        <v>867</v>
      </c>
      <c r="H137" s="14" t="s">
        <v>867</v>
      </c>
      <c r="I137" s="19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3">
        <f t="shared" si="36"/>
        <v>63</v>
      </c>
      <c r="Q137" s="3">
        <f t="shared" si="37"/>
        <v>58</v>
      </c>
      <c r="R137" s="3">
        <v>99.4</v>
      </c>
      <c r="S137" s="14" t="s">
        <v>869</v>
      </c>
      <c r="T137" s="14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8" t="s">
        <v>873</v>
      </c>
      <c r="H138" s="14" t="s">
        <v>873</v>
      </c>
      <c r="I138" s="19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3">
        <f t="shared" si="36"/>
        <v>65</v>
      </c>
      <c r="Q138" s="3">
        <f t="shared" si="37"/>
        <v>62</v>
      </c>
      <c r="R138" s="3">
        <v>99.6</v>
      </c>
      <c r="S138" s="14" t="s">
        <v>875</v>
      </c>
      <c r="T138" s="14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8" t="s">
        <v>879</v>
      </c>
      <c r="H139" s="14" t="s">
        <v>879</v>
      </c>
      <c r="I139" s="19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3">
        <f t="shared" si="36"/>
        <v>67</v>
      </c>
      <c r="Q139" s="3">
        <f t="shared" si="37"/>
        <v>66</v>
      </c>
      <c r="R139" s="3">
        <v>99.8</v>
      </c>
      <c r="S139" s="14" t="s">
        <v>881</v>
      </c>
      <c r="T139" s="14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8" t="s">
        <v>885</v>
      </c>
      <c r="H140" s="14" t="s">
        <v>885</v>
      </c>
      <c r="I140" s="19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3">
        <f t="shared" si="36"/>
        <v>69</v>
      </c>
      <c r="Q140" s="3">
        <f t="shared" si="37"/>
        <v>70</v>
      </c>
      <c r="R140" s="3">
        <v>99.9</v>
      </c>
      <c r="S140" s="14" t="s">
        <v>887</v>
      </c>
      <c r="T140" s="14" t="s">
        <v>887</v>
      </c>
    </row>
    <row r="141" s="1" customFormat="1" customHeight="1" spans="1:25">
      <c r="A141" s="3"/>
      <c r="B141" s="3"/>
      <c r="C141" s="1" t="s">
        <v>888</v>
      </c>
      <c r="D141" s="1" t="s">
        <v>889</v>
      </c>
      <c r="E141" s="1">
        <v>4</v>
      </c>
      <c r="F141" s="1" t="s">
        <v>890</v>
      </c>
      <c r="G141" s="18" t="s">
        <v>891</v>
      </c>
      <c r="H141" s="14" t="s">
        <v>891</v>
      </c>
      <c r="I141" s="19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3">
        <f t="shared" si="36"/>
        <v>71</v>
      </c>
      <c r="Q141" s="3">
        <f t="shared" si="37"/>
        <v>74</v>
      </c>
      <c r="R141" s="3">
        <v>99.92</v>
      </c>
      <c r="S141" s="14" t="s">
        <v>893</v>
      </c>
      <c r="T141" s="14" t="s">
        <v>893</v>
      </c>
      <c r="U141" s="3"/>
      <c r="V141" s="3"/>
      <c r="W141" s="3"/>
      <c r="X141" s="3"/>
      <c r="Y141" s="3"/>
    </row>
    <row r="142" s="1" customFormat="1" customHeight="1" spans="1:25">
      <c r="A142" s="3"/>
      <c r="B142" s="3"/>
      <c r="C142" s="1" t="s">
        <v>894</v>
      </c>
      <c r="D142" s="1" t="s">
        <v>895</v>
      </c>
      <c r="E142" s="1">
        <v>4</v>
      </c>
      <c r="F142" s="1" t="s">
        <v>896</v>
      </c>
      <c r="G142" s="18" t="s">
        <v>897</v>
      </c>
      <c r="H142" s="14" t="s">
        <v>897</v>
      </c>
      <c r="I142" s="19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3">
        <f t="shared" si="36"/>
        <v>73</v>
      </c>
      <c r="Q142" s="3">
        <f t="shared" si="37"/>
        <v>78</v>
      </c>
      <c r="R142" s="3">
        <v>99.94</v>
      </c>
      <c r="S142" s="14" t="s">
        <v>899</v>
      </c>
      <c r="T142" s="14" t="s">
        <v>899</v>
      </c>
      <c r="U142" s="3"/>
      <c r="V142" s="3"/>
      <c r="W142" s="3"/>
      <c r="X142" s="3"/>
      <c r="Y142" s="3"/>
    </row>
    <row r="143" s="1" customFormat="1" customHeight="1" spans="1:25">
      <c r="A143" s="3"/>
      <c r="B143" s="3"/>
      <c r="C143" s="1" t="s">
        <v>900</v>
      </c>
      <c r="D143" s="1" t="s">
        <v>901</v>
      </c>
      <c r="E143" s="1">
        <v>4</v>
      </c>
      <c r="F143" s="1" t="s">
        <v>902</v>
      </c>
      <c r="G143" s="18" t="s">
        <v>903</v>
      </c>
      <c r="H143" s="14" t="s">
        <v>903</v>
      </c>
      <c r="I143" s="19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3">
        <f t="shared" si="36"/>
        <v>75</v>
      </c>
      <c r="Q143" s="3">
        <f t="shared" si="37"/>
        <v>82</v>
      </c>
      <c r="R143" s="3">
        <v>99.96</v>
      </c>
      <c r="S143" s="14" t="s">
        <v>905</v>
      </c>
      <c r="T143" s="14" t="s">
        <v>905</v>
      </c>
      <c r="U143" s="3"/>
      <c r="V143" s="3"/>
      <c r="W143" s="3"/>
      <c r="X143" s="3"/>
      <c r="Y143" s="3"/>
    </row>
    <row r="144" s="1" customFormat="1" customHeight="1" spans="1:25">
      <c r="A144" s="3"/>
      <c r="B144" s="3"/>
      <c r="C144" s="1" t="s">
        <v>906</v>
      </c>
      <c r="D144" s="1" t="s">
        <v>907</v>
      </c>
      <c r="E144" s="1">
        <v>4</v>
      </c>
      <c r="F144" s="1" t="s">
        <v>908</v>
      </c>
      <c r="G144" s="18" t="s">
        <v>909</v>
      </c>
      <c r="H144" s="14" t="s">
        <v>909</v>
      </c>
      <c r="I144" s="19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3">
        <f t="shared" si="36"/>
        <v>77</v>
      </c>
      <c r="Q144" s="3">
        <f t="shared" si="37"/>
        <v>86</v>
      </c>
      <c r="R144" s="3">
        <v>99.98</v>
      </c>
      <c r="S144" s="14" t="s">
        <v>911</v>
      </c>
      <c r="T144" s="14" t="s">
        <v>911</v>
      </c>
      <c r="U144" s="3"/>
      <c r="V144" s="3"/>
      <c r="W144" s="3"/>
      <c r="X144" s="3"/>
      <c r="Y144" s="3"/>
    </row>
    <row r="145" s="1" customFormat="1" customHeight="1" spans="1:25">
      <c r="A145" s="3"/>
      <c r="B145" s="3"/>
      <c r="C145" s="1" t="s">
        <v>912</v>
      </c>
      <c r="D145" s="1" t="s">
        <v>913</v>
      </c>
      <c r="E145" s="1">
        <v>4</v>
      </c>
      <c r="F145" s="1" t="s">
        <v>914</v>
      </c>
      <c r="G145" s="8" t="s">
        <v>915</v>
      </c>
      <c r="H145" s="8" t="s">
        <v>915</v>
      </c>
      <c r="I145" s="10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3">
        <f t="shared" si="36"/>
        <v>79</v>
      </c>
      <c r="Q145" s="3">
        <f t="shared" si="37"/>
        <v>90</v>
      </c>
      <c r="R145" s="3">
        <v>99.99</v>
      </c>
      <c r="S145" s="14" t="s">
        <v>917</v>
      </c>
      <c r="T145" s="14" t="s">
        <v>917</v>
      </c>
      <c r="U145" s="3"/>
      <c r="V145" s="3"/>
      <c r="W145" s="3"/>
      <c r="X145" s="3"/>
      <c r="Y145" s="3"/>
    </row>
    <row r="146" s="2" customFormat="1" customHeight="1" spans="1:25">
      <c r="A146" s="11"/>
      <c r="B146" s="11"/>
      <c r="C146" s="2" t="s">
        <v>918</v>
      </c>
      <c r="D146" s="2" t="s">
        <v>919</v>
      </c>
      <c r="E146" s="2">
        <v>4</v>
      </c>
      <c r="F146" s="2" t="s">
        <v>920</v>
      </c>
      <c r="G146" s="12" t="s">
        <v>921</v>
      </c>
      <c r="H146" s="2" t="s">
        <v>922</v>
      </c>
      <c r="I146" s="13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1">
        <f>P145+3</f>
        <v>82</v>
      </c>
      <c r="Q146" s="11">
        <v>150</v>
      </c>
      <c r="R146" s="11">
        <v>99.99</v>
      </c>
      <c r="S146" s="20" t="s">
        <v>925</v>
      </c>
      <c r="T146" s="20" t="s">
        <v>925</v>
      </c>
      <c r="W146" s="11"/>
      <c r="X146" s="11"/>
      <c r="Y146" s="11"/>
    </row>
    <row r="147" s="1" customFormat="1" customHeight="1" spans="1:25">
      <c r="A147" s="3"/>
      <c r="B147" s="3"/>
      <c r="C147" s="1" t="s">
        <v>926</v>
      </c>
      <c r="D147" s="1" t="s">
        <v>927</v>
      </c>
      <c r="E147" s="1">
        <v>4</v>
      </c>
      <c r="F147" s="1" t="s">
        <v>928</v>
      </c>
      <c r="G147" s="8" t="s">
        <v>929</v>
      </c>
      <c r="H147" s="8" t="s">
        <v>930</v>
      </c>
      <c r="I147" s="10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3">
        <f t="shared" ref="P146:P180" si="47">P146+3</f>
        <v>85</v>
      </c>
      <c r="Q147" s="3">
        <f t="shared" si="37"/>
        <v>154</v>
      </c>
      <c r="R147" s="3">
        <v>99.99</v>
      </c>
      <c r="S147" s="14" t="s">
        <v>933</v>
      </c>
      <c r="T147" s="14" t="s">
        <v>933</v>
      </c>
      <c r="W147" s="3"/>
      <c r="X147" s="3"/>
      <c r="Y147" s="3"/>
    </row>
    <row r="148" s="1" customFormat="1" customHeight="1" spans="1:25">
      <c r="A148" s="3"/>
      <c r="B148" s="3"/>
      <c r="C148" s="1" t="s">
        <v>934</v>
      </c>
      <c r="D148" s="1" t="s">
        <v>935</v>
      </c>
      <c r="E148" s="1">
        <v>4</v>
      </c>
      <c r="F148" s="1" t="s">
        <v>936</v>
      </c>
      <c r="G148" s="8" t="s">
        <v>937</v>
      </c>
      <c r="H148" s="8" t="s">
        <v>938</v>
      </c>
      <c r="I148" s="10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3">
        <f t="shared" si="47"/>
        <v>88</v>
      </c>
      <c r="Q148" s="3">
        <f t="shared" si="37"/>
        <v>158</v>
      </c>
      <c r="R148" s="3">
        <v>99.99</v>
      </c>
      <c r="S148" s="14" t="s">
        <v>941</v>
      </c>
      <c r="T148" s="14" t="s">
        <v>941</v>
      </c>
      <c r="W148" s="3"/>
      <c r="X148" s="3"/>
      <c r="Y148" s="3"/>
    </row>
    <row r="149" s="1" customFormat="1" customHeight="1" spans="1:25">
      <c r="A149" s="3"/>
      <c r="B149" s="3"/>
      <c r="C149" s="1" t="s">
        <v>942</v>
      </c>
      <c r="D149" s="1" t="s">
        <v>943</v>
      </c>
      <c r="E149" s="1">
        <v>4</v>
      </c>
      <c r="F149" s="1" t="s">
        <v>944</v>
      </c>
      <c r="G149" s="8" t="s">
        <v>945</v>
      </c>
      <c r="H149" s="8" t="s">
        <v>946</v>
      </c>
      <c r="I149" s="10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3">
        <f t="shared" si="47"/>
        <v>91</v>
      </c>
      <c r="Q149" s="3">
        <f t="shared" si="37"/>
        <v>162</v>
      </c>
      <c r="R149" s="3">
        <v>99.99</v>
      </c>
      <c r="S149" s="14" t="s">
        <v>949</v>
      </c>
      <c r="T149" s="14" t="s">
        <v>949</v>
      </c>
      <c r="W149" s="3"/>
      <c r="X149" s="3"/>
      <c r="Y149" s="3"/>
    </row>
    <row r="150" s="1" customFormat="1" customHeight="1" spans="1:25">
      <c r="A150" s="3"/>
      <c r="B150" s="3"/>
      <c r="C150" s="1" t="s">
        <v>950</v>
      </c>
      <c r="D150" s="1" t="s">
        <v>951</v>
      </c>
      <c r="E150" s="1">
        <v>4</v>
      </c>
      <c r="F150" s="1" t="s">
        <v>952</v>
      </c>
      <c r="G150" s="8" t="s">
        <v>953</v>
      </c>
      <c r="H150" s="8" t="s">
        <v>954</v>
      </c>
      <c r="I150" s="10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3">
        <f t="shared" si="47"/>
        <v>94</v>
      </c>
      <c r="Q150" s="3">
        <f t="shared" si="37"/>
        <v>166</v>
      </c>
      <c r="R150" s="3">
        <v>99.99</v>
      </c>
      <c r="S150" s="14" t="s">
        <v>957</v>
      </c>
      <c r="T150" s="14" t="s">
        <v>957</v>
      </c>
      <c r="W150" s="3"/>
      <c r="X150" s="3"/>
      <c r="Y150" s="3"/>
    </row>
    <row r="151" s="1" customFormat="1" customHeight="1" spans="1:25">
      <c r="A151" s="3"/>
      <c r="B151" s="3"/>
      <c r="C151" s="1" t="s">
        <v>958</v>
      </c>
      <c r="D151" s="1" t="s">
        <v>959</v>
      </c>
      <c r="E151" s="1">
        <v>4</v>
      </c>
      <c r="F151" s="1" t="s">
        <v>960</v>
      </c>
      <c r="G151" s="1" t="s">
        <v>961</v>
      </c>
      <c r="H151" s="8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3">
        <f t="shared" si="47"/>
        <v>97</v>
      </c>
      <c r="Q151" s="3">
        <f t="shared" si="37"/>
        <v>170</v>
      </c>
      <c r="R151" s="3">
        <v>99.99</v>
      </c>
      <c r="S151" s="14" t="s">
        <v>966</v>
      </c>
      <c r="T151" s="14" t="s">
        <v>966</v>
      </c>
      <c r="U151" s="3"/>
      <c r="V151" s="3"/>
      <c r="W151" s="3"/>
      <c r="X151" s="3"/>
      <c r="Y151" s="3"/>
    </row>
    <row r="152" s="1" customFormat="1" customHeight="1" spans="1:25">
      <c r="A152" s="3"/>
      <c r="B152" s="3"/>
      <c r="C152" s="1" t="s">
        <v>967</v>
      </c>
      <c r="D152" s="1" t="s">
        <v>968</v>
      </c>
      <c r="E152" s="1">
        <v>4</v>
      </c>
      <c r="F152" s="1" t="s">
        <v>969</v>
      </c>
      <c r="G152" s="1" t="s">
        <v>970</v>
      </c>
      <c r="H152" s="8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3">
        <f t="shared" si="47"/>
        <v>100</v>
      </c>
      <c r="Q152" s="3">
        <f t="shared" si="37"/>
        <v>174</v>
      </c>
      <c r="R152" s="3">
        <v>99.99</v>
      </c>
      <c r="S152" s="14" t="s">
        <v>975</v>
      </c>
      <c r="T152" s="14" t="s">
        <v>975</v>
      </c>
      <c r="U152" s="3"/>
      <c r="V152" s="3"/>
      <c r="W152" s="3"/>
      <c r="X152" s="3"/>
      <c r="Y152" s="3"/>
    </row>
    <row r="153" s="1" customFormat="1" customHeight="1" spans="1:25">
      <c r="A153" s="3"/>
      <c r="B153" s="3"/>
      <c r="C153" s="1" t="s">
        <v>976</v>
      </c>
      <c r="D153" s="1" t="s">
        <v>977</v>
      </c>
      <c r="E153" s="1">
        <v>4</v>
      </c>
      <c r="F153" s="1" t="s">
        <v>978</v>
      </c>
      <c r="G153" s="1" t="s">
        <v>979</v>
      </c>
      <c r="H153" s="8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3">
        <f t="shared" si="47"/>
        <v>103</v>
      </c>
      <c r="Q153" s="3">
        <f t="shared" si="37"/>
        <v>178</v>
      </c>
      <c r="R153" s="3">
        <v>99.99</v>
      </c>
      <c r="S153" s="14" t="s">
        <v>984</v>
      </c>
      <c r="T153" s="14" t="s">
        <v>984</v>
      </c>
      <c r="U153" s="3"/>
      <c r="V153" s="3"/>
      <c r="W153" s="3"/>
      <c r="X153" s="3"/>
      <c r="Y153" s="3"/>
    </row>
    <row r="154" s="1" customFormat="1" customHeight="1" spans="1:25">
      <c r="A154" s="3"/>
      <c r="B154" s="3"/>
      <c r="C154" s="1" t="s">
        <v>985</v>
      </c>
      <c r="D154" s="1" t="s">
        <v>986</v>
      </c>
      <c r="E154" s="1">
        <v>4</v>
      </c>
      <c r="F154" s="1" t="s">
        <v>987</v>
      </c>
      <c r="G154" s="1" t="s">
        <v>988</v>
      </c>
      <c r="H154" s="8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3">
        <f t="shared" si="47"/>
        <v>106</v>
      </c>
      <c r="Q154" s="3">
        <f t="shared" si="37"/>
        <v>182</v>
      </c>
      <c r="R154" s="3">
        <v>99.99</v>
      </c>
      <c r="S154" s="14" t="s">
        <v>993</v>
      </c>
      <c r="T154" s="14" t="s">
        <v>993</v>
      </c>
      <c r="U154" s="3"/>
      <c r="V154" s="3"/>
      <c r="W154" s="3"/>
      <c r="X154" s="3"/>
      <c r="Y154" s="3"/>
    </row>
    <row r="155" s="1" customFormat="1" customHeight="1" spans="1:25">
      <c r="A155" s="3"/>
      <c r="B155" s="3"/>
      <c r="C155" s="1" t="s">
        <v>994</v>
      </c>
      <c r="D155" s="1" t="s">
        <v>995</v>
      </c>
      <c r="E155" s="1">
        <v>4</v>
      </c>
      <c r="F155" s="1" t="s">
        <v>996</v>
      </c>
      <c r="G155" s="1" t="s">
        <v>997</v>
      </c>
      <c r="H155" s="8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3">
        <f t="shared" si="47"/>
        <v>109</v>
      </c>
      <c r="Q155" s="3">
        <f t="shared" si="37"/>
        <v>186</v>
      </c>
      <c r="R155" s="3">
        <v>99.99</v>
      </c>
      <c r="S155" s="14" t="s">
        <v>1002</v>
      </c>
      <c r="T155" s="14" t="s">
        <v>1002</v>
      </c>
      <c r="U155" s="3"/>
      <c r="V155" s="3"/>
      <c r="W155" s="3"/>
      <c r="X155" s="3"/>
      <c r="Y155" s="3"/>
    </row>
    <row r="156" s="1" customFormat="1" customHeight="1" spans="1:25">
      <c r="A156" s="3"/>
      <c r="B156" s="3"/>
      <c r="C156" s="1" t="s">
        <v>1003</v>
      </c>
      <c r="D156" s="1" t="s">
        <v>1004</v>
      </c>
      <c r="E156" s="1">
        <v>4</v>
      </c>
      <c r="F156" s="1" t="s">
        <v>1005</v>
      </c>
      <c r="G156" s="1" t="s">
        <v>1006</v>
      </c>
      <c r="H156" s="8" t="s">
        <v>1007</v>
      </c>
      <c r="I156" s="1" t="s">
        <v>1008</v>
      </c>
      <c r="J156" s="1" t="s">
        <v>1009</v>
      </c>
      <c r="K156" s="1" t="s">
        <v>1010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3">
        <f t="shared" si="47"/>
        <v>112</v>
      </c>
      <c r="Q156" s="3">
        <f t="shared" si="37"/>
        <v>190</v>
      </c>
      <c r="R156" s="3">
        <v>99.99</v>
      </c>
      <c r="S156" s="14" t="s">
        <v>1011</v>
      </c>
      <c r="T156" s="14" t="s">
        <v>1011</v>
      </c>
      <c r="U156" s="3"/>
      <c r="V156" s="3"/>
      <c r="W156" s="3"/>
      <c r="X156" s="3"/>
      <c r="Y156" s="3"/>
    </row>
    <row r="157" s="1" customFormat="1" customHeight="1" spans="1:25">
      <c r="A157" s="3"/>
      <c r="B157" s="3"/>
      <c r="C157" s="1" t="s">
        <v>1012</v>
      </c>
      <c r="D157" s="1" t="s">
        <v>1013</v>
      </c>
      <c r="E157" s="1">
        <v>4</v>
      </c>
      <c r="F157" s="1" t="s">
        <v>1014</v>
      </c>
      <c r="G157" s="1" t="s">
        <v>1015</v>
      </c>
      <c r="H157" s="8" t="s">
        <v>1016</v>
      </c>
      <c r="I157" s="1" t="s">
        <v>1017</v>
      </c>
      <c r="J157" s="1" t="s">
        <v>1018</v>
      </c>
      <c r="K157" s="1" t="s">
        <v>1019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3">
        <f t="shared" si="47"/>
        <v>115</v>
      </c>
      <c r="Q157" s="3">
        <f t="shared" si="37"/>
        <v>194</v>
      </c>
      <c r="R157" s="3">
        <v>99.99</v>
      </c>
      <c r="S157" s="14" t="s">
        <v>1020</v>
      </c>
      <c r="T157" s="14" t="s">
        <v>1020</v>
      </c>
      <c r="U157" s="3"/>
      <c r="V157" s="3"/>
      <c r="W157" s="3"/>
      <c r="X157" s="3"/>
      <c r="Y157" s="3"/>
    </row>
    <row r="158" s="1" customFormat="1" customHeight="1" spans="1:25">
      <c r="A158" s="3"/>
      <c r="B158" s="3"/>
      <c r="C158" s="1" t="s">
        <v>1021</v>
      </c>
      <c r="D158" s="1" t="s">
        <v>1022</v>
      </c>
      <c r="E158" s="1">
        <v>4</v>
      </c>
      <c r="F158" s="1" t="s">
        <v>1023</v>
      </c>
      <c r="G158" s="1" t="s">
        <v>1024</v>
      </c>
      <c r="H158" s="8" t="s">
        <v>1025</v>
      </c>
      <c r="I158" s="1" t="s">
        <v>1026</v>
      </c>
      <c r="J158" s="1" t="s">
        <v>1027</v>
      </c>
      <c r="K158" s="1" t="s">
        <v>1028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3">
        <f t="shared" si="47"/>
        <v>118</v>
      </c>
      <c r="Q158" s="3">
        <f t="shared" si="37"/>
        <v>198</v>
      </c>
      <c r="R158" s="3">
        <v>99.99</v>
      </c>
      <c r="S158" s="14" t="s">
        <v>1029</v>
      </c>
      <c r="T158" s="14" t="s">
        <v>1029</v>
      </c>
      <c r="U158" s="3"/>
      <c r="V158" s="3"/>
      <c r="W158" s="3"/>
      <c r="X158" s="3"/>
      <c r="Y158" s="3"/>
    </row>
    <row r="159" s="1" customFormat="1" customHeight="1" spans="1:25">
      <c r="A159" s="3"/>
      <c r="B159" s="3"/>
      <c r="C159" s="1" t="s">
        <v>1030</v>
      </c>
      <c r="D159" s="1" t="s">
        <v>1031</v>
      </c>
      <c r="E159" s="1">
        <v>4</v>
      </c>
      <c r="F159" s="1" t="s">
        <v>1032</v>
      </c>
      <c r="G159" s="1" t="s">
        <v>1033</v>
      </c>
      <c r="H159" s="8" t="s">
        <v>1034</v>
      </c>
      <c r="I159" s="1" t="s">
        <v>1035</v>
      </c>
      <c r="J159" s="1" t="s">
        <v>1036</v>
      </c>
      <c r="K159" s="1" t="s">
        <v>1037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3">
        <f t="shared" si="47"/>
        <v>121</v>
      </c>
      <c r="Q159" s="3">
        <f t="shared" si="37"/>
        <v>202</v>
      </c>
      <c r="R159" s="3">
        <v>99.99</v>
      </c>
      <c r="S159" s="14" t="s">
        <v>1038</v>
      </c>
      <c r="T159" s="14" t="s">
        <v>1038</v>
      </c>
      <c r="U159" s="3"/>
      <c r="V159" s="3"/>
      <c r="W159" s="3"/>
      <c r="X159" s="3"/>
      <c r="Y159" s="3"/>
    </row>
    <row r="160" s="1" customFormat="1" customHeight="1" spans="1:25">
      <c r="A160" s="3"/>
      <c r="B160" s="3"/>
      <c r="C160" s="1" t="s">
        <v>1039</v>
      </c>
      <c r="D160" s="1" t="s">
        <v>1040</v>
      </c>
      <c r="E160" s="1">
        <v>4</v>
      </c>
      <c r="F160" s="1" t="s">
        <v>1041</v>
      </c>
      <c r="G160" s="1" t="s">
        <v>1042</v>
      </c>
      <c r="H160" s="8" t="s">
        <v>1043</v>
      </c>
      <c r="I160" s="1" t="s">
        <v>1044</v>
      </c>
      <c r="J160" s="1" t="s">
        <v>1045</v>
      </c>
      <c r="K160" s="1" t="s">
        <v>1046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3">
        <f t="shared" si="47"/>
        <v>124</v>
      </c>
      <c r="Q160" s="3">
        <f t="shared" si="37"/>
        <v>206</v>
      </c>
      <c r="R160" s="3">
        <v>99.99</v>
      </c>
      <c r="S160" s="14" t="s">
        <v>1047</v>
      </c>
      <c r="T160" s="14" t="s">
        <v>1047</v>
      </c>
      <c r="U160" s="3"/>
      <c r="V160" s="3"/>
      <c r="W160" s="3"/>
      <c r="X160" s="3"/>
      <c r="Y160" s="3"/>
    </row>
    <row r="161" s="1" customFormat="1" customHeight="1" spans="1:25">
      <c r="A161" s="3"/>
      <c r="B161" s="3"/>
      <c r="C161" s="1" t="s">
        <v>1048</v>
      </c>
      <c r="D161" s="1" t="s">
        <v>1049</v>
      </c>
      <c r="E161" s="1">
        <v>4</v>
      </c>
      <c r="F161" s="1" t="s">
        <v>1050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3">
        <f t="shared" si="47"/>
        <v>127</v>
      </c>
      <c r="Q161" s="3">
        <f t="shared" si="37"/>
        <v>210</v>
      </c>
      <c r="R161" s="3">
        <v>99.99</v>
      </c>
      <c r="S161" s="14" t="s">
        <v>803</v>
      </c>
      <c r="T161" s="14" t="s">
        <v>803</v>
      </c>
      <c r="U161" s="3"/>
      <c r="V161" s="3"/>
      <c r="W161" s="3"/>
      <c r="X161" s="3"/>
      <c r="Y161" s="3"/>
    </row>
    <row r="162" s="1" customFormat="1" customHeight="1" spans="1:25">
      <c r="A162" s="3"/>
      <c r="B162" s="3"/>
      <c r="C162" s="1" t="s">
        <v>1051</v>
      </c>
      <c r="D162" s="1" t="s">
        <v>1052</v>
      </c>
      <c r="E162" s="1">
        <v>4</v>
      </c>
      <c r="F162" s="1" t="s">
        <v>1053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3">
        <f t="shared" si="47"/>
        <v>130</v>
      </c>
      <c r="Q162" s="3">
        <f t="shared" si="37"/>
        <v>214</v>
      </c>
      <c r="R162" s="3">
        <v>99.99</v>
      </c>
      <c r="S162" s="14" t="s">
        <v>809</v>
      </c>
      <c r="T162" s="14" t="s">
        <v>809</v>
      </c>
      <c r="U162" s="3"/>
      <c r="V162" s="3"/>
      <c r="W162" s="3"/>
      <c r="X162" s="3"/>
      <c r="Y162" s="3"/>
    </row>
    <row r="163" s="1" customFormat="1" customHeight="1" spans="1:25">
      <c r="A163" s="3"/>
      <c r="B163" s="3"/>
      <c r="C163" s="1" t="s">
        <v>1054</v>
      </c>
      <c r="D163" s="1" t="s">
        <v>1055</v>
      </c>
      <c r="E163" s="1">
        <v>4</v>
      </c>
      <c r="F163" s="1" t="s">
        <v>1056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3">
        <f t="shared" si="47"/>
        <v>133</v>
      </c>
      <c r="Q163" s="3">
        <f t="shared" si="37"/>
        <v>218</v>
      </c>
      <c r="R163" s="3">
        <v>99.99</v>
      </c>
      <c r="S163" s="14" t="s">
        <v>815</v>
      </c>
      <c r="T163" s="14" t="s">
        <v>815</v>
      </c>
      <c r="U163" s="3"/>
      <c r="V163" s="3"/>
      <c r="W163" s="3"/>
      <c r="X163" s="3"/>
      <c r="Y163" s="3"/>
    </row>
    <row r="164" s="1" customFormat="1" customHeight="1" spans="1:25">
      <c r="A164" s="3"/>
      <c r="B164" s="3"/>
      <c r="C164" s="1" t="s">
        <v>1057</v>
      </c>
      <c r="D164" s="1" t="s">
        <v>1058</v>
      </c>
      <c r="E164" s="1">
        <v>4</v>
      </c>
      <c r="F164" s="1" t="s">
        <v>1059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3">
        <f t="shared" si="47"/>
        <v>136</v>
      </c>
      <c r="Q164" s="3">
        <f t="shared" si="37"/>
        <v>222</v>
      </c>
      <c r="R164" s="3">
        <v>99.99</v>
      </c>
      <c r="S164" s="14" t="s">
        <v>821</v>
      </c>
      <c r="T164" s="14" t="s">
        <v>821</v>
      </c>
      <c r="U164" s="3"/>
      <c r="V164" s="3"/>
      <c r="W164" s="3"/>
      <c r="X164" s="3"/>
      <c r="Y164" s="3"/>
    </row>
    <row r="165" s="1" customFormat="1" customHeight="1" spans="1:25">
      <c r="A165" s="3"/>
      <c r="B165" s="3"/>
      <c r="C165" s="1" t="s">
        <v>1060</v>
      </c>
      <c r="D165" s="1" t="s">
        <v>1061</v>
      </c>
      <c r="E165" s="1">
        <v>4</v>
      </c>
      <c r="F165" s="1" t="s">
        <v>1062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3">
        <f t="shared" si="47"/>
        <v>139</v>
      </c>
      <c r="Q165" s="3">
        <f t="shared" si="37"/>
        <v>226</v>
      </c>
      <c r="R165" s="3">
        <v>99.99</v>
      </c>
      <c r="S165" s="14" t="s">
        <v>827</v>
      </c>
      <c r="T165" s="14" t="s">
        <v>827</v>
      </c>
      <c r="U165" s="3"/>
      <c r="V165" s="3"/>
      <c r="W165" s="3"/>
      <c r="X165" s="3"/>
      <c r="Y165" s="3"/>
    </row>
    <row r="166" customHeight="1" spans="3:20">
      <c r="C166" s="1" t="s">
        <v>1063</v>
      </c>
      <c r="D166" s="1" t="s">
        <v>1064</v>
      </c>
      <c r="E166" s="1">
        <v>4</v>
      </c>
      <c r="F166" s="1" t="s">
        <v>1065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3">
        <f t="shared" si="47"/>
        <v>142</v>
      </c>
      <c r="Q166" s="3">
        <f t="shared" si="37"/>
        <v>230</v>
      </c>
      <c r="R166" s="3">
        <v>99.99</v>
      </c>
      <c r="S166" s="14" t="s">
        <v>833</v>
      </c>
      <c r="T166" s="14" t="s">
        <v>833</v>
      </c>
    </row>
    <row r="167" customHeight="1" spans="3:20">
      <c r="C167" s="1" t="s">
        <v>1066</v>
      </c>
      <c r="D167" s="1" t="s">
        <v>1067</v>
      </c>
      <c r="E167" s="1">
        <v>4</v>
      </c>
      <c r="F167" s="1" t="s">
        <v>1068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3">
        <f t="shared" si="47"/>
        <v>145</v>
      </c>
      <c r="Q167" s="3">
        <f t="shared" si="37"/>
        <v>234</v>
      </c>
      <c r="R167" s="3">
        <v>99.99</v>
      </c>
      <c r="S167" s="14" t="s">
        <v>839</v>
      </c>
      <c r="T167" s="14" t="s">
        <v>839</v>
      </c>
    </row>
    <row r="168" customHeight="1" spans="3:20">
      <c r="C168" s="1" t="s">
        <v>1069</v>
      </c>
      <c r="D168" s="1" t="s">
        <v>1070</v>
      </c>
      <c r="E168" s="1">
        <v>4</v>
      </c>
      <c r="F168" s="1" t="s">
        <v>1071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3">
        <f t="shared" si="47"/>
        <v>148</v>
      </c>
      <c r="Q168" s="3">
        <f t="shared" si="37"/>
        <v>238</v>
      </c>
      <c r="R168" s="3">
        <v>99.99</v>
      </c>
      <c r="S168" s="14" t="s">
        <v>845</v>
      </c>
      <c r="T168" s="14" t="s">
        <v>845</v>
      </c>
    </row>
    <row r="169" customHeight="1" spans="3:20">
      <c r="C169" s="1" t="s">
        <v>1072</v>
      </c>
      <c r="D169" s="1" t="s">
        <v>1073</v>
      </c>
      <c r="E169" s="1">
        <v>4</v>
      </c>
      <c r="F169" s="1" t="s">
        <v>1074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3">
        <f t="shared" si="47"/>
        <v>151</v>
      </c>
      <c r="Q169" s="3">
        <f t="shared" si="37"/>
        <v>242</v>
      </c>
      <c r="R169" s="3">
        <v>99.99</v>
      </c>
      <c r="S169" s="14" t="s">
        <v>851</v>
      </c>
      <c r="T169" s="14" t="s">
        <v>851</v>
      </c>
    </row>
    <row r="170" customHeight="1" spans="3:20">
      <c r="C170" s="1" t="s">
        <v>1075</v>
      </c>
      <c r="D170" s="1" t="s">
        <v>1076</v>
      </c>
      <c r="E170" s="1">
        <v>4</v>
      </c>
      <c r="F170" s="1" t="s">
        <v>1077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3">
        <f t="shared" si="47"/>
        <v>154</v>
      </c>
      <c r="Q170" s="3">
        <f t="shared" si="37"/>
        <v>246</v>
      </c>
      <c r="R170" s="3">
        <v>99.99</v>
      </c>
      <c r="S170" s="14" t="s">
        <v>857</v>
      </c>
      <c r="T170" s="14" t="s">
        <v>857</v>
      </c>
    </row>
    <row r="171" customHeight="1" spans="3:20">
      <c r="C171" s="1" t="s">
        <v>1078</v>
      </c>
      <c r="D171" s="1" t="s">
        <v>1079</v>
      </c>
      <c r="E171" s="1">
        <v>4</v>
      </c>
      <c r="F171" s="1" t="s">
        <v>1080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3">
        <f t="shared" si="47"/>
        <v>157</v>
      </c>
      <c r="Q171" s="3">
        <f t="shared" si="37"/>
        <v>250</v>
      </c>
      <c r="R171" s="3">
        <v>99.99</v>
      </c>
      <c r="S171" s="14" t="s">
        <v>863</v>
      </c>
      <c r="T171" s="14" t="s">
        <v>863</v>
      </c>
    </row>
    <row r="172" customHeight="1" spans="3:20">
      <c r="C172" s="1" t="s">
        <v>1081</v>
      </c>
      <c r="D172" s="1" t="s">
        <v>1082</v>
      </c>
      <c r="E172" s="1">
        <v>4</v>
      </c>
      <c r="F172" s="1" t="s">
        <v>1083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3">
        <f t="shared" si="47"/>
        <v>160</v>
      </c>
      <c r="Q172" s="3">
        <f t="shared" si="37"/>
        <v>254</v>
      </c>
      <c r="R172" s="3">
        <v>99.99</v>
      </c>
      <c r="S172" s="14" t="s">
        <v>869</v>
      </c>
      <c r="T172" s="14" t="s">
        <v>869</v>
      </c>
    </row>
    <row r="173" customHeight="1" spans="3:20">
      <c r="C173" s="1" t="s">
        <v>1084</v>
      </c>
      <c r="D173" s="1" t="s">
        <v>1085</v>
      </c>
      <c r="E173" s="1">
        <v>4</v>
      </c>
      <c r="F173" s="1" t="s">
        <v>1086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3">
        <f t="shared" si="47"/>
        <v>163</v>
      </c>
      <c r="Q173" s="3">
        <f t="shared" si="37"/>
        <v>258</v>
      </c>
      <c r="R173" s="3">
        <v>99.99</v>
      </c>
      <c r="S173" s="14" t="s">
        <v>875</v>
      </c>
      <c r="T173" s="14" t="s">
        <v>875</v>
      </c>
    </row>
    <row r="174" customHeight="1" spans="3:20">
      <c r="C174" s="1" t="s">
        <v>1087</v>
      </c>
      <c r="D174" s="1" t="s">
        <v>1088</v>
      </c>
      <c r="E174" s="1">
        <v>4</v>
      </c>
      <c r="F174" s="1" t="s">
        <v>1089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3">
        <f t="shared" si="47"/>
        <v>166</v>
      </c>
      <c r="Q174" s="3">
        <f t="shared" si="37"/>
        <v>262</v>
      </c>
      <c r="R174" s="3">
        <v>99.99</v>
      </c>
      <c r="S174" s="14" t="s">
        <v>881</v>
      </c>
      <c r="T174" s="14" t="s">
        <v>881</v>
      </c>
    </row>
    <row r="175" customHeight="1" spans="3:20">
      <c r="C175" s="1" t="s">
        <v>1090</v>
      </c>
      <c r="D175" s="1" t="s">
        <v>1091</v>
      </c>
      <c r="E175" s="1">
        <v>4</v>
      </c>
      <c r="F175" s="1" t="s">
        <v>1092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3">
        <f t="shared" si="47"/>
        <v>169</v>
      </c>
      <c r="Q175" s="3">
        <f t="shared" si="37"/>
        <v>266</v>
      </c>
      <c r="R175" s="3">
        <v>99.99</v>
      </c>
      <c r="S175" s="14" t="s">
        <v>887</v>
      </c>
      <c r="T175" s="14" t="s">
        <v>887</v>
      </c>
    </row>
    <row r="176" s="1" customFormat="1" customHeight="1" spans="1:25">
      <c r="A176" s="3"/>
      <c r="B176" s="3"/>
      <c r="C176" s="1" t="s">
        <v>1093</v>
      </c>
      <c r="D176" s="1" t="s">
        <v>1094</v>
      </c>
      <c r="E176" s="1">
        <v>4</v>
      </c>
      <c r="F176" s="1" t="s">
        <v>1095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3">
        <f t="shared" si="47"/>
        <v>172</v>
      </c>
      <c r="Q176" s="3">
        <f t="shared" si="37"/>
        <v>270</v>
      </c>
      <c r="R176" s="3">
        <v>99.99</v>
      </c>
      <c r="S176" s="14" t="s">
        <v>893</v>
      </c>
      <c r="T176" s="14" t="s">
        <v>893</v>
      </c>
      <c r="U176" s="3"/>
      <c r="V176" s="3"/>
      <c r="W176" s="3"/>
      <c r="X176" s="3"/>
      <c r="Y176" s="3"/>
    </row>
    <row r="177" s="1" customFormat="1" customHeight="1" spans="1:25">
      <c r="A177" s="3"/>
      <c r="B177" s="3"/>
      <c r="C177" s="1" t="s">
        <v>1096</v>
      </c>
      <c r="D177" s="1" t="s">
        <v>1097</v>
      </c>
      <c r="E177" s="1">
        <v>4</v>
      </c>
      <c r="F177" s="1" t="s">
        <v>1098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3">
        <f t="shared" si="47"/>
        <v>175</v>
      </c>
      <c r="Q177" s="3">
        <f t="shared" si="37"/>
        <v>274</v>
      </c>
      <c r="R177" s="3">
        <v>99.99</v>
      </c>
      <c r="S177" s="14" t="s">
        <v>899</v>
      </c>
      <c r="T177" s="14" t="s">
        <v>899</v>
      </c>
      <c r="U177" s="3"/>
      <c r="V177" s="3"/>
      <c r="W177" s="3"/>
      <c r="X177" s="3"/>
      <c r="Y177" s="3"/>
    </row>
    <row r="178" s="1" customFormat="1" customHeight="1" spans="1:25">
      <c r="A178" s="3"/>
      <c r="B178" s="3"/>
      <c r="C178" s="1" t="s">
        <v>1099</v>
      </c>
      <c r="D178" s="1" t="s">
        <v>1100</v>
      </c>
      <c r="E178" s="1">
        <v>4</v>
      </c>
      <c r="F178" s="1" t="s">
        <v>1101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3">
        <f t="shared" si="47"/>
        <v>178</v>
      </c>
      <c r="Q178" s="3">
        <f t="shared" si="37"/>
        <v>278</v>
      </c>
      <c r="R178" s="3">
        <v>99.99</v>
      </c>
      <c r="S178" s="14" t="s">
        <v>905</v>
      </c>
      <c r="T178" s="14" t="s">
        <v>905</v>
      </c>
      <c r="U178" s="3"/>
      <c r="V178" s="3"/>
      <c r="W178" s="3"/>
      <c r="X178" s="3"/>
      <c r="Y178" s="3"/>
    </row>
    <row r="179" s="1" customFormat="1" customHeight="1" spans="1:25">
      <c r="A179" s="3"/>
      <c r="B179" s="3"/>
      <c r="C179" s="1" t="s">
        <v>1102</v>
      </c>
      <c r="D179" s="1" t="s">
        <v>1103</v>
      </c>
      <c r="E179" s="1">
        <v>4</v>
      </c>
      <c r="F179" s="1" t="s">
        <v>1104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3">
        <f t="shared" si="47"/>
        <v>181</v>
      </c>
      <c r="Q179" s="3">
        <f t="shared" si="37"/>
        <v>282</v>
      </c>
      <c r="R179" s="3">
        <v>99.99</v>
      </c>
      <c r="S179" s="14" t="s">
        <v>911</v>
      </c>
      <c r="T179" s="14" t="s">
        <v>911</v>
      </c>
      <c r="U179" s="3"/>
      <c r="V179" s="3"/>
      <c r="W179" s="3"/>
      <c r="X179" s="3"/>
      <c r="Y179" s="3"/>
    </row>
    <row r="180" s="1" customFormat="1" customHeight="1" spans="1:25">
      <c r="A180" s="3"/>
      <c r="B180" s="3"/>
      <c r="C180" s="1" t="s">
        <v>1105</v>
      </c>
      <c r="D180" s="1" t="s">
        <v>1106</v>
      </c>
      <c r="E180" s="1">
        <v>4</v>
      </c>
      <c r="F180" s="1" t="s">
        <v>1107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3">
        <f t="shared" si="47"/>
        <v>184</v>
      </c>
      <c r="Q180" s="3">
        <f t="shared" si="37"/>
        <v>286</v>
      </c>
      <c r="R180" s="3">
        <v>99.99</v>
      </c>
      <c r="S180" s="14" t="s">
        <v>917</v>
      </c>
      <c r="T180" s="14" t="s">
        <v>917</v>
      </c>
      <c r="U180" s="3"/>
      <c r="V180" s="3"/>
      <c r="W180" s="3"/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2025-04-22T01:53:03Z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
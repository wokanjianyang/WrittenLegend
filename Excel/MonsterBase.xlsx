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1"/>
  </bookViews>
  <sheets>
    <sheet name="生成配置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<sst xmlns="http://schemas.openxmlformats.org/spreadsheetml/2006/main" count="2460" uniqueCount="1729">
  <si>
    <t>ID</t>
  </si>
  <si>
    <t>所属地图</t>
  </si>
  <si>
    <t>Layer</t>
  </si>
  <si>
    <t>名称</t>
  </si>
  <si>
    <t>攻击</t>
  </si>
  <si>
    <t>防御</t>
  </si>
  <si>
    <t>生命</t>
  </si>
  <si>
    <t>Strong</t>
  </si>
  <si>
    <t>Parry</t>
  </si>
  <si>
    <t>DamageMul</t>
  </si>
  <si>
    <t>DamageIncrea</t>
  </si>
  <si>
    <t>DamageResist</t>
  </si>
  <si>
    <t>CritRate</t>
  </si>
  <si>
    <t>CritDamage</t>
  </si>
  <si>
    <t>Speed</t>
  </si>
  <si>
    <t>Miss</t>
  </si>
  <si>
    <t>Accuracy</t>
  </si>
  <si>
    <t>Protect</t>
  </si>
  <si>
    <t>经验</t>
  </si>
  <si>
    <t>掉落金币</t>
  </si>
  <si>
    <t>Id</t>
  </si>
  <si>
    <t>MapId</t>
  </si>
  <si>
    <t>Name</t>
  </si>
  <si>
    <t>Attr</t>
  </si>
  <si>
    <t>Def</t>
  </si>
  <si>
    <t>HP</t>
  </si>
  <si>
    <t>Exp</t>
  </si>
  <si>
    <t>Gold</t>
  </si>
  <si>
    <t>int</t>
  </si>
  <si>
    <t>string</t>
  </si>
  <si>
    <t>double</t>
  </si>
  <si>
    <t>long</t>
  </si>
  <si>
    <t>10001</t>
  </si>
  <si>
    <t>1000</t>
  </si>
  <si>
    <t>鸡</t>
  </si>
  <si>
    <t>5</t>
  </si>
  <si>
    <t>0</t>
  </si>
  <si>
    <t>500</t>
  </si>
  <si>
    <t>100</t>
  </si>
  <si>
    <t>10002</t>
  </si>
  <si>
    <t>1001</t>
  </si>
  <si>
    <t>鹿</t>
  </si>
  <si>
    <t>5000</t>
  </si>
  <si>
    <t>10003</t>
  </si>
  <si>
    <t>1002</t>
  </si>
  <si>
    <t>草人</t>
  </si>
  <si>
    <t>2000</t>
  </si>
  <si>
    <t>400</t>
  </si>
  <si>
    <t>20000</t>
  </si>
  <si>
    <t>10004</t>
  </si>
  <si>
    <t>1003</t>
  </si>
  <si>
    <t>野猫</t>
  </si>
  <si>
    <t>50000</t>
  </si>
  <si>
    <t>10005</t>
  </si>
  <si>
    <t>1004</t>
  </si>
  <si>
    <t>食人花</t>
  </si>
  <si>
    <t>10000</t>
  </si>
  <si>
    <t>100000</t>
  </si>
  <si>
    <t>10006</t>
  </si>
  <si>
    <t>1005</t>
  </si>
  <si>
    <t>雪人</t>
  </si>
  <si>
    <t>14065</t>
  </si>
  <si>
    <t>2813</t>
  </si>
  <si>
    <t>140650</t>
  </si>
  <si>
    <t>30000</t>
  </si>
  <si>
    <t>10007</t>
  </si>
  <si>
    <t>1006</t>
  </si>
  <si>
    <t>蝙蝠</t>
  </si>
  <si>
    <t>19783</t>
  </si>
  <si>
    <t>3956</t>
  </si>
  <si>
    <t>197830</t>
  </si>
  <si>
    <t>60000</t>
  </si>
  <si>
    <t>10008</t>
  </si>
  <si>
    <t>1007</t>
  </si>
  <si>
    <t>骷髅</t>
  </si>
  <si>
    <t>27826</t>
  </si>
  <si>
    <t>5565</t>
  </si>
  <si>
    <t>278260</t>
  </si>
  <si>
    <t>10009</t>
  </si>
  <si>
    <t>1008</t>
  </si>
  <si>
    <t>僵尸</t>
  </si>
  <si>
    <t>39137</t>
  </si>
  <si>
    <t>7827</t>
  </si>
  <si>
    <t>391370</t>
  </si>
  <si>
    <t>150000</t>
  </si>
  <si>
    <t>10010</t>
  </si>
  <si>
    <t>1009</t>
  </si>
  <si>
    <t>毒蛇</t>
  </si>
  <si>
    <t>55048</t>
  </si>
  <si>
    <t>11009</t>
  </si>
  <si>
    <t>550480</t>
  </si>
  <si>
    <t>210000</t>
  </si>
  <si>
    <t>10011</t>
  </si>
  <si>
    <t>1010</t>
  </si>
  <si>
    <t>野狼</t>
  </si>
  <si>
    <t>77426</t>
  </si>
  <si>
    <t>15485</t>
  </si>
  <si>
    <t>774260</t>
  </si>
  <si>
    <t>280000</t>
  </si>
  <si>
    <t>10012</t>
  </si>
  <si>
    <t>1011</t>
  </si>
  <si>
    <t>沙虫</t>
  </si>
  <si>
    <t>108902</t>
  </si>
  <si>
    <t>21780</t>
  </si>
  <si>
    <t>1089020</t>
  </si>
  <si>
    <t>360000</t>
  </si>
  <si>
    <t>10013</t>
  </si>
  <si>
    <t>1012</t>
  </si>
  <si>
    <t>小鹰</t>
  </si>
  <si>
    <t>153174</t>
  </si>
  <si>
    <t>30634</t>
  </si>
  <si>
    <t>1531740</t>
  </si>
  <si>
    <t>450000</t>
  </si>
  <si>
    <t>10014</t>
  </si>
  <si>
    <t>1013</t>
  </si>
  <si>
    <t>角虫</t>
  </si>
  <si>
    <t>215443</t>
  </si>
  <si>
    <t>43088</t>
  </si>
  <si>
    <t>2154430</t>
  </si>
  <si>
    <t>550000</t>
  </si>
  <si>
    <t>10015</t>
  </si>
  <si>
    <t>1014</t>
  </si>
  <si>
    <t>蜈蚣</t>
  </si>
  <si>
    <t>303027</t>
  </si>
  <si>
    <t>60605</t>
  </si>
  <si>
    <t>3030270</t>
  </si>
  <si>
    <t>660000</t>
  </si>
  <si>
    <t>10016</t>
  </si>
  <si>
    <t>1015</t>
  </si>
  <si>
    <t>钳虫</t>
  </si>
  <si>
    <t>426216</t>
  </si>
  <si>
    <t>85243</t>
  </si>
  <si>
    <t>4262160</t>
  </si>
  <si>
    <t>780000</t>
  </si>
  <si>
    <t>10017</t>
  </si>
  <si>
    <t>1016</t>
  </si>
  <si>
    <t>蠕虫</t>
  </si>
  <si>
    <t>599484</t>
  </si>
  <si>
    <t>119896</t>
  </si>
  <si>
    <t>5994840</t>
  </si>
  <si>
    <t>910000</t>
  </si>
  <si>
    <t>10018</t>
  </si>
  <si>
    <t>1017</t>
  </si>
  <si>
    <t>黑野猪</t>
  </si>
  <si>
    <t>843191</t>
  </si>
  <si>
    <t>168638</t>
  </si>
  <si>
    <t>8431910</t>
  </si>
  <si>
    <t>1050000</t>
  </si>
  <si>
    <t>10019</t>
  </si>
  <si>
    <t>1018</t>
  </si>
  <si>
    <t>白野猪</t>
  </si>
  <si>
    <t>1185971</t>
  </si>
  <si>
    <t>237194</t>
  </si>
  <si>
    <t>11859710</t>
  </si>
  <si>
    <t>1200000</t>
  </si>
  <si>
    <t>10020</t>
  </si>
  <si>
    <t>1019</t>
  </si>
  <si>
    <t>蝎蛇</t>
  </si>
  <si>
    <t>1668101</t>
  </si>
  <si>
    <t>333620</t>
  </si>
  <si>
    <t>16681010</t>
  </si>
  <si>
    <t>1360000</t>
  </si>
  <si>
    <t>10021</t>
  </si>
  <si>
    <t>1020</t>
  </si>
  <si>
    <t>火焰恶魔</t>
  </si>
  <si>
    <t>2346229</t>
  </si>
  <si>
    <t>469245</t>
  </si>
  <si>
    <t>23462290</t>
  </si>
  <si>
    <t>1759499</t>
  </si>
  <si>
    <t>10022</t>
  </si>
  <si>
    <t>1021</t>
  </si>
  <si>
    <t>恶魔勇士</t>
  </si>
  <si>
    <t>3300035</t>
  </si>
  <si>
    <t>660007</t>
  </si>
  <si>
    <t>33000350</t>
  </si>
  <si>
    <t>2223000</t>
  </si>
  <si>
    <t>10023</t>
  </si>
  <si>
    <t>1022</t>
  </si>
  <si>
    <t>邪魔雕像</t>
  </si>
  <si>
    <t>4641589</t>
  </si>
  <si>
    <t>928317</t>
  </si>
  <si>
    <t>46415890</t>
  </si>
  <si>
    <t>2755000</t>
  </si>
  <si>
    <t>10024</t>
  </si>
  <si>
    <t>1023</t>
  </si>
  <si>
    <t>邪魔卫士</t>
  </si>
  <si>
    <t>6528521</t>
  </si>
  <si>
    <t>1305704</t>
  </si>
  <si>
    <t>65285210</t>
  </si>
  <si>
    <t>3360000</t>
  </si>
  <si>
    <t>10025</t>
  </si>
  <si>
    <t>1024</t>
  </si>
  <si>
    <t>红野猪</t>
  </si>
  <si>
    <t>9182543</t>
  </si>
  <si>
    <t>1836508</t>
  </si>
  <si>
    <t>91825430</t>
  </si>
  <si>
    <t>4042500</t>
  </si>
  <si>
    <t>10026</t>
  </si>
  <si>
    <t>1025</t>
  </si>
  <si>
    <t>树妖</t>
  </si>
  <si>
    <t>12915497</t>
  </si>
  <si>
    <t>2583099</t>
  </si>
  <si>
    <t>129154970</t>
  </si>
  <si>
    <t>4807000</t>
  </si>
  <si>
    <t>10027</t>
  </si>
  <si>
    <t>1026</t>
  </si>
  <si>
    <t>邪魔侍卫</t>
  </si>
  <si>
    <t>18165998</t>
  </si>
  <si>
    <t>3633199</t>
  </si>
  <si>
    <t>181659980</t>
  </si>
  <si>
    <t>5657999</t>
  </si>
  <si>
    <t>10028</t>
  </si>
  <si>
    <t>1027</t>
  </si>
  <si>
    <t>剧毒僵尸</t>
  </si>
  <si>
    <t>25550971</t>
  </si>
  <si>
    <t>5110194</t>
  </si>
  <si>
    <t>255509710</t>
  </si>
  <si>
    <t>6600000</t>
  </si>
  <si>
    <t>10029</t>
  </si>
  <si>
    <t>1028</t>
  </si>
  <si>
    <t>骷髅锤兵</t>
  </si>
  <si>
    <t>35938137</t>
  </si>
  <si>
    <t>7187627</t>
  </si>
  <si>
    <t>359381370</t>
  </si>
  <si>
    <t>7637499</t>
  </si>
  <si>
    <t>10030</t>
  </si>
  <si>
    <t>1029</t>
  </si>
  <si>
    <t>牛魔将军</t>
  </si>
  <si>
    <t>50547968</t>
  </si>
  <si>
    <t>10109593</t>
  </si>
  <si>
    <t>505479680</t>
  </si>
  <si>
    <t>8775000</t>
  </si>
  <si>
    <t>10031</t>
  </si>
  <si>
    <t>1030</t>
  </si>
  <si>
    <t>水龙</t>
  </si>
  <si>
    <t>71097094</t>
  </si>
  <si>
    <t>14219418</t>
  </si>
  <si>
    <t>710970940</t>
  </si>
  <si>
    <t>10017000</t>
  </si>
  <si>
    <t>10032</t>
  </si>
  <si>
    <t>1031</t>
  </si>
  <si>
    <t>土龙</t>
  </si>
  <si>
    <t>100000000</t>
  </si>
  <si>
    <t>20000000</t>
  </si>
  <si>
    <t>1000000000</t>
  </si>
  <si>
    <t>11368000</t>
  </si>
  <si>
    <t>10033</t>
  </si>
  <si>
    <t>1032</t>
  </si>
  <si>
    <t>毒龙</t>
  </si>
  <si>
    <t>140652724</t>
  </si>
  <si>
    <t>28130544</t>
  </si>
  <si>
    <t>1406527240</t>
  </si>
  <si>
    <t>12832500</t>
  </si>
  <si>
    <t>10034</t>
  </si>
  <si>
    <t>1033</t>
  </si>
  <si>
    <t>火龙</t>
  </si>
  <si>
    <t>197831888</t>
  </si>
  <si>
    <t>39566377</t>
  </si>
  <si>
    <t>1978318880</t>
  </si>
  <si>
    <t>14415000</t>
  </si>
  <si>
    <t>10035</t>
  </si>
  <si>
    <t>1034</t>
  </si>
  <si>
    <t>冰龙</t>
  </si>
  <si>
    <t>278255940</t>
  </si>
  <si>
    <t>55651188</t>
  </si>
  <si>
    <t>2782559400</t>
  </si>
  <si>
    <t>16120000</t>
  </si>
  <si>
    <t>10036</t>
  </si>
  <si>
    <t>1035</t>
  </si>
  <si>
    <t>幻影鸡</t>
  </si>
  <si>
    <t>391370000</t>
  </si>
  <si>
    <t>78274000</t>
  </si>
  <si>
    <t>3913700000</t>
  </si>
  <si>
    <t>17952000</t>
  </si>
  <si>
    <t>10037</t>
  </si>
  <si>
    <t>1036</t>
  </si>
  <si>
    <t>幻影鹿</t>
  </si>
  <si>
    <t>550470000</t>
  </si>
  <si>
    <t>110094000</t>
  </si>
  <si>
    <t>5504700000</t>
  </si>
  <si>
    <t>19915500</t>
  </si>
  <si>
    <t>10038</t>
  </si>
  <si>
    <t>1037</t>
  </si>
  <si>
    <t>幻影草人</t>
  </si>
  <si>
    <t>774260000</t>
  </si>
  <si>
    <t>154852000</t>
  </si>
  <si>
    <t>7742600000</t>
  </si>
  <si>
    <t>22015000</t>
  </si>
  <si>
    <t>10039</t>
  </si>
  <si>
    <t>1038</t>
  </si>
  <si>
    <t>幻影猫</t>
  </si>
  <si>
    <t>1089020000</t>
  </si>
  <si>
    <t>217804000</t>
  </si>
  <si>
    <t>10890200000</t>
  </si>
  <si>
    <t>24255000</t>
  </si>
  <si>
    <t>10040</t>
  </si>
  <si>
    <t>1039</t>
  </si>
  <si>
    <t>幻影花</t>
  </si>
  <si>
    <t>1531740000</t>
  </si>
  <si>
    <t>306348000</t>
  </si>
  <si>
    <t>15317400000</t>
  </si>
  <si>
    <t>26640000</t>
  </si>
  <si>
    <t>10041</t>
  </si>
  <si>
    <t>1040</t>
  </si>
  <si>
    <t>幻影雪人</t>
  </si>
  <si>
    <t>2154430000</t>
  </si>
  <si>
    <t>430886000</t>
  </si>
  <si>
    <t>21544300000</t>
  </si>
  <si>
    <t>30710000</t>
  </si>
  <si>
    <t>10042</t>
  </si>
  <si>
    <t>1041</t>
  </si>
  <si>
    <t>幻影蝙蝠</t>
  </si>
  <si>
    <t>3030270000</t>
  </si>
  <si>
    <t>606054000</t>
  </si>
  <si>
    <t>30302700000</t>
  </si>
  <si>
    <t>35088000</t>
  </si>
  <si>
    <t>10043</t>
  </si>
  <si>
    <t>1042</t>
  </si>
  <si>
    <t>幻影骷髅</t>
  </si>
  <si>
    <t>4262150000</t>
  </si>
  <si>
    <t>852430000</t>
  </si>
  <si>
    <t>42621500000</t>
  </si>
  <si>
    <t>39782999</t>
  </si>
  <si>
    <t>10044</t>
  </si>
  <si>
    <t>1043</t>
  </si>
  <si>
    <t>幻影僵尸</t>
  </si>
  <si>
    <t>5994840000</t>
  </si>
  <si>
    <t>1198968000</t>
  </si>
  <si>
    <t>59948400000</t>
  </si>
  <si>
    <t>44804000</t>
  </si>
  <si>
    <t>10045</t>
  </si>
  <si>
    <t>1044</t>
  </si>
  <si>
    <t>幻影毒蛇</t>
  </si>
  <si>
    <t>8431900000</t>
  </si>
  <si>
    <t>1686380000</t>
  </si>
  <si>
    <t>84319000000</t>
  </si>
  <si>
    <t>50160000</t>
  </si>
  <si>
    <t>10046</t>
  </si>
  <si>
    <t>1045</t>
  </si>
  <si>
    <t>幻影野狼</t>
  </si>
  <si>
    <t>11859710000</t>
  </si>
  <si>
    <t>2371942000</t>
  </si>
  <si>
    <t>168638000000</t>
  </si>
  <si>
    <t>57918000</t>
  </si>
  <si>
    <t>10047</t>
  </si>
  <si>
    <t>1046</t>
  </si>
  <si>
    <t>幻影沙虫</t>
  </si>
  <si>
    <t>16681000000</t>
  </si>
  <si>
    <t>3336200000</t>
  </si>
  <si>
    <t>337276000000</t>
  </si>
  <si>
    <t>66205500</t>
  </si>
  <si>
    <t>10048</t>
  </si>
  <si>
    <t>1047</t>
  </si>
  <si>
    <t>幻影小鹰</t>
  </si>
  <si>
    <t>23462280000</t>
  </si>
  <si>
    <t>4692456000</t>
  </si>
  <si>
    <t>674552000000</t>
  </si>
  <si>
    <t>75036000</t>
  </si>
  <si>
    <t>10049</t>
  </si>
  <si>
    <t>1048</t>
  </si>
  <si>
    <t>幻影角虫</t>
  </si>
  <si>
    <t>33000340000</t>
  </si>
  <si>
    <t>6600068000</t>
  </si>
  <si>
    <t>1349104000000</t>
  </si>
  <si>
    <t>84423000</t>
  </si>
  <si>
    <t>10050</t>
  </si>
  <si>
    <t>1049</t>
  </si>
  <si>
    <t>幻影蜈蚣</t>
  </si>
  <si>
    <t>46415880000</t>
  </si>
  <si>
    <t>9283176000</t>
  </si>
  <si>
    <t>2698208000000</t>
  </si>
  <si>
    <t>94380000</t>
  </si>
  <si>
    <t>10051</t>
  </si>
  <si>
    <t>1050</t>
  </si>
  <si>
    <t>幻影钳虫</t>
  </si>
  <si>
    <t>65285210000</t>
  </si>
  <si>
    <t>13057042000</t>
  </si>
  <si>
    <t>5396416000000</t>
  </si>
  <si>
    <t>104920499</t>
  </si>
  <si>
    <t>10052</t>
  </si>
  <si>
    <t>1051</t>
  </si>
  <si>
    <t>幻影蠕虫</t>
  </si>
  <si>
    <t>91825420000</t>
  </si>
  <si>
    <t>18365084000</t>
  </si>
  <si>
    <t>10792832000000</t>
  </si>
  <si>
    <t>116058000</t>
  </si>
  <si>
    <t>10053</t>
  </si>
  <si>
    <t>1052</t>
  </si>
  <si>
    <t>幻影黑猪</t>
  </si>
  <si>
    <t>129154960000</t>
  </si>
  <si>
    <t>25830992000</t>
  </si>
  <si>
    <t>21585664000000</t>
  </si>
  <si>
    <t>127806000</t>
  </si>
  <si>
    <t>10054</t>
  </si>
  <si>
    <t>1053</t>
  </si>
  <si>
    <t>幻影红猪</t>
  </si>
  <si>
    <t>181659970000</t>
  </si>
  <si>
    <t>36331994000</t>
  </si>
  <si>
    <t>43171328000000</t>
  </si>
  <si>
    <t>140178000</t>
  </si>
  <si>
    <t>10055</t>
  </si>
  <si>
    <t>1054</t>
  </si>
  <si>
    <t>幻影蝎蛇</t>
  </si>
  <si>
    <t>255509700000</t>
  </si>
  <si>
    <t>51101940000</t>
  </si>
  <si>
    <t>86342656000000</t>
  </si>
  <si>
    <t>153187500</t>
  </si>
  <si>
    <t>10056</t>
  </si>
  <si>
    <t>1055</t>
  </si>
  <si>
    <t>幻影恶魔</t>
  </si>
  <si>
    <t>359381360000</t>
  </si>
  <si>
    <t>71876272000</t>
  </si>
  <si>
    <t>164051046400000</t>
  </si>
  <si>
    <t>156928000</t>
  </si>
  <si>
    <t>10057</t>
  </si>
  <si>
    <t>1056</t>
  </si>
  <si>
    <t>幻影勇士</t>
  </si>
  <si>
    <t>505479680000</t>
  </si>
  <si>
    <t>101095936000</t>
  </si>
  <si>
    <t>311696988100000</t>
  </si>
  <si>
    <t>160737000</t>
  </si>
  <si>
    <t>10058</t>
  </si>
  <si>
    <t>1057</t>
  </si>
  <si>
    <t>幻影雕像</t>
  </si>
  <si>
    <t>710970940000</t>
  </si>
  <si>
    <t>142194188000</t>
  </si>
  <si>
    <t>592224277500000</t>
  </si>
  <si>
    <t>164619000</t>
  </si>
  <si>
    <t>10059</t>
  </si>
  <si>
    <t>1058</t>
  </si>
  <si>
    <t>幻影卫士</t>
  </si>
  <si>
    <t>1000000000000</t>
  </si>
  <si>
    <t>200000000000</t>
  </si>
  <si>
    <t>1125226127200000</t>
  </si>
  <si>
    <t>168578500</t>
  </si>
  <si>
    <t>10060</t>
  </si>
  <si>
    <t>1059</t>
  </si>
  <si>
    <t>幻影魔猪</t>
  </si>
  <si>
    <t>1406527240000</t>
  </si>
  <si>
    <t>281305448000</t>
  </si>
  <si>
    <t>2140000000000000</t>
  </si>
  <si>
    <t>172620000</t>
  </si>
  <si>
    <t>10061</t>
  </si>
  <si>
    <t>1060</t>
  </si>
  <si>
    <t>幻影树妖</t>
  </si>
  <si>
    <t>1978318880000</t>
  </si>
  <si>
    <t>395663776000</t>
  </si>
  <si>
    <t>4700000000000000</t>
  </si>
  <si>
    <t>176748000</t>
  </si>
  <si>
    <t>10062</t>
  </si>
  <si>
    <t>1061</t>
  </si>
  <si>
    <t>幻影侍卫</t>
  </si>
  <si>
    <t>2782559400000</t>
  </si>
  <si>
    <t>556511880000</t>
  </si>
  <si>
    <t>10000000000000000</t>
  </si>
  <si>
    <t>180967000</t>
  </si>
  <si>
    <t>10063</t>
  </si>
  <si>
    <t>1062</t>
  </si>
  <si>
    <t>幻影剧毒</t>
  </si>
  <si>
    <t>3913745600000</t>
  </si>
  <si>
    <t>782749120000</t>
  </si>
  <si>
    <t>22000000000000000</t>
  </si>
  <si>
    <t>185281500</t>
  </si>
  <si>
    <t>10064</t>
  </si>
  <si>
    <t>1063</t>
  </si>
  <si>
    <t>幻影锤兵</t>
  </si>
  <si>
    <t>5504789800000</t>
  </si>
  <si>
    <t>1100000000000</t>
  </si>
  <si>
    <t>48400000000000000</t>
  </si>
  <si>
    <t>189696000</t>
  </si>
  <si>
    <t>10065</t>
  </si>
  <si>
    <t>1064</t>
  </si>
  <si>
    <t>幻影魔牛</t>
  </si>
  <si>
    <t>8000000000000</t>
  </si>
  <si>
    <t>1500000000000</t>
  </si>
  <si>
    <t>108400000000000000</t>
  </si>
  <si>
    <t>194215000</t>
  </si>
  <si>
    <t>10066</t>
  </si>
  <si>
    <t>1065</t>
  </si>
  <si>
    <t>幻影水龙</t>
  </si>
  <si>
    <t>16000000000000</t>
  </si>
  <si>
    <t>2200000000000</t>
  </si>
  <si>
    <t>140000000000000000</t>
  </si>
  <si>
    <t>198369000</t>
  </si>
  <si>
    <t>10067</t>
  </si>
  <si>
    <t>1066</t>
  </si>
  <si>
    <t>幻影土龙</t>
  </si>
  <si>
    <t>32000000000000</t>
  </si>
  <si>
    <t>3000000000000</t>
  </si>
  <si>
    <t>200000000000000000</t>
  </si>
  <si>
    <t>202940500</t>
  </si>
  <si>
    <t>10068</t>
  </si>
  <si>
    <t>1067</t>
  </si>
  <si>
    <t>幻影毒龙</t>
  </si>
  <si>
    <t>64000000000000</t>
  </si>
  <si>
    <t>4300000000000</t>
  </si>
  <si>
    <t>280000000000000000</t>
  </si>
  <si>
    <t>207951999</t>
  </si>
  <si>
    <t>10069</t>
  </si>
  <si>
    <t>1068</t>
  </si>
  <si>
    <t>幻影火龙</t>
  </si>
  <si>
    <t>128000000000000</t>
  </si>
  <si>
    <t>6000000000000</t>
  </si>
  <si>
    <t>400000000000000000</t>
  </si>
  <si>
    <t>213426000</t>
  </si>
  <si>
    <t>10070</t>
  </si>
  <si>
    <t>1069</t>
  </si>
  <si>
    <t>幻影冰龙</t>
  </si>
  <si>
    <t>200000000000000</t>
  </si>
  <si>
    <t>8600000000000</t>
  </si>
  <si>
    <t>600000000000000000</t>
  </si>
  <si>
    <t>219385000</t>
  </si>
  <si>
    <t>10071</t>
  </si>
  <si>
    <t>1070</t>
  </si>
  <si>
    <t>噩梦鸡</t>
  </si>
  <si>
    <t>300000000000000</t>
  </si>
  <si>
    <t>12000000000000</t>
  </si>
  <si>
    <t>1200000000000000000</t>
  </si>
  <si>
    <t>10072</t>
  </si>
  <si>
    <t>1071</t>
  </si>
  <si>
    <t>噩梦鹿</t>
  </si>
  <si>
    <t>440000000000000</t>
  </si>
  <si>
    <t>16800000000000</t>
  </si>
  <si>
    <t>1680000000000000000</t>
  </si>
  <si>
    <t>10073</t>
  </si>
  <si>
    <t>1072</t>
  </si>
  <si>
    <t>噩梦草人</t>
  </si>
  <si>
    <t>600000000000000</t>
  </si>
  <si>
    <t>23500000000000</t>
  </si>
  <si>
    <t>2350000000000000000</t>
  </si>
  <si>
    <t>10074</t>
  </si>
  <si>
    <t>1073</t>
  </si>
  <si>
    <t>噩梦猫</t>
  </si>
  <si>
    <t>800000000000000</t>
  </si>
  <si>
    <t>32900000000000</t>
  </si>
  <si>
    <t>3290000000000000000</t>
  </si>
  <si>
    <t>10075</t>
  </si>
  <si>
    <t>1074</t>
  </si>
  <si>
    <t>噩梦花</t>
  </si>
  <si>
    <t>1000000000000000</t>
  </si>
  <si>
    <t>46000000000000</t>
  </si>
  <si>
    <t>4600000000000000000</t>
  </si>
  <si>
    <t>10076</t>
  </si>
  <si>
    <t>1075</t>
  </si>
  <si>
    <t>噩梦雪人</t>
  </si>
  <si>
    <t>2000000000000000</t>
  </si>
  <si>
    <t>78000000000000</t>
  </si>
  <si>
    <t>6000000000000000000</t>
  </si>
  <si>
    <t>10077</t>
  </si>
  <si>
    <t>1076</t>
  </si>
  <si>
    <t>噩梦蝙蝠</t>
  </si>
  <si>
    <t>4000000000000000</t>
  </si>
  <si>
    <t>100000000000000</t>
  </si>
  <si>
    <t>9000000000000000000</t>
  </si>
  <si>
    <t>10078</t>
  </si>
  <si>
    <t>1077</t>
  </si>
  <si>
    <t>噩梦骷髅</t>
  </si>
  <si>
    <t>8000000000000000</t>
  </si>
  <si>
    <t>150000000000000</t>
  </si>
  <si>
    <t>15000000000000000000</t>
  </si>
  <si>
    <t>10079</t>
  </si>
  <si>
    <t>1078</t>
  </si>
  <si>
    <t>噩梦僵尸</t>
  </si>
  <si>
    <t>16000000000000000</t>
  </si>
  <si>
    <t>250000000000000</t>
  </si>
  <si>
    <t>29000000000000000000</t>
  </si>
  <si>
    <t>10080</t>
  </si>
  <si>
    <t>1079</t>
  </si>
  <si>
    <t>噩梦毒蛇</t>
  </si>
  <si>
    <t>32000000000000000</t>
  </si>
  <si>
    <t>330000000000000</t>
  </si>
  <si>
    <t>60000000000000000000</t>
  </si>
  <si>
    <t>10081</t>
  </si>
  <si>
    <t>1080</t>
  </si>
  <si>
    <t>噩梦野狼</t>
  </si>
  <si>
    <t>60000000000000000</t>
  </si>
  <si>
    <t>180000000000000000000</t>
  </si>
  <si>
    <t>10082</t>
  </si>
  <si>
    <t>1081</t>
  </si>
  <si>
    <t>噩梦沙虫</t>
  </si>
  <si>
    <t>100000000000000000</t>
  </si>
  <si>
    <t>3000000000000000</t>
  </si>
  <si>
    <t>500000000000000000000</t>
  </si>
  <si>
    <t>10083</t>
  </si>
  <si>
    <t>1082</t>
  </si>
  <si>
    <t>噩梦小鹰</t>
  </si>
  <si>
    <t>1500000000000000000000</t>
  </si>
  <si>
    <t>10084</t>
  </si>
  <si>
    <t>1083</t>
  </si>
  <si>
    <t>噩梦角虫</t>
  </si>
  <si>
    <t>30000000000000000</t>
  </si>
  <si>
    <t>5000000000000000000000</t>
  </si>
  <si>
    <t>10085</t>
  </si>
  <si>
    <t>1084</t>
  </si>
  <si>
    <t>噩梦蜈蚣</t>
  </si>
  <si>
    <t>800000000000000000</t>
  </si>
  <si>
    <t>15000000000000000000000</t>
  </si>
  <si>
    <t>10086</t>
  </si>
  <si>
    <t>1085</t>
  </si>
  <si>
    <t>噩梦钳虫</t>
  </si>
  <si>
    <t>2400000000000000000</t>
  </si>
  <si>
    <t>300000000000000000</t>
  </si>
  <si>
    <t>45000000000000000000000</t>
  </si>
  <si>
    <t>10087</t>
  </si>
  <si>
    <t>1086</t>
  </si>
  <si>
    <t>噩梦蠕虫</t>
  </si>
  <si>
    <t>7200000000000000000</t>
  </si>
  <si>
    <t>1000000000000000000</t>
  </si>
  <si>
    <t>135000000000000000000000</t>
  </si>
  <si>
    <t>10088</t>
  </si>
  <si>
    <t>1087</t>
  </si>
  <si>
    <t>噩梦黑猪</t>
  </si>
  <si>
    <t>21600000000000000000</t>
  </si>
  <si>
    <t>3000000000000000000</t>
  </si>
  <si>
    <t>500000000000000000000000</t>
  </si>
  <si>
    <t>10089</t>
  </si>
  <si>
    <t>1088</t>
  </si>
  <si>
    <t>噩梦红猪</t>
  </si>
  <si>
    <t>10000000000000000000</t>
  </si>
  <si>
    <t>1500000000000000000000000</t>
  </si>
  <si>
    <t>10090</t>
  </si>
  <si>
    <t>1089</t>
  </si>
  <si>
    <t>噩梦蝎蛇</t>
  </si>
  <si>
    <t>30000000000000000000</t>
  </si>
  <si>
    <t>4500000000000000000000000</t>
  </si>
  <si>
    <t>10091</t>
  </si>
  <si>
    <t>1090</t>
  </si>
  <si>
    <t>噩梦恶魔</t>
  </si>
  <si>
    <t>100000000000000000000</t>
  </si>
  <si>
    <t>15000000000000000000000000</t>
  </si>
  <si>
    <t>10092</t>
  </si>
  <si>
    <t>1091</t>
  </si>
  <si>
    <t>噩梦勇士</t>
  </si>
  <si>
    <t>300000000000000000000</t>
  </si>
  <si>
    <t>45000000000000000000000000</t>
  </si>
  <si>
    <t>10093</t>
  </si>
  <si>
    <t>1092</t>
  </si>
  <si>
    <t>噩梦雕像</t>
  </si>
  <si>
    <t>4500000000000000000000</t>
  </si>
  <si>
    <t>1000000000000000000000</t>
  </si>
  <si>
    <t>150000000000000000000000000</t>
  </si>
  <si>
    <t>10094</t>
  </si>
  <si>
    <t>1093</t>
  </si>
  <si>
    <t>噩梦卫士</t>
  </si>
  <si>
    <t>13500000000000000000000</t>
  </si>
  <si>
    <t>3000000000000000000000</t>
  </si>
  <si>
    <t>450000000000000000000000000</t>
  </si>
  <si>
    <t>10095</t>
  </si>
  <si>
    <t>1094</t>
  </si>
  <si>
    <t>噩梦魔猪</t>
  </si>
  <si>
    <t>40000000000000000000000</t>
  </si>
  <si>
    <t>10000000000000000000000</t>
  </si>
  <si>
    <t>1500000000000000000000000000</t>
  </si>
  <si>
    <t>10096</t>
  </si>
  <si>
    <t>1095</t>
  </si>
  <si>
    <t>噩梦树妖</t>
  </si>
  <si>
    <t>120000000000000000000000</t>
  </si>
  <si>
    <t>30000000000000000000000</t>
  </si>
  <si>
    <t>7500000000000000000000000000</t>
  </si>
  <si>
    <t>10097</t>
  </si>
  <si>
    <t>1096</t>
  </si>
  <si>
    <t>噩梦侍卫</t>
  </si>
  <si>
    <t>360000000000000000000000</t>
  </si>
  <si>
    <t>100000000000000000000000</t>
  </si>
  <si>
    <t>37500000000000000000000000000</t>
  </si>
  <si>
    <t>10098</t>
  </si>
  <si>
    <t>1097</t>
  </si>
  <si>
    <t>噩梦剧毒</t>
  </si>
  <si>
    <t>1000000000000000000000000</t>
  </si>
  <si>
    <t>300000000000000000000000</t>
  </si>
  <si>
    <t>180000000000000000000000000000</t>
  </si>
  <si>
    <t>10099</t>
  </si>
  <si>
    <t>1098</t>
  </si>
  <si>
    <t>噩梦锤兵</t>
  </si>
  <si>
    <t>3000000000000000000000000</t>
  </si>
  <si>
    <t>900000000000000000000000000000</t>
  </si>
  <si>
    <t>10100</t>
  </si>
  <si>
    <t>1099</t>
  </si>
  <si>
    <t>噩梦魔牛</t>
  </si>
  <si>
    <t>9000000000000000000000000</t>
  </si>
  <si>
    <t>4500000000000000000000000000000</t>
  </si>
  <si>
    <t>10101</t>
  </si>
  <si>
    <t>1100</t>
  </si>
  <si>
    <t>噩梦水龙</t>
  </si>
  <si>
    <t>27000000000000000000000000</t>
  </si>
  <si>
    <t>10000000000000000000000000</t>
  </si>
  <si>
    <t>24000000000000000000000000000000</t>
  </si>
  <si>
    <t>10102</t>
  </si>
  <si>
    <t>1101</t>
  </si>
  <si>
    <t>噩梦土龙</t>
  </si>
  <si>
    <t>81000000000000000000000000</t>
  </si>
  <si>
    <t>30000000000000000000000000</t>
  </si>
  <si>
    <t>120000000000000000000000000000000</t>
  </si>
  <si>
    <t>10103</t>
  </si>
  <si>
    <t>1102</t>
  </si>
  <si>
    <t>噩梦毒龙</t>
  </si>
  <si>
    <t>240000000000000000000000000</t>
  </si>
  <si>
    <t>100000000000000000000000000</t>
  </si>
  <si>
    <t>600000000000000000000000000000000</t>
  </si>
  <si>
    <t>10104</t>
  </si>
  <si>
    <t>1103</t>
  </si>
  <si>
    <t>噩梦火龙</t>
  </si>
  <si>
    <t>720000000000000000000000000</t>
  </si>
  <si>
    <t>300000000000000000000000000</t>
  </si>
  <si>
    <t>3000000000000000000000000000000000</t>
  </si>
  <si>
    <t>10105</t>
  </si>
  <si>
    <t>1104</t>
  </si>
  <si>
    <t>噩梦冰龙</t>
  </si>
  <si>
    <t>2100000000000000000000000000</t>
  </si>
  <si>
    <t>1000000000000000000000000000</t>
  </si>
  <si>
    <t>15000000000000000000000000000000000</t>
  </si>
  <si>
    <t>10106</t>
  </si>
  <si>
    <t>1105</t>
  </si>
  <si>
    <t>地狱鸡</t>
  </si>
  <si>
    <t>900000000000000000000000000000000000</t>
  </si>
  <si>
    <t>9000000000000000000000000000000000000000000000</t>
  </si>
  <si>
    <t>3100000000</t>
  </si>
  <si>
    <t>10107</t>
  </si>
  <si>
    <t>1106</t>
  </si>
  <si>
    <t>地狱鹿</t>
  </si>
  <si>
    <t>9000000000000000000000000000000000000</t>
  </si>
  <si>
    <t>200000000000000000000000000000000000000000000000</t>
  </si>
  <si>
    <t>3200000000</t>
  </si>
  <si>
    <t>10108</t>
  </si>
  <si>
    <t>1107</t>
  </si>
  <si>
    <t>地狱草人</t>
  </si>
  <si>
    <t>90000000000000000000000000000000000000</t>
  </si>
  <si>
    <t>4000000000000000000000000000000000000000000000000</t>
  </si>
  <si>
    <t>3300000000</t>
  </si>
  <si>
    <t>10109</t>
  </si>
  <si>
    <t>1108</t>
  </si>
  <si>
    <t>地狱猫</t>
  </si>
  <si>
    <t>900000000000000000000000000000000000000</t>
  </si>
  <si>
    <t>80000000000000000000000000000000000000000000000000</t>
  </si>
  <si>
    <t>3400000000</t>
  </si>
  <si>
    <t>10110</t>
  </si>
  <si>
    <t>1109</t>
  </si>
  <si>
    <t>地狱花</t>
  </si>
  <si>
    <t>9000000000000000000000000000000000000000</t>
  </si>
  <si>
    <t>1600000000000000000000000000000000000000000000000000</t>
  </si>
  <si>
    <t>3500000000</t>
  </si>
  <si>
    <t>10111</t>
  </si>
  <si>
    <t>1110</t>
  </si>
  <si>
    <t>地狱雪人</t>
  </si>
  <si>
    <t>90000000000000000000000000000000000000000</t>
  </si>
  <si>
    <t>32000000000000000000000000000000000000000000000000000</t>
  </si>
  <si>
    <t>3600000000</t>
  </si>
  <si>
    <t>10112</t>
  </si>
  <si>
    <t>1111</t>
  </si>
  <si>
    <t>地狱蝙蝠</t>
  </si>
  <si>
    <t>900000000000000000000000000000000000000000</t>
  </si>
  <si>
    <t>640000000000000000000000000000000000000000000000000000</t>
  </si>
  <si>
    <t>3700000000</t>
  </si>
  <si>
    <t>10113</t>
  </si>
  <si>
    <t>1112</t>
  </si>
  <si>
    <t>地狱骷髅</t>
  </si>
  <si>
    <t>9000000000000000000000000000000000000000000</t>
  </si>
  <si>
    <t>12800000000000000000000000000000000000000000000000000000</t>
  </si>
  <si>
    <t>3800000000</t>
  </si>
  <si>
    <t>10114</t>
  </si>
  <si>
    <t>1113</t>
  </si>
  <si>
    <t>地狱僵尸</t>
  </si>
  <si>
    <t>90000000000000000000000000000000000000000000</t>
  </si>
  <si>
    <t>256000000000000000000000000000000000000000000000000000000</t>
  </si>
  <si>
    <t>3900000000</t>
  </si>
  <si>
    <t>10115</t>
  </si>
  <si>
    <t>1114</t>
  </si>
  <si>
    <t>地狱毒蛇</t>
  </si>
  <si>
    <t>900000000000000000000000000000000000000000000</t>
  </si>
  <si>
    <t>5120000000000000000000000000000000000000000000000000000000</t>
  </si>
  <si>
    <t>4000000000</t>
  </si>
  <si>
    <t>10116</t>
  </si>
  <si>
    <t>1115</t>
  </si>
  <si>
    <t>地狱野狼</t>
  </si>
  <si>
    <t>100000000000000000000000000000000000000000000000000000000000</t>
  </si>
  <si>
    <t>4400000000</t>
  </si>
  <si>
    <t>10117</t>
  </si>
  <si>
    <t>1116</t>
  </si>
  <si>
    <t>地狱沙虫</t>
  </si>
  <si>
    <t>90000000000000000000000000000000000000000000000</t>
  </si>
  <si>
    <t>2000000000000000000000000000000000000000000000000000000000000</t>
  </si>
  <si>
    <t>4800000000</t>
  </si>
  <si>
    <t>10118</t>
  </si>
  <si>
    <t>1117</t>
  </si>
  <si>
    <t>地狱小鹰</t>
  </si>
  <si>
    <t>900000000000000000000000000000000000000000000000</t>
  </si>
  <si>
    <t>40000000000000000000000000000000000000000000000000000000000000</t>
  </si>
  <si>
    <t>5200000000</t>
  </si>
  <si>
    <t>10119</t>
  </si>
  <si>
    <t>1118</t>
  </si>
  <si>
    <t>地狱角虫</t>
  </si>
  <si>
    <t>9000000000000000000000000000000000000000000000000</t>
  </si>
  <si>
    <t>800000000000000000000000000000000000000000000000000000000000000</t>
  </si>
  <si>
    <t>5600000000</t>
  </si>
  <si>
    <t>10120</t>
  </si>
  <si>
    <t>1119</t>
  </si>
  <si>
    <t>地狱蜈蚣</t>
  </si>
  <si>
    <t>90000000000000000000000000000000000000000000000000</t>
  </si>
  <si>
    <t>16000000000000000000000000000000000000000000000000000000000000000</t>
  </si>
  <si>
    <t>6000000000</t>
  </si>
  <si>
    <t>10121</t>
  </si>
  <si>
    <t>1120</t>
  </si>
  <si>
    <t>地狱钳虫</t>
  </si>
  <si>
    <t>900000000000000000000000000000000000000000000000000</t>
  </si>
  <si>
    <t>320000000000000000000000000000000000000000000000000000000000000000</t>
  </si>
  <si>
    <t>6400000000</t>
  </si>
  <si>
    <t>10122</t>
  </si>
  <si>
    <t>1121</t>
  </si>
  <si>
    <t>地狱蠕虫</t>
  </si>
  <si>
    <t>9000000000000000000000000000000000000000000000000000</t>
  </si>
  <si>
    <t>6400000000000000000000000000000000000000000000000000000000000000000</t>
  </si>
  <si>
    <t>6800000000</t>
  </si>
  <si>
    <t>10123</t>
  </si>
  <si>
    <t>1122</t>
  </si>
  <si>
    <t>地狱黑猪</t>
  </si>
  <si>
    <t>90000000000000000000000000000000000000000000000000000</t>
  </si>
  <si>
    <t>128000000000000000000000000000000000000000000000000000000000000000000</t>
  </si>
  <si>
    <t>7200000000</t>
  </si>
  <si>
    <t>10124</t>
  </si>
  <si>
    <t>1123</t>
  </si>
  <si>
    <t>地狱红猪</t>
  </si>
  <si>
    <t>900000000000000000000000000000000000000000000000000000</t>
  </si>
  <si>
    <t>2560000000000000000000000000000000000000000000000000000000000000000000</t>
  </si>
  <si>
    <t>7600000000</t>
  </si>
  <si>
    <t>10125</t>
  </si>
  <si>
    <t>1124</t>
  </si>
  <si>
    <t>地狱蝎蛇</t>
  </si>
  <si>
    <t>9000000000000000000000000000000000000000000000000000000</t>
  </si>
  <si>
    <t>51200000000000000000000000000000000000000000000000000000000000000000000</t>
  </si>
  <si>
    <t>8000000000</t>
  </si>
  <si>
    <t>10126</t>
  </si>
  <si>
    <t>1125</t>
  </si>
  <si>
    <t>地狱恶魔</t>
  </si>
  <si>
    <t>90000000000000000000000000000000000000000000000000000000</t>
  </si>
  <si>
    <t>1000000000000000000000000000000000000000000000000000000000000000000000000</t>
  </si>
  <si>
    <t>8400000000</t>
  </si>
  <si>
    <t>10127</t>
  </si>
  <si>
    <t>1126</t>
  </si>
  <si>
    <t>地狱勇士</t>
  </si>
  <si>
    <t>900000000000000000000000000000000000000000000000000000000</t>
  </si>
  <si>
    <t>20000000000000000000000000000000000000000000000000000000000000000000000000</t>
  </si>
  <si>
    <t>8800000000</t>
  </si>
  <si>
    <t>10128</t>
  </si>
  <si>
    <t>1127</t>
  </si>
  <si>
    <t>地狱雕像</t>
  </si>
  <si>
    <t>9000000000000000000000000000000000000000000000000000000000</t>
  </si>
  <si>
    <t>400000000000000000000000000000000000000000000000000000000000000000000000000</t>
  </si>
  <si>
    <t>9200000000</t>
  </si>
  <si>
    <t>10129</t>
  </si>
  <si>
    <t>1128</t>
  </si>
  <si>
    <t>地狱卫士</t>
  </si>
  <si>
    <t>90000000000000000000000000000000000000000000000000000000000</t>
  </si>
  <si>
    <t>8000000000000000000000000000000000000000000000000000000000000000000000000000</t>
  </si>
  <si>
    <t>9600000000</t>
  </si>
  <si>
    <t>10130</t>
  </si>
  <si>
    <t>1129</t>
  </si>
  <si>
    <t>地狱魔猪</t>
  </si>
  <si>
    <t>900000000000000000000000000000000000000000000000000000000000</t>
  </si>
  <si>
    <t>160000000000000000000000000000000000000000000000000000000000000000000000000000</t>
  </si>
  <si>
    <t>10000000000</t>
  </si>
  <si>
    <t>10131</t>
  </si>
  <si>
    <t>1130</t>
  </si>
  <si>
    <t>地狱树妖</t>
  </si>
  <si>
    <t>9000000000000000000000000000000000000000000000000000000000000</t>
  </si>
  <si>
    <t>3200000000000000000000000000000000000000000000000000000000000000000000000000000</t>
  </si>
  <si>
    <t>11000000000</t>
  </si>
  <si>
    <t>10132</t>
  </si>
  <si>
    <t>1131</t>
  </si>
  <si>
    <t>地狱侍卫</t>
  </si>
  <si>
    <t>90000000000000000000000000000000000000000000000000000000000000</t>
  </si>
  <si>
    <t>64000000000000000000000000000000000000000000000000000000000000000000000000000000</t>
  </si>
  <si>
    <t>12000000000</t>
  </si>
  <si>
    <t>10133</t>
  </si>
  <si>
    <t>1132</t>
  </si>
  <si>
    <t>地狱剧毒</t>
  </si>
  <si>
    <t>900000000000000000000000000000000000000000000000000000000000000</t>
  </si>
  <si>
    <t>1280000000000000000000000000000000000000000000000000000000000000000000000000000000</t>
  </si>
  <si>
    <t>13000000000</t>
  </si>
  <si>
    <t>10134</t>
  </si>
  <si>
    <t>1133</t>
  </si>
  <si>
    <t>地狱锤兵</t>
  </si>
  <si>
    <t>9000000000000000000000000000000000000000000000000000000000000000</t>
  </si>
  <si>
    <t>25600000000000000000000000000000000000000000000000000000000000000000000000000000000</t>
  </si>
  <si>
    <t>14000000000</t>
  </si>
  <si>
    <t>10135</t>
  </si>
  <si>
    <t>1134</t>
  </si>
  <si>
    <t>地狱魔牛</t>
  </si>
  <si>
    <t>90000000000000000000000000000000000000000000000000000000000000000</t>
  </si>
  <si>
    <t>512000000000000000000000000000000000000000000000000000000000000000000000000000000000</t>
  </si>
  <si>
    <t>15000000000</t>
  </si>
  <si>
    <t>10136</t>
  </si>
  <si>
    <t>1135</t>
  </si>
  <si>
    <t>地狱水龙</t>
  </si>
  <si>
    <t>900000000000000000000000000000000000000000000000000000000000000000</t>
  </si>
  <si>
    <t>10000000000000000000000000000000000000000000000000000000000000000000000000000000000000</t>
  </si>
  <si>
    <t>18000000000</t>
  </si>
  <si>
    <t>10137</t>
  </si>
  <si>
    <t>1136</t>
  </si>
  <si>
    <t>地狱土龙</t>
  </si>
  <si>
    <t>9000000000000000000000000000000000000000000000000000000000000000000</t>
  </si>
  <si>
    <t>200000000000000000000000000000000000000000000000000000000000000000000000000000000000000</t>
  </si>
  <si>
    <t>21000000000</t>
  </si>
  <si>
    <t>10138</t>
  </si>
  <si>
    <t>1137</t>
  </si>
  <si>
    <t>地狱毒龙</t>
  </si>
  <si>
    <t>90000000000000000000000000000000000000000000000000000000000000000000</t>
  </si>
  <si>
    <t>4000000000000000000000000000000000000000000000000000000000000000000000000000000000000000</t>
  </si>
  <si>
    <t>24000000000</t>
  </si>
  <si>
    <t>10139</t>
  </si>
  <si>
    <t>1138</t>
  </si>
  <si>
    <t>地狱火龙</t>
  </si>
  <si>
    <t>900000000000000000000000000000000000000000000000000000000000000000000</t>
  </si>
  <si>
    <t>80000000000000000000000000000000000000000000000000000000000000000000000000000000000000000</t>
  </si>
  <si>
    <t>27000000000</t>
  </si>
  <si>
    <t>10140</t>
  </si>
  <si>
    <t>1139</t>
  </si>
  <si>
    <t>地狱冰龙</t>
  </si>
  <si>
    <t>90僧</t>
  </si>
  <si>
    <t>160不</t>
  </si>
  <si>
    <t>30000000000</t>
  </si>
  <si>
    <t>10141</t>
  </si>
  <si>
    <t>1140</t>
  </si>
  <si>
    <t>深渊鸡</t>
  </si>
  <si>
    <t>1000极</t>
  </si>
  <si>
    <t>900僧</t>
  </si>
  <si>
    <t>32000不</t>
  </si>
  <si>
    <t>10秭</t>
  </si>
  <si>
    <t>33000000000</t>
  </si>
  <si>
    <t>10142</t>
  </si>
  <si>
    <t>1141</t>
  </si>
  <si>
    <t>深渊鹿</t>
  </si>
  <si>
    <t>4000极</t>
  </si>
  <si>
    <t>9000僧</t>
  </si>
  <si>
    <t>64可</t>
  </si>
  <si>
    <t>100秭</t>
  </si>
  <si>
    <t>36000000000</t>
  </si>
  <si>
    <t>10143</t>
  </si>
  <si>
    <t>1142</t>
  </si>
  <si>
    <t>深渊草人</t>
  </si>
  <si>
    <t>16000极</t>
  </si>
  <si>
    <t>9祇</t>
  </si>
  <si>
    <t>1280可</t>
  </si>
  <si>
    <t>1000秭</t>
  </si>
  <si>
    <t>39000000000</t>
  </si>
  <si>
    <t>10144</t>
  </si>
  <si>
    <t>1143</t>
  </si>
  <si>
    <t>深渊猫</t>
  </si>
  <si>
    <t>64000极</t>
  </si>
  <si>
    <t>90祇</t>
  </si>
  <si>
    <t>25600可</t>
  </si>
  <si>
    <t>10000秭</t>
  </si>
  <si>
    <t>42000000000</t>
  </si>
  <si>
    <t>10145</t>
  </si>
  <si>
    <t>1144</t>
  </si>
  <si>
    <t>深渊花</t>
  </si>
  <si>
    <t>24恒</t>
  </si>
  <si>
    <t>900祇</t>
  </si>
  <si>
    <t>50思</t>
  </si>
  <si>
    <t>10穰</t>
  </si>
  <si>
    <t>45000000000</t>
  </si>
  <si>
    <t>10146</t>
  </si>
  <si>
    <t>1145</t>
  </si>
  <si>
    <t>深渊雪人</t>
  </si>
  <si>
    <t>96恒</t>
  </si>
  <si>
    <t>9000祇</t>
  </si>
  <si>
    <t>1000思</t>
  </si>
  <si>
    <t>3万</t>
  </si>
  <si>
    <t>100穰</t>
  </si>
  <si>
    <t>48000000000</t>
  </si>
  <si>
    <t>10147</t>
  </si>
  <si>
    <t>1146</t>
  </si>
  <si>
    <t>深渊蝙蝠</t>
  </si>
  <si>
    <t>400恒</t>
  </si>
  <si>
    <t>9那</t>
  </si>
  <si>
    <t>2议</t>
  </si>
  <si>
    <t>15万</t>
  </si>
  <si>
    <t>1000穰</t>
  </si>
  <si>
    <t>51000000000</t>
  </si>
  <si>
    <t>10148</t>
  </si>
  <si>
    <t>1147</t>
  </si>
  <si>
    <t>深渊骷髅</t>
  </si>
  <si>
    <t>1600恒</t>
  </si>
  <si>
    <t>90那</t>
  </si>
  <si>
    <t>40议</t>
  </si>
  <si>
    <t>75万</t>
  </si>
  <si>
    <t>10000穰</t>
  </si>
  <si>
    <t>54000000000</t>
  </si>
  <si>
    <t>10149</t>
  </si>
  <si>
    <t>1148</t>
  </si>
  <si>
    <t>深渊僵尸</t>
  </si>
  <si>
    <t>6400恒</t>
  </si>
  <si>
    <t>900那</t>
  </si>
  <si>
    <t>800议</t>
  </si>
  <si>
    <t>375万</t>
  </si>
  <si>
    <t>10沟</t>
  </si>
  <si>
    <t>57000000000</t>
  </si>
  <si>
    <t>10150</t>
  </si>
  <si>
    <t>1149</t>
  </si>
  <si>
    <t>深渊毒蛇</t>
  </si>
  <si>
    <t>3河</t>
  </si>
  <si>
    <t>9000那</t>
  </si>
  <si>
    <t>16000议</t>
  </si>
  <si>
    <t>2000万</t>
  </si>
  <si>
    <t>100沟</t>
  </si>
  <si>
    <t>60000000000</t>
  </si>
  <si>
    <t>10151</t>
  </si>
  <si>
    <t>1150</t>
  </si>
  <si>
    <t>深渊野狼</t>
  </si>
  <si>
    <t>90河</t>
  </si>
  <si>
    <t>9由</t>
  </si>
  <si>
    <t>32无</t>
  </si>
  <si>
    <t>4亿</t>
  </si>
  <si>
    <t>2000沟</t>
  </si>
  <si>
    <t>63000000000</t>
  </si>
  <si>
    <t>10152</t>
  </si>
  <si>
    <t>1151</t>
  </si>
  <si>
    <t>深渊沙虫</t>
  </si>
  <si>
    <t>900河</t>
  </si>
  <si>
    <t>90由</t>
  </si>
  <si>
    <t>640无</t>
  </si>
  <si>
    <t>80亿</t>
  </si>
  <si>
    <t>4涧</t>
  </si>
  <si>
    <t>66000000000</t>
  </si>
  <si>
    <t>10153</t>
  </si>
  <si>
    <t>1152</t>
  </si>
  <si>
    <t>深渊小鹰</t>
  </si>
  <si>
    <t>9000河</t>
  </si>
  <si>
    <t>900由</t>
  </si>
  <si>
    <t>12800无</t>
  </si>
  <si>
    <t>1600亿</t>
  </si>
  <si>
    <t>80涧</t>
  </si>
  <si>
    <t>69000000000</t>
  </si>
  <si>
    <t>10154</t>
  </si>
  <si>
    <t>1153</t>
  </si>
  <si>
    <t>深渊角虫</t>
  </si>
  <si>
    <t>9沙</t>
  </si>
  <si>
    <t>9000由</t>
  </si>
  <si>
    <t>25量</t>
  </si>
  <si>
    <t>32兆</t>
  </si>
  <si>
    <t>1600涧</t>
  </si>
  <si>
    <t>72000000000</t>
  </si>
  <si>
    <t>10155</t>
  </si>
  <si>
    <t>1154</t>
  </si>
  <si>
    <t>深渊蜈蚣</t>
  </si>
  <si>
    <t>90沙</t>
  </si>
  <si>
    <t>9他</t>
  </si>
  <si>
    <t>125量</t>
  </si>
  <si>
    <t>640兆</t>
  </si>
  <si>
    <t>32正</t>
  </si>
  <si>
    <t>75000000000</t>
  </si>
  <si>
    <t>10156</t>
  </si>
  <si>
    <t>1155</t>
  </si>
  <si>
    <t>深渊钳虫</t>
  </si>
  <si>
    <t>900沙</t>
  </si>
  <si>
    <t>90他</t>
  </si>
  <si>
    <t>5000量</t>
  </si>
  <si>
    <t>12800兆</t>
  </si>
  <si>
    <t>640正</t>
  </si>
  <si>
    <t>78000000000</t>
  </si>
  <si>
    <t>10157</t>
  </si>
  <si>
    <t>1156</t>
  </si>
  <si>
    <t>深渊蠕虫</t>
  </si>
  <si>
    <t>9000沙</t>
  </si>
  <si>
    <t>900他</t>
  </si>
  <si>
    <t>10大</t>
  </si>
  <si>
    <t>25京</t>
  </si>
  <si>
    <t>12800正</t>
  </si>
  <si>
    <t>81000000000</t>
  </si>
  <si>
    <t>10158</t>
  </si>
  <si>
    <t>1157</t>
  </si>
  <si>
    <t>深渊黑猪</t>
  </si>
  <si>
    <t>9阿</t>
  </si>
  <si>
    <t>9000他</t>
  </si>
  <si>
    <t>200大</t>
  </si>
  <si>
    <t>500京</t>
  </si>
  <si>
    <t>25载</t>
  </si>
  <si>
    <t>84000000000</t>
  </si>
  <si>
    <t>10159</t>
  </si>
  <si>
    <t>1158</t>
  </si>
  <si>
    <t>深渊红猪</t>
  </si>
  <si>
    <t>90阿</t>
  </si>
  <si>
    <t>9不</t>
  </si>
  <si>
    <t>4000大</t>
  </si>
  <si>
    <t>1垓</t>
  </si>
  <si>
    <t>500载</t>
  </si>
  <si>
    <t>87000000000</t>
  </si>
  <si>
    <t>10160</t>
  </si>
  <si>
    <t>1159</t>
  </si>
  <si>
    <t>深渊蝎蛇</t>
  </si>
  <si>
    <t>9E+66</t>
  </si>
  <si>
    <t>90不</t>
  </si>
  <si>
    <t>8数</t>
  </si>
  <si>
    <t>20垓</t>
  </si>
  <si>
    <t>1极</t>
  </si>
  <si>
    <t>90000000000</t>
  </si>
  <si>
    <t>10161</t>
  </si>
  <si>
    <t>1160</t>
  </si>
  <si>
    <t>深渊恶魔</t>
  </si>
  <si>
    <t>9E+67</t>
  </si>
  <si>
    <t>9E+90</t>
  </si>
  <si>
    <t>16E+117</t>
  </si>
  <si>
    <t>2E+21</t>
  </si>
  <si>
    <t>2E+49</t>
  </si>
  <si>
    <t>93000000000</t>
  </si>
  <si>
    <t>10162</t>
  </si>
  <si>
    <t>1161</t>
  </si>
  <si>
    <t>深渊勇士</t>
  </si>
  <si>
    <t>9E+68</t>
  </si>
  <si>
    <t>9E+91</t>
  </si>
  <si>
    <t>32E+118</t>
  </si>
  <si>
    <t>4E+22</t>
  </si>
  <si>
    <t>4E+50</t>
  </si>
  <si>
    <t>96000000000</t>
  </si>
  <si>
    <t>10163</t>
  </si>
  <si>
    <t>1162</t>
  </si>
  <si>
    <t>深渊雕像</t>
  </si>
  <si>
    <t>9E+69</t>
  </si>
  <si>
    <t>9E+92</t>
  </si>
  <si>
    <t>64E+119</t>
  </si>
  <si>
    <t>8E+23</t>
  </si>
  <si>
    <t>8E+51</t>
  </si>
  <si>
    <t>99000000000</t>
  </si>
  <si>
    <t>10164</t>
  </si>
  <si>
    <t>1163</t>
  </si>
  <si>
    <t>深渊卫士</t>
  </si>
  <si>
    <t>9E+70</t>
  </si>
  <si>
    <t>9E+93</t>
  </si>
  <si>
    <t>128E+120</t>
  </si>
  <si>
    <t>16E+24</t>
  </si>
  <si>
    <t>16E+52</t>
  </si>
  <si>
    <t>102000000000</t>
  </si>
  <si>
    <t>10165</t>
  </si>
  <si>
    <t>1164</t>
  </si>
  <si>
    <t>深渊魔猪</t>
  </si>
  <si>
    <t>9E+71</t>
  </si>
  <si>
    <t>9E+94</t>
  </si>
  <si>
    <t>256E+121</t>
  </si>
  <si>
    <t>32E+25</t>
  </si>
  <si>
    <t>32E+53</t>
  </si>
  <si>
    <t>105000000000</t>
  </si>
  <si>
    <t>10166</t>
  </si>
  <si>
    <t>1165</t>
  </si>
  <si>
    <t>深渊树妖</t>
  </si>
  <si>
    <t>9E+72</t>
  </si>
  <si>
    <t>9E+95</t>
  </si>
  <si>
    <t>512E+122</t>
  </si>
  <si>
    <t>64E+26</t>
  </si>
  <si>
    <t>64E+54</t>
  </si>
  <si>
    <t>108000000000</t>
  </si>
  <si>
    <t>10167</t>
  </si>
  <si>
    <t>1166</t>
  </si>
  <si>
    <t>深渊侍卫</t>
  </si>
  <si>
    <t>9E+73</t>
  </si>
  <si>
    <t>9E+96</t>
  </si>
  <si>
    <t>1E+126</t>
  </si>
  <si>
    <t>128E+27</t>
  </si>
  <si>
    <t>128E+55</t>
  </si>
  <si>
    <t>111000000000</t>
  </si>
  <si>
    <t>10168</t>
  </si>
  <si>
    <t>1167</t>
  </si>
  <si>
    <t>深渊剧毒</t>
  </si>
  <si>
    <t>9E+74</t>
  </si>
  <si>
    <t>9E+97</t>
  </si>
  <si>
    <t>2E+127</t>
  </si>
  <si>
    <t>256E+28</t>
  </si>
  <si>
    <t>256E+56</t>
  </si>
  <si>
    <t>114000000000</t>
  </si>
  <si>
    <t>10169</t>
  </si>
  <si>
    <t>1168</t>
  </si>
  <si>
    <t>深渊锤兵</t>
  </si>
  <si>
    <t>9E+75</t>
  </si>
  <si>
    <t>9E+98</t>
  </si>
  <si>
    <t>4E+128</t>
  </si>
  <si>
    <t>512E+29</t>
  </si>
  <si>
    <t>512E+57</t>
  </si>
  <si>
    <t>117000000000</t>
  </si>
  <si>
    <t>10170</t>
  </si>
  <si>
    <t>1169</t>
  </si>
  <si>
    <t>深渊魔牛</t>
  </si>
  <si>
    <t>9E+76</t>
  </si>
  <si>
    <t>9E+99</t>
  </si>
  <si>
    <t>8E+129</t>
  </si>
  <si>
    <t>1E+33</t>
  </si>
  <si>
    <t>1E+61</t>
  </si>
  <si>
    <t>120000000000</t>
  </si>
  <si>
    <t>10171</t>
  </si>
  <si>
    <t>1170</t>
  </si>
  <si>
    <t>深渊水龙</t>
  </si>
  <si>
    <t>9E+77</t>
  </si>
  <si>
    <t>9E+100</t>
  </si>
  <si>
    <t>16E+130</t>
  </si>
  <si>
    <t>2E+34</t>
  </si>
  <si>
    <t>2E+62</t>
  </si>
  <si>
    <t>123000000000</t>
  </si>
  <si>
    <t>10172</t>
  </si>
  <si>
    <t>1171</t>
  </si>
  <si>
    <t>深渊土龙</t>
  </si>
  <si>
    <t>9E+78</t>
  </si>
  <si>
    <t>9E+101</t>
  </si>
  <si>
    <t>32E+131</t>
  </si>
  <si>
    <t>4E+35</t>
  </si>
  <si>
    <t>4E+63</t>
  </si>
  <si>
    <t>126000000000</t>
  </si>
  <si>
    <t>10173</t>
  </si>
  <si>
    <t>1172</t>
  </si>
  <si>
    <t>深渊毒龙</t>
  </si>
  <si>
    <t>9E+79</t>
  </si>
  <si>
    <t>9E+102</t>
  </si>
  <si>
    <t>64E+132</t>
  </si>
  <si>
    <t>8E+36</t>
  </si>
  <si>
    <t>8E+64</t>
  </si>
  <si>
    <t>129000000000</t>
  </si>
  <si>
    <t>10174</t>
  </si>
  <si>
    <t>1173</t>
  </si>
  <si>
    <t>深渊火龙</t>
  </si>
  <si>
    <t>9E+80</t>
  </si>
  <si>
    <t>9E+103</t>
  </si>
  <si>
    <t>128E+133</t>
  </si>
  <si>
    <t>16E+37</t>
  </si>
  <si>
    <t>16E+65</t>
  </si>
  <si>
    <t>132000000000</t>
  </si>
  <si>
    <t>10175</t>
  </si>
  <si>
    <t>1174</t>
  </si>
  <si>
    <t>深渊冰龙</t>
  </si>
  <si>
    <t>9E+81</t>
  </si>
  <si>
    <t>9E+104</t>
  </si>
  <si>
    <t>256E+134</t>
  </si>
  <si>
    <t>32E+38</t>
  </si>
  <si>
    <t>32E+66</t>
  </si>
  <si>
    <t>135000000000</t>
  </si>
  <si>
    <t>混沌鸡</t>
  </si>
  <si>
    <t>1E+87</t>
  </si>
  <si>
    <t>1E+112</t>
  </si>
  <si>
    <t>1E+142</t>
  </si>
  <si>
    <t>1E+41</t>
  </si>
  <si>
    <t>1E+1</t>
  </si>
  <si>
    <t>1E+74</t>
  </si>
  <si>
    <t>140000000000</t>
  </si>
  <si>
    <t>混沌鹿</t>
  </si>
  <si>
    <t>1E+91</t>
  </si>
  <si>
    <t>1E+116</t>
  </si>
  <si>
    <t>1E+146</t>
  </si>
  <si>
    <t>1E+43</t>
  </si>
  <si>
    <t>1E+2</t>
  </si>
  <si>
    <t>1E+78</t>
  </si>
  <si>
    <t>145000000000</t>
  </si>
  <si>
    <t>混沌草人</t>
  </si>
  <si>
    <t>1E+95</t>
  </si>
  <si>
    <t>1E+120</t>
  </si>
  <si>
    <t>1E+150</t>
  </si>
  <si>
    <t>1E+45</t>
  </si>
  <si>
    <t>1E+3</t>
  </si>
  <si>
    <t>1E+82</t>
  </si>
  <si>
    <t>150000000000</t>
  </si>
  <si>
    <t>混沌猫</t>
  </si>
  <si>
    <t>1E+99</t>
  </si>
  <si>
    <t>1E+124</t>
  </si>
  <si>
    <t>1E+154</t>
  </si>
  <si>
    <t>1E+47</t>
  </si>
  <si>
    <t>1E+4</t>
  </si>
  <si>
    <t>1E+86</t>
  </si>
  <si>
    <t>155000000000</t>
  </si>
  <si>
    <t>混沌花</t>
  </si>
  <si>
    <t>1E+103</t>
  </si>
  <si>
    <t>1E+128</t>
  </si>
  <si>
    <t>1E+157</t>
  </si>
  <si>
    <t>1E+49</t>
  </si>
  <si>
    <t>1E+5</t>
  </si>
  <si>
    <t>1E+90</t>
  </si>
  <si>
    <t>160000000000</t>
  </si>
  <si>
    <t>混沌雪人</t>
  </si>
  <si>
    <t>1E+106</t>
  </si>
  <si>
    <t>1E+131</t>
  </si>
  <si>
    <t>1E+160</t>
  </si>
  <si>
    <t>1E+51</t>
  </si>
  <si>
    <t>1E+7</t>
  </si>
  <si>
    <t>1E+93</t>
  </si>
  <si>
    <t>165000000000</t>
  </si>
  <si>
    <t>混沌蝙蝠</t>
  </si>
  <si>
    <t>1E+109</t>
  </si>
  <si>
    <t>1E+134</t>
  </si>
  <si>
    <t>1E+163</t>
  </si>
  <si>
    <t>1E+53</t>
  </si>
  <si>
    <t>1E+9</t>
  </si>
  <si>
    <t>1E+96</t>
  </si>
  <si>
    <t>170000000000</t>
  </si>
  <si>
    <t>混沌骷髅</t>
  </si>
  <si>
    <t>1E+137</t>
  </si>
  <si>
    <t>1E+166</t>
  </si>
  <si>
    <t>1E+55</t>
  </si>
  <si>
    <t>1E+11</t>
  </si>
  <si>
    <t>175000000000</t>
  </si>
  <si>
    <t>混沌僵尸</t>
  </si>
  <si>
    <t>1E+115</t>
  </si>
  <si>
    <t>1E+140</t>
  </si>
  <si>
    <t>1E+169</t>
  </si>
  <si>
    <t>1E+57</t>
  </si>
  <si>
    <t>1E+13</t>
  </si>
  <si>
    <t>1E+102</t>
  </si>
  <si>
    <t>180000000000</t>
  </si>
  <si>
    <t>混沌毒蛇</t>
  </si>
  <si>
    <t>1E+118</t>
  </si>
  <si>
    <t>1E+143</t>
  </si>
  <si>
    <t>1E+172</t>
  </si>
  <si>
    <t>1E+59</t>
  </si>
  <si>
    <t>1E+15</t>
  </si>
  <si>
    <t>1E+105</t>
  </si>
  <si>
    <t>185000000000</t>
  </si>
  <si>
    <t>混沌野狼</t>
  </si>
  <si>
    <t>1E+175</t>
  </si>
  <si>
    <t>1E+17</t>
  </si>
  <si>
    <t>1E+107</t>
  </si>
  <si>
    <t>190000000000</t>
  </si>
  <si>
    <t>混沌沙虫</t>
  </si>
  <si>
    <t>1E+122</t>
  </si>
  <si>
    <t>1E+178</t>
  </si>
  <si>
    <t>1E+63</t>
  </si>
  <si>
    <t>1E+19</t>
  </si>
  <si>
    <t>195000000000</t>
  </si>
  <si>
    <t>混沌小鹰</t>
  </si>
  <si>
    <t>1E+181</t>
  </si>
  <si>
    <t>1E+65</t>
  </si>
  <si>
    <t>1E+21</t>
  </si>
  <si>
    <t>1E+111</t>
  </si>
  <si>
    <t>混沌角虫</t>
  </si>
  <si>
    <t>1E+184</t>
  </si>
  <si>
    <t>1E+67</t>
  </si>
  <si>
    <t>1E+23</t>
  </si>
  <si>
    <t>1E+113</t>
  </si>
  <si>
    <t>210000000000</t>
  </si>
  <si>
    <t>混沌蜈蚣</t>
  </si>
  <si>
    <t>1E+187</t>
  </si>
  <si>
    <t>1E+69</t>
  </si>
  <si>
    <t>1E+25</t>
  </si>
  <si>
    <t>220000000000</t>
  </si>
  <si>
    <t>混沌钳虫</t>
  </si>
  <si>
    <t>1E+130</t>
  </si>
  <si>
    <t>1E+189</t>
  </si>
  <si>
    <t>1E+70</t>
  </si>
  <si>
    <t>1E+28</t>
  </si>
  <si>
    <t>230000000000</t>
  </si>
  <si>
    <t>混沌蠕虫</t>
  </si>
  <si>
    <t>1E+132</t>
  </si>
  <si>
    <t>1E+191</t>
  </si>
  <si>
    <t>1E+71</t>
  </si>
  <si>
    <t>1E+31</t>
  </si>
  <si>
    <t>240000000000</t>
  </si>
  <si>
    <t>混沌黑猪</t>
  </si>
  <si>
    <t>1E+193</t>
  </si>
  <si>
    <t>1E+72</t>
  </si>
  <si>
    <t>1E+34</t>
  </si>
  <si>
    <t>250000000000</t>
  </si>
  <si>
    <t>混沌红猪</t>
  </si>
  <si>
    <t>1E+136</t>
  </si>
  <si>
    <t>1E+195</t>
  </si>
  <si>
    <t>1E+73</t>
  </si>
  <si>
    <t>1E+37</t>
  </si>
  <si>
    <t>260000000000</t>
  </si>
  <si>
    <t>混沌蝎蛇</t>
  </si>
  <si>
    <t>1E+138</t>
  </si>
  <si>
    <t>1E+197</t>
  </si>
  <si>
    <t>1E+40</t>
  </si>
  <si>
    <t>270000000000</t>
  </si>
  <si>
    <t>混沌恶魔</t>
  </si>
  <si>
    <t>9E+140</t>
  </si>
  <si>
    <t>1E+199</t>
  </si>
  <si>
    <t>1E+75</t>
  </si>
  <si>
    <t>280000000000</t>
  </si>
  <si>
    <t>混沌勇士</t>
  </si>
  <si>
    <t>9E+142</t>
  </si>
  <si>
    <t>1E+201</t>
  </si>
  <si>
    <t>1E+76</t>
  </si>
  <si>
    <t>1E+46</t>
  </si>
  <si>
    <t>290000000000</t>
  </si>
  <si>
    <t>混沌雕像</t>
  </si>
  <si>
    <t>9E+144</t>
  </si>
  <si>
    <t>1E+203</t>
  </si>
  <si>
    <t>1E+77</t>
  </si>
  <si>
    <t>300000000000</t>
  </si>
  <si>
    <t>混沌卫士</t>
  </si>
  <si>
    <t>9E+146</t>
  </si>
  <si>
    <t>1E+205</t>
  </si>
  <si>
    <t>1E+52</t>
  </si>
  <si>
    <t>310000000000</t>
  </si>
  <si>
    <t>混沌魔猪</t>
  </si>
  <si>
    <t>9E+148</t>
  </si>
  <si>
    <t>1E+207</t>
  </si>
  <si>
    <t>1E+79</t>
  </si>
  <si>
    <t>320000000000</t>
  </si>
  <si>
    <t>混沌树妖</t>
  </si>
  <si>
    <t>1E+209</t>
  </si>
  <si>
    <t>1E+80</t>
  </si>
  <si>
    <t>1E+58</t>
  </si>
  <si>
    <t>330000000000</t>
  </si>
  <si>
    <t>混沌侍卫</t>
  </si>
  <si>
    <t>1E+152</t>
  </si>
  <si>
    <t>1E+211</t>
  </si>
  <si>
    <t>1E+81</t>
  </si>
  <si>
    <t>340000000000</t>
  </si>
  <si>
    <t>混沌剧毒</t>
  </si>
  <si>
    <t>1E+213</t>
  </si>
  <si>
    <t>1E+64</t>
  </si>
  <si>
    <t>350000000000</t>
  </si>
  <si>
    <t>混沌锤兵</t>
  </si>
  <si>
    <t>1E+156</t>
  </si>
  <si>
    <t>1E+215</t>
  </si>
  <si>
    <t>1E+83</t>
  </si>
  <si>
    <t>1E+144</t>
  </si>
  <si>
    <t>360000000000</t>
  </si>
  <si>
    <t>混沌魔牛</t>
  </si>
  <si>
    <t>1E+158</t>
  </si>
  <si>
    <t>1E+217</t>
  </si>
  <si>
    <t>1E+84</t>
  </si>
  <si>
    <t>370000000000</t>
  </si>
  <si>
    <t>混沌水龙</t>
  </si>
  <si>
    <t>1E+219</t>
  </si>
  <si>
    <t>1E+85</t>
  </si>
  <si>
    <t>1E+148</t>
  </si>
  <si>
    <t>380000000000</t>
  </si>
  <si>
    <t>混沌土龙</t>
  </si>
  <si>
    <t>1E+162</t>
  </si>
  <si>
    <t>1E+221</t>
  </si>
  <si>
    <t>390000000000</t>
  </si>
  <si>
    <t>混沌毒龙</t>
  </si>
  <si>
    <t>1E+164</t>
  </si>
  <si>
    <t>1E+223</t>
  </si>
  <si>
    <t>400000000000</t>
  </si>
  <si>
    <t>混沌火龙</t>
  </si>
  <si>
    <t>1E+225</t>
  </si>
  <si>
    <t>1E+88</t>
  </si>
  <si>
    <t>410000000000</t>
  </si>
  <si>
    <t>混沌冰龙</t>
  </si>
  <si>
    <t>1E+168</t>
  </si>
  <si>
    <t>1E+227</t>
  </si>
  <si>
    <t>1E+89</t>
  </si>
  <si>
    <t>420000000000</t>
  </si>
  <si>
    <t>虚无鸡</t>
  </si>
  <si>
    <t>1E+200</t>
  </si>
  <si>
    <t>1E+230</t>
  </si>
  <si>
    <t>1E+180</t>
  </si>
  <si>
    <t>430000000000</t>
  </si>
  <si>
    <t>虚无鹿</t>
  </si>
  <si>
    <t>1E+233</t>
  </si>
  <si>
    <t>1E+185</t>
  </si>
  <si>
    <t>440000000000</t>
  </si>
  <si>
    <t>虚无草人</t>
  </si>
  <si>
    <t>1E+210</t>
  </si>
  <si>
    <t>1E+236</t>
  </si>
  <si>
    <t>1E+97</t>
  </si>
  <si>
    <t>1E+190</t>
  </si>
  <si>
    <t>450000000000</t>
  </si>
  <si>
    <t>虚无猫</t>
  </si>
  <si>
    <t>1E+239</t>
  </si>
  <si>
    <t>1E+101</t>
  </si>
  <si>
    <t>460000000000</t>
  </si>
  <si>
    <t>虚无花</t>
  </si>
  <si>
    <t>1E+220</t>
  </si>
  <si>
    <t>1E+242</t>
  </si>
  <si>
    <t>470000000000</t>
  </si>
  <si>
    <t>虚无雪人</t>
  </si>
  <si>
    <t>1E+245</t>
  </si>
  <si>
    <t>1E+108</t>
  </si>
  <si>
    <t>480000000000</t>
  </si>
  <si>
    <t>虚无蝙蝠</t>
  </si>
  <si>
    <t>1E+248</t>
  </si>
  <si>
    <t>490000000000</t>
  </si>
  <si>
    <t>虚无骷髅</t>
  </si>
  <si>
    <t>1E+235</t>
  </si>
  <si>
    <t>1E+251</t>
  </si>
  <si>
    <t>1E+114</t>
  </si>
  <si>
    <t>500000000000</t>
  </si>
  <si>
    <t>虚无僵尸</t>
  </si>
  <si>
    <t>1E+240</t>
  </si>
  <si>
    <t>1E+254</t>
  </si>
  <si>
    <t>1E+117</t>
  </si>
  <si>
    <t>510000000000</t>
  </si>
  <si>
    <t>虚无毒蛇</t>
  </si>
  <si>
    <t>1E+257</t>
  </si>
  <si>
    <t>520000000000</t>
  </si>
  <si>
    <t>虚无野狼</t>
  </si>
  <si>
    <t>1E+260</t>
  </si>
  <si>
    <t>1E+123</t>
  </si>
  <si>
    <t>530000000000</t>
  </si>
  <si>
    <t>虚无沙虫</t>
  </si>
  <si>
    <t>1E+263</t>
  </si>
  <si>
    <t>540000000000</t>
  </si>
  <si>
    <t>虚无小鹰</t>
  </si>
  <si>
    <t>1E+266</t>
  </si>
  <si>
    <t>1E+129</t>
  </si>
  <si>
    <t>550000000000</t>
  </si>
  <si>
    <t>虚无角虫</t>
  </si>
  <si>
    <t>1E+269</t>
  </si>
  <si>
    <t>560000000000</t>
  </si>
  <si>
    <t>虚无蜈蚣</t>
  </si>
  <si>
    <t>1E+272</t>
  </si>
  <si>
    <t>1E+135</t>
  </si>
  <si>
    <t>1E+250</t>
  </si>
  <si>
    <t>570000000000</t>
  </si>
  <si>
    <t>虚无钳虫</t>
  </si>
  <si>
    <t>1E+275</t>
  </si>
  <si>
    <t>1E+252</t>
  </si>
  <si>
    <t>580000000000</t>
  </si>
  <si>
    <t>虚无蠕虫</t>
  </si>
  <si>
    <t>1E+278</t>
  </si>
  <si>
    <t>1E+141</t>
  </si>
  <si>
    <t>590000000000</t>
  </si>
  <si>
    <t>虚无黑猪</t>
  </si>
  <si>
    <t>1E+281</t>
  </si>
  <si>
    <t>1E+256</t>
  </si>
  <si>
    <t>600000000000</t>
  </si>
  <si>
    <t>虚无红猪</t>
  </si>
  <si>
    <t>1E+284</t>
  </si>
  <si>
    <t>1E+147</t>
  </si>
  <si>
    <t>1E+258</t>
  </si>
  <si>
    <t>610000000000</t>
  </si>
  <si>
    <t>虚无蝎蛇</t>
  </si>
  <si>
    <t>1E+287</t>
  </si>
  <si>
    <t>620000000000</t>
  </si>
  <si>
    <t>虚无恶魔</t>
  </si>
  <si>
    <t>1E+276</t>
  </si>
  <si>
    <t>1E+290</t>
  </si>
  <si>
    <t>1E+153</t>
  </si>
  <si>
    <t>1E+262</t>
  </si>
  <si>
    <t>630000000000</t>
  </si>
  <si>
    <t>虚无勇士</t>
  </si>
  <si>
    <t>1E+277</t>
  </si>
  <si>
    <t>1E+293</t>
  </si>
  <si>
    <t>1E+264</t>
  </si>
  <si>
    <t>640000000000</t>
  </si>
  <si>
    <t>虚无雕像</t>
  </si>
  <si>
    <t>1E+296</t>
  </si>
  <si>
    <t>1E+159</t>
  </si>
  <si>
    <t>650000000000</t>
  </si>
  <si>
    <t>虚无卫士</t>
  </si>
  <si>
    <t>1E+279</t>
  </si>
  <si>
    <t>1E+299</t>
  </si>
  <si>
    <t>1E+268</t>
  </si>
  <si>
    <t>660000000000</t>
  </si>
  <si>
    <t>虚无魔猪</t>
  </si>
  <si>
    <t>1E+280</t>
  </si>
  <si>
    <t>1E+302</t>
  </si>
  <si>
    <t>1E+165</t>
  </si>
  <si>
    <t>1E+270</t>
  </si>
  <si>
    <t>670000000000</t>
  </si>
  <si>
    <t>虚无树妖</t>
  </si>
  <si>
    <t>1E+305</t>
  </si>
  <si>
    <t>680000000000</t>
  </si>
  <si>
    <t>虚无侍卫</t>
  </si>
  <si>
    <t>1E+282</t>
  </si>
  <si>
    <t>1E+308</t>
  </si>
  <si>
    <t>1E+171</t>
  </si>
  <si>
    <t>1E+274</t>
  </si>
  <si>
    <t>690000000000</t>
  </si>
  <si>
    <t>虚无剧毒</t>
  </si>
  <si>
    <t>1E+283</t>
  </si>
  <si>
    <t>1E+311</t>
  </si>
  <si>
    <t>1E+174</t>
  </si>
  <si>
    <t>700000000000</t>
  </si>
  <si>
    <t>虚无锤兵</t>
  </si>
  <si>
    <t>1E+314</t>
  </si>
  <si>
    <t>1E+177</t>
  </si>
  <si>
    <t>720000000000</t>
  </si>
  <si>
    <t>虚无魔牛</t>
  </si>
  <si>
    <t>1E+285</t>
  </si>
  <si>
    <t>1E+317</t>
  </si>
  <si>
    <t>740000000000</t>
  </si>
  <si>
    <t>虚无水龙</t>
  </si>
  <si>
    <t>1E+286</t>
  </si>
  <si>
    <t>1E+320</t>
  </si>
  <si>
    <t>1E+183</t>
  </si>
  <si>
    <t>760000000000</t>
  </si>
  <si>
    <t>虚无土龙</t>
  </si>
  <si>
    <t>1E+323</t>
  </si>
  <si>
    <t>1E+186</t>
  </si>
  <si>
    <t>780000000000</t>
  </si>
  <si>
    <t>虚无毒龙</t>
  </si>
  <si>
    <t>1E+288</t>
  </si>
  <si>
    <t>1E+326</t>
  </si>
  <si>
    <t>800000000000</t>
  </si>
  <si>
    <t>虚无火龙</t>
  </si>
  <si>
    <t>1E+289</t>
  </si>
  <si>
    <t>1E+329</t>
  </si>
  <si>
    <t>1E+192</t>
  </si>
  <si>
    <t>820000000000</t>
  </si>
  <si>
    <t>虚无冰龙</t>
  </si>
  <si>
    <t>1E+332</t>
  </si>
  <si>
    <t>840000000000</t>
  </si>
  <si>
    <t>鸿蒙鸡</t>
  </si>
  <si>
    <t>1E+291</t>
  </si>
  <si>
    <t>1E+340</t>
  </si>
  <si>
    <t>1E+198</t>
  </si>
  <si>
    <t>860000000000</t>
  </si>
  <si>
    <t>鸿蒙鹿</t>
  </si>
  <si>
    <t>1E+292</t>
  </si>
  <si>
    <t>1E+345</t>
  </si>
  <si>
    <t>880000000000</t>
  </si>
  <si>
    <t>鸿蒙草人</t>
  </si>
  <si>
    <t>1E+350</t>
  </si>
  <si>
    <t>1E+204</t>
  </si>
  <si>
    <t>900000000000</t>
  </si>
  <si>
    <t>鸿蒙猫</t>
  </si>
  <si>
    <t>1E+294</t>
  </si>
  <si>
    <t>1E+355</t>
  </si>
  <si>
    <t>920000000000</t>
  </si>
  <si>
    <t>鸿蒙花</t>
  </si>
  <si>
    <t>1E+295</t>
  </si>
  <si>
    <t>1E+360</t>
  </si>
  <si>
    <t>940000000000</t>
  </si>
  <si>
    <t>鸿蒙雪人</t>
  </si>
  <si>
    <t>1E+365</t>
  </si>
  <si>
    <t>960000000000</t>
  </si>
  <si>
    <t>鸿蒙蝙蝠</t>
  </si>
  <si>
    <t>1E+297</t>
  </si>
  <si>
    <t>1E+370</t>
  </si>
  <si>
    <t>980000000000</t>
  </si>
  <si>
    <t>鸿蒙骷髅</t>
  </si>
  <si>
    <t>1E+298</t>
  </si>
  <si>
    <t>1E+375</t>
  </si>
  <si>
    <t>1030000000000</t>
  </si>
  <si>
    <t>鸿蒙僵尸</t>
  </si>
  <si>
    <t>1E+380</t>
  </si>
  <si>
    <t>1060000000000</t>
  </si>
  <si>
    <t>鸿蒙毒蛇</t>
  </si>
  <si>
    <t>1E+300</t>
  </si>
  <si>
    <t>1E+385</t>
  </si>
  <si>
    <t>1E+226</t>
  </si>
  <si>
    <t>1090000000000</t>
  </si>
  <si>
    <t>鸿蒙野狼</t>
  </si>
  <si>
    <t>1E+301</t>
  </si>
  <si>
    <t>1E+390</t>
  </si>
  <si>
    <t>1E+229</t>
  </si>
  <si>
    <t>1120000000000</t>
  </si>
  <si>
    <t>鸿蒙沙虫</t>
  </si>
  <si>
    <t>1E+395</t>
  </si>
  <si>
    <t>1E+232</t>
  </si>
  <si>
    <t>1150000000000</t>
  </si>
  <si>
    <t>鸿蒙小鹰</t>
  </si>
  <si>
    <t>1E+303</t>
  </si>
  <si>
    <t>1E+400</t>
  </si>
  <si>
    <t>1180000000000</t>
  </si>
  <si>
    <t>鸿蒙角虫</t>
  </si>
  <si>
    <t>1E+304</t>
  </si>
  <si>
    <t>1E+405</t>
  </si>
  <si>
    <t>1E+238</t>
  </si>
  <si>
    <t>1210000000000</t>
  </si>
  <si>
    <t>鸿蒙蜈蚣</t>
  </si>
  <si>
    <t>1E+410</t>
  </si>
  <si>
    <t>1E+241</t>
  </si>
  <si>
    <t>1E+336</t>
  </si>
  <si>
    <t>1240000000000</t>
  </si>
  <si>
    <t>鸿蒙钳虫</t>
  </si>
  <si>
    <t>1E+306</t>
  </si>
  <si>
    <t>1E+415</t>
  </si>
  <si>
    <t>1E+244</t>
  </si>
  <si>
    <t>1270000000000</t>
  </si>
  <si>
    <t>鸿蒙蠕虫</t>
  </si>
  <si>
    <t>1E+307</t>
  </si>
  <si>
    <t>1E+420</t>
  </si>
  <si>
    <t>1E+247</t>
  </si>
  <si>
    <t>1300000000000</t>
  </si>
  <si>
    <t>鸿蒙黑猪</t>
  </si>
  <si>
    <t>1E+425</t>
  </si>
  <si>
    <t>1340000000000</t>
  </si>
  <si>
    <t>鸿蒙红猪</t>
  </si>
  <si>
    <t>1E+309</t>
  </si>
  <si>
    <t>1E+430</t>
  </si>
  <si>
    <t>1E+253</t>
  </si>
  <si>
    <t>1380000000000</t>
  </si>
  <si>
    <t>鸿蒙蝎蛇</t>
  </si>
  <si>
    <t>1E+310</t>
  </si>
  <si>
    <t>1E+435</t>
  </si>
  <si>
    <t>1420000000000</t>
  </si>
  <si>
    <t>鸿蒙恶魔</t>
  </si>
  <si>
    <t>1E+440</t>
  </si>
  <si>
    <t>1E+259</t>
  </si>
  <si>
    <t>1460000000000</t>
  </si>
  <si>
    <t>鸿蒙勇士</t>
  </si>
  <si>
    <t>1E+312</t>
  </si>
  <si>
    <t>1E+445</t>
  </si>
  <si>
    <t>鸿蒙雕像</t>
  </si>
  <si>
    <t>1E+313</t>
  </si>
  <si>
    <t>1E+450</t>
  </si>
  <si>
    <t>1E+265</t>
  </si>
  <si>
    <t>1540000000000</t>
  </si>
  <si>
    <t>鸿蒙卫士</t>
  </si>
  <si>
    <t>1E+455</t>
  </si>
  <si>
    <t>1580000000000</t>
  </si>
  <si>
    <t>鸿蒙魔猪</t>
  </si>
  <si>
    <t>1E+315</t>
  </si>
  <si>
    <t>1E+460</t>
  </si>
  <si>
    <t>1E+271</t>
  </si>
  <si>
    <t>1620000000000</t>
  </si>
  <si>
    <t>鸿蒙树妖</t>
  </si>
  <si>
    <t>1E+316</t>
  </si>
  <si>
    <t>1E+465</t>
  </si>
  <si>
    <t>1660000000000</t>
  </si>
  <si>
    <t>鸿蒙侍卫</t>
  </si>
  <si>
    <t>1E+470</t>
  </si>
  <si>
    <t>1700000000000</t>
  </si>
  <si>
    <t>鸿蒙剧毒</t>
  </si>
  <si>
    <t>1E+318</t>
  </si>
  <si>
    <t>1E+475</t>
  </si>
  <si>
    <t>1750000000000</t>
  </si>
  <si>
    <t>鸿蒙锤兵</t>
  </si>
  <si>
    <t>1E+319</t>
  </si>
  <si>
    <t>1E+480</t>
  </si>
  <si>
    <t>1800000000000</t>
  </si>
  <si>
    <t>鸿蒙魔牛</t>
  </si>
  <si>
    <t>1E+485</t>
  </si>
  <si>
    <t>1850000000000</t>
  </si>
  <si>
    <t>鸿蒙水龙</t>
  </si>
  <si>
    <t>1E+321</t>
  </si>
  <si>
    <t>1E+490</t>
  </si>
  <si>
    <t>1900000000000</t>
  </si>
  <si>
    <t>鸿蒙土龙</t>
  </si>
  <si>
    <t>1E+322</t>
  </si>
  <si>
    <t>1E+495</t>
  </si>
  <si>
    <t>1950000000000</t>
  </si>
  <si>
    <t>鸿蒙毒龙</t>
  </si>
  <si>
    <t>1E+500</t>
  </si>
  <si>
    <t>2000000000000</t>
  </si>
  <si>
    <t>鸿蒙火龙</t>
  </si>
  <si>
    <t>1E+324</t>
  </si>
  <si>
    <t>1E+505</t>
  </si>
  <si>
    <t>2050000000000</t>
  </si>
  <si>
    <t>鸿蒙冰龙</t>
  </si>
  <si>
    <t>1E+325</t>
  </si>
  <si>
    <t>1E+510</t>
  </si>
  <si>
    <t>2100000000000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</si>
</sst>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name val="等线"/>
      <charset val="134"/>
    </font>
    <font>
      <sz val="9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0" borderId="0" xfId="0" applyNumberFormat="1" applyFont="1"/>
    <xf numFmtId="0" fontId="2" fillId="4" borderId="0" xfId="0" applyFont="1" applyFill="1" applyAlignment="1">
      <alignment horizontal="center"/>
    </xf>
    <xf numFmtId="0" fontId="3" fillId="0" borderId="0" xfId="0" applyNumberFormat="1" applyFont="1" applyFill="1"/>
    <xf numFmtId="0" fontId="3" fillId="0" borderId="0" xfId="0" applyFont="1" applyFill="1"/>
    <xf numFmtId="0" fontId="3" fillId="0" borderId="0" xfId="0" applyFont="1"/>
    <xf numFmtId="176" fontId="1" fillId="0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left"/>
    </xf>
    <xf numFmtId="0" fontId="3" fillId="0" borderId="0" xfId="0" applyNumberFormat="1" applyFont="1"/>
    <xf numFmtId="0" fontId="3" fillId="3" borderId="0" xfId="0" applyNumberFormat="1" applyFont="1" applyFill="1"/>
    <xf numFmtId="0" fontId="3" fillId="3" borderId="0" xfId="0" applyFont="1" applyFill="1"/>
    <xf numFmtId="0" fontId="4" fillId="0" borderId="0" xfId="0" applyFont="1"/>
    <xf numFmtId="0" fontId="1" fillId="0" borderId="0" xfId="0" applyNumberFormat="1" applyFont="1" applyFill="1"/>
    <xf numFmtId="176" fontId="1" fillId="4" borderId="0" xfId="0" applyNumberFormat="1" applyFont="1" applyFill="1"/>
    <xf numFmtId="0" fontId="1" fillId="4" borderId="0" xfId="0" applyFont="1" applyFill="1"/>
    <xf numFmtId="49" fontId="1" fillId="4" borderId="0" xfId="0" applyNumberFormat="1" applyFont="1" applyFill="1"/>
    <xf numFmtId="176" fontId="1" fillId="0" borderId="0" xfId="0" applyNumberFormat="1" applyFont="1"/>
    <xf numFmtId="49" fontId="1" fillId="0" borderId="0" xfId="0" applyNumberFormat="1" applyFont="1"/>
    <xf numFmtId="0" fontId="1" fillId="2" borderId="0" xfId="0" applyNumberFormat="1" applyFont="1" applyFill="1"/>
    <xf numFmtId="176" fontId="1" fillId="2" borderId="0" xfId="0" applyNumberFormat="1" applyFont="1" applyFill="1"/>
    <xf numFmtId="49" fontId="1" fillId="2" borderId="0" xfId="0" applyNumberFormat="1" applyFont="1" applyFill="1"/>
    <xf numFmtId="0" fontId="4" fillId="0" borderId="0" xfId="0" applyNumberFormat="1" applyFont="1"/>
    <xf numFmtId="176" fontId="1" fillId="2" borderId="0" xfId="0" applyNumberFormat="1" applyFont="1" applyFill="1" applyAlignment="1">
      <alignment horizontal="left"/>
    </xf>
    <xf numFmtId="176" fontId="3" fillId="3" borderId="0" xfId="0" applyNumberFormat="1" applyFont="1" applyFill="1" applyAlignment="1">
      <alignment horizontal="left"/>
    </xf>
    <xf numFmtId="176" fontId="1" fillId="3" borderId="0" xfId="0" applyNumberFormat="1" applyFont="1" applyFill="1" applyAlignment="1">
      <alignment horizontal="left"/>
    </xf>
    <xf numFmtId="0" fontId="1" fillId="0" borderId="0" xfId="0" applyFont="1" quotePrefix="1"/>
    <xf numFmtId="176" fontId="1" fillId="4" borderId="0" xfId="0" applyNumberFormat="1" applyFont="1" applyFill="1" quotePrefix="1"/>
    <xf numFmtId="0" fontId="1" fillId="4" borderId="0" xfId="0" applyFont="1" applyFill="1" quotePrefix="1"/>
    <xf numFmtId="49" fontId="1" fillId="4" borderId="0" xfId="0" applyNumberFormat="1" applyFont="1" applyFill="1" quotePrefix="1"/>
    <xf numFmtId="176" fontId="1" fillId="0" borderId="0" xfId="0" applyNumberFormat="1" applyFont="1" quotePrefix="1"/>
    <xf numFmtId="49" fontId="1" fillId="0" borderId="0" xfId="0" applyNumberFormat="1" applyFont="1" quotePrefix="1"/>
    <xf numFmtId="0" fontId="1" fillId="2" borderId="0" xfId="0" applyFont="1" applyFill="1" quotePrefix="1"/>
    <xf numFmtId="0" fontId="4" fillId="0" borderId="0" xfId="0" applyFont="1" quotePrefix="1"/>
    <xf numFmtId="176" fontId="3" fillId="0" borderId="0" xfId="0" applyNumberFormat="1" applyFont="1" applyFill="1" applyAlignment="1" quotePrefix="1">
      <alignment horizontal="left"/>
    </xf>
    <xf numFmtId="0" fontId="3" fillId="0" borderId="0" xfId="0" applyFont="1" quotePrefix="1"/>
    <xf numFmtId="176" fontId="1" fillId="0" borderId="0" xfId="0" applyNumberFormat="1" applyFont="1" applyFill="1" applyAlignment="1" quotePrefix="1">
      <alignment horizontal="left"/>
    </xf>
    <xf numFmtId="176" fontId="1" fillId="2" borderId="0" xfId="0" applyNumberFormat="1" applyFont="1" applyFill="1" applyAlignment="1" quotePrefix="1">
      <alignment horizontal="left"/>
    </xf>
    <xf numFmtId="0" fontId="1" fillId="0" borderId="0" xfId="0" applyFont="1" applyFill="1" quotePrefix="1"/>
    <xf numFmtId="0" fontId="3" fillId="0" borderId="0" xfId="0" applyFont="1" applyFill="1" quotePrefix="1"/>
    <xf numFmtId="176" fontId="3" fillId="3" borderId="0" xfId="0" applyNumberFormat="1" applyFont="1" applyFill="1" applyAlignment="1" quotePrefix="1">
      <alignment horizontal="left"/>
    </xf>
    <xf numFmtId="176" fontId="1" fillId="3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1"/>
  <sheetViews>
    <sheetView topLeftCell="A208" workbookViewId="0">
      <selection activeCell="U251" sqref="U251:V251"/>
    </sheetView>
  </sheetViews>
  <sheetFormatPr defaultColWidth="9" defaultRowHeight="18" customHeight="1"/>
  <cols>
    <col min="1" max="1" width="6.875" style="5" customWidth="1"/>
    <col min="2" max="2" width="9" style="5"/>
    <col min="3" max="3" width="9.875" style="1" customWidth="1"/>
    <col min="4" max="4" width="11.125" style="1" customWidth="1"/>
    <col min="5" max="5" width="5.875" style="1" customWidth="1"/>
    <col min="6" max="6" width="12.125" style="1" customWidth="1"/>
    <col min="7" max="7" width="32.5083333333333" style="5" customWidth="1"/>
    <col min="8" max="8" width="24.6666666666667" style="5" customWidth="1"/>
    <col min="9" max="9" width="21.75" style="5" customWidth="1"/>
    <col min="10" max="10" width="11.75" style="5" customWidth="1"/>
    <col min="11" max="11" width="8.75" style="5" customWidth="1"/>
    <col min="12" max="12" width="11.75" style="5" customWidth="1"/>
    <col min="13" max="13" width="12.75" style="5" customWidth="1"/>
    <col min="14" max="14" width="9.375" style="5" customWidth="1"/>
    <col min="15" max="15" width="9.125" style="5" customWidth="1"/>
    <col min="16" max="17" width="8.75" style="5" customWidth="1"/>
    <col min="18" max="18" width="9.875" style="5" customWidth="1"/>
    <col min="19" max="19" width="7.50833333333333" style="5" customWidth="1"/>
    <col min="20" max="20" width="7.125" style="5" customWidth="1"/>
    <col min="21" max="21" width="16.375" style="5" customWidth="1"/>
    <col min="22" max="22" width="13" style="5" customWidth="1"/>
    <col min="23" max="23" width="11.125" style="1"/>
    <col min="24" max="24" width="9" style="1"/>
    <col min="25" max="25" width="13.625" style="5" customWidth="1"/>
    <col min="26" max="26" width="8.125" style="5" customWidth="1"/>
    <col min="27" max="27" width="9.625" style="5" customWidth="1"/>
    <col min="28" max="16384" width="9" style="5"/>
  </cols>
  <sheetData>
    <row r="1" s="1" customFormat="1" customHeight="1" spans="1:27">
      <c r="A1" s="5"/>
      <c r="B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Y1" s="5"/>
      <c r="Z1" s="5"/>
      <c r="AA1" s="5"/>
    </row>
    <row r="2" s="1" customFormat="1" customHeight="1" spans="1:27">
      <c r="A2" s="5"/>
      <c r="B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Y2" s="5"/>
      <c r="Z2" s="5"/>
      <c r="AA2" s="5"/>
    </row>
    <row r="3" s="1" customFormat="1" customHeight="1" spans="1:27">
      <c r="A3" s="5"/>
      <c r="B3" s="5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Y3" s="5"/>
      <c r="Z3" s="5"/>
      <c r="AA3" s="5"/>
    </row>
    <row r="4" s="1" customFormat="1" customHeight="1" spans="1:27">
      <c r="A4" s="5"/>
      <c r="B4" s="5"/>
      <c r="C4" s="6" t="s">
        <v>20</v>
      </c>
      <c r="D4" s="6" t="s">
        <v>21</v>
      </c>
      <c r="E4" s="6" t="s">
        <v>2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14</v>
      </c>
      <c r="R4" s="6" t="s">
        <v>15</v>
      </c>
      <c r="S4" s="6" t="s">
        <v>16</v>
      </c>
      <c r="T4" s="6" t="s">
        <v>17</v>
      </c>
      <c r="U4" s="6" t="s">
        <v>26</v>
      </c>
      <c r="V4" s="6" t="s">
        <v>27</v>
      </c>
      <c r="Y4" s="5"/>
      <c r="Z4" s="5"/>
      <c r="AA4" s="5"/>
    </row>
    <row r="5" s="1" customFormat="1" customHeight="1" spans="1:27">
      <c r="A5" s="5"/>
      <c r="B5" s="5"/>
      <c r="C5" s="6" t="s">
        <v>28</v>
      </c>
      <c r="D5" s="6" t="s">
        <v>28</v>
      </c>
      <c r="E5" s="6" t="s">
        <v>28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s">
        <v>30</v>
      </c>
      <c r="U5" s="6" t="s">
        <v>31</v>
      </c>
      <c r="V5" s="6" t="s">
        <v>31</v>
      </c>
      <c r="Y5" s="5"/>
      <c r="Z5" s="5"/>
      <c r="AA5" s="5"/>
    </row>
    <row r="6" ht="14" hidden="1" spans="1:27">
      <c r="C6" s="1" t="s">
        <v>32</v>
      </c>
      <c r="D6" s="1" t="s">
        <v>33</v>
      </c>
      <c r="E6" s="1">
        <v>1</v>
      </c>
      <c r="F6" s="1" t="s">
        <v>34</v>
      </c>
      <c r="G6" s="29" t="s">
        <v>35</v>
      </c>
      <c r="H6" s="29" t="s">
        <v>36</v>
      </c>
      <c r="I6" s="29" t="s">
        <v>37</v>
      </c>
      <c r="J6" s="1">
        <v>0</v>
      </c>
      <c r="K6" s="1"/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6">
        <v>0</v>
      </c>
      <c r="S6" s="16">
        <v>0</v>
      </c>
      <c r="T6" s="16">
        <v>0</v>
      </c>
      <c r="U6" s="1" t="s">
        <v>38</v>
      </c>
      <c r="V6" s="1" t="s">
        <v>38</v>
      </c>
    </row>
    <row r="7" hidden="1" customHeight="1" spans="1:27">
      <c r="C7" s="1" t="s">
        <v>39</v>
      </c>
      <c r="D7" s="1" t="s">
        <v>40</v>
      </c>
      <c r="E7" s="1">
        <v>1</v>
      </c>
      <c r="F7" s="1" t="s">
        <v>41</v>
      </c>
      <c r="G7" s="1" t="s">
        <v>37</v>
      </c>
      <c r="H7" s="1" t="s">
        <v>38</v>
      </c>
      <c r="I7" s="1" t="s">
        <v>42</v>
      </c>
      <c r="J7" s="1">
        <v>0</v>
      </c>
      <c r="K7" s="1"/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6">
        <v>0</v>
      </c>
      <c r="S7" s="16">
        <v>0</v>
      </c>
      <c r="T7" s="16">
        <v>0</v>
      </c>
      <c r="U7" s="1" t="s">
        <v>37</v>
      </c>
      <c r="V7" s="1" t="s">
        <v>37</v>
      </c>
    </row>
    <row r="8" hidden="1" customHeight="1" spans="1:27">
      <c r="C8" s="1" t="s">
        <v>43</v>
      </c>
      <c r="D8" s="1" t="s">
        <v>44</v>
      </c>
      <c r="E8" s="1">
        <v>1</v>
      </c>
      <c r="F8" s="1" t="s">
        <v>45</v>
      </c>
      <c r="G8" s="1" t="s">
        <v>46</v>
      </c>
      <c r="H8" s="1" t="s">
        <v>47</v>
      </c>
      <c r="I8" s="1" t="s">
        <v>48</v>
      </c>
      <c r="J8" s="1">
        <v>0</v>
      </c>
      <c r="K8" s="1"/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6">
        <v>0</v>
      </c>
      <c r="S8" s="16">
        <v>0</v>
      </c>
      <c r="T8" s="16">
        <v>0</v>
      </c>
      <c r="U8" s="1" t="s">
        <v>46</v>
      </c>
      <c r="V8" s="1" t="s">
        <v>46</v>
      </c>
    </row>
    <row r="9" hidden="1" customHeight="1" spans="1:27">
      <c r="C9" s="1" t="s">
        <v>49</v>
      </c>
      <c r="D9" s="1" t="s">
        <v>50</v>
      </c>
      <c r="E9" s="1">
        <v>1</v>
      </c>
      <c r="F9" s="1" t="s">
        <v>51</v>
      </c>
      <c r="G9" s="1" t="s">
        <v>42</v>
      </c>
      <c r="H9" s="1" t="s">
        <v>33</v>
      </c>
      <c r="I9" s="1" t="s">
        <v>52</v>
      </c>
      <c r="J9" s="1">
        <v>0</v>
      </c>
      <c r="K9" s="1"/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6">
        <v>0</v>
      </c>
      <c r="S9" s="16">
        <v>0</v>
      </c>
      <c r="T9" s="16">
        <v>0</v>
      </c>
      <c r="U9" s="1" t="s">
        <v>42</v>
      </c>
      <c r="V9" s="1" t="s">
        <v>42</v>
      </c>
    </row>
    <row r="10" hidden="1" customHeight="1" spans="1:27">
      <c r="C10" s="1" t="s">
        <v>53</v>
      </c>
      <c r="D10" s="1" t="s">
        <v>54</v>
      </c>
      <c r="E10" s="1">
        <v>1</v>
      </c>
      <c r="F10" s="1" t="s">
        <v>55</v>
      </c>
      <c r="G10" s="1" t="s">
        <v>56</v>
      </c>
      <c r="H10" s="1" t="s">
        <v>46</v>
      </c>
      <c r="I10" s="1" t="s">
        <v>57</v>
      </c>
      <c r="J10" s="1">
        <v>0</v>
      </c>
      <c r="K10" s="1"/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6">
        <v>0</v>
      </c>
      <c r="S10" s="16">
        <v>0</v>
      </c>
      <c r="T10" s="16">
        <v>0</v>
      </c>
      <c r="U10" s="1" t="s">
        <v>56</v>
      </c>
      <c r="V10" s="1" t="s">
        <v>56</v>
      </c>
    </row>
    <row r="11" hidden="1" customHeight="1" spans="1:27">
      <c r="C11" s="1" t="s">
        <v>58</v>
      </c>
      <c r="D11" s="1" t="s">
        <v>59</v>
      </c>
      <c r="E11" s="1">
        <v>1</v>
      </c>
      <c r="F11" s="1" t="s">
        <v>60</v>
      </c>
      <c r="G11" s="1" t="s">
        <v>61</v>
      </c>
      <c r="H11" s="1" t="s">
        <v>62</v>
      </c>
      <c r="I11" s="1" t="s">
        <v>63</v>
      </c>
      <c r="J11" s="1">
        <v>0</v>
      </c>
      <c r="K11" s="1"/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6">
        <v>0</v>
      </c>
      <c r="S11" s="16">
        <v>0</v>
      </c>
      <c r="T11" s="16">
        <v>0</v>
      </c>
      <c r="U11" s="1" t="s">
        <v>64</v>
      </c>
      <c r="V11" s="1" t="s">
        <v>64</v>
      </c>
    </row>
    <row r="12" hidden="1" customHeight="1" spans="1:27">
      <c r="C12" s="1" t="s">
        <v>65</v>
      </c>
      <c r="D12" s="1" t="s">
        <v>66</v>
      </c>
      <c r="E12" s="1">
        <v>1</v>
      </c>
      <c r="F12" s="1" t="s">
        <v>67</v>
      </c>
      <c r="G12" s="1" t="s">
        <v>68</v>
      </c>
      <c r="H12" s="1" t="s">
        <v>69</v>
      </c>
      <c r="I12" s="1" t="s">
        <v>70</v>
      </c>
      <c r="J12" s="1">
        <v>0</v>
      </c>
      <c r="K12" s="1"/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6">
        <v>0</v>
      </c>
      <c r="S12" s="16">
        <v>0</v>
      </c>
      <c r="T12" s="16">
        <v>0</v>
      </c>
      <c r="U12" s="1" t="s">
        <v>71</v>
      </c>
      <c r="V12" s="1" t="s">
        <v>71</v>
      </c>
    </row>
    <row r="13" hidden="1" customHeight="1" spans="1:27">
      <c r="C13" s="1" t="s">
        <v>72</v>
      </c>
      <c r="D13" s="1" t="s">
        <v>73</v>
      </c>
      <c r="E13" s="1">
        <v>1</v>
      </c>
      <c r="F13" s="1" t="s">
        <v>74</v>
      </c>
      <c r="G13" s="1" t="s">
        <v>75</v>
      </c>
      <c r="H13" s="1" t="s">
        <v>76</v>
      </c>
      <c r="I13" s="1" t="s">
        <v>77</v>
      </c>
      <c r="J13" s="1">
        <v>0</v>
      </c>
      <c r="K13" s="1"/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6">
        <v>0</v>
      </c>
      <c r="S13" s="16">
        <v>0</v>
      </c>
      <c r="T13" s="16">
        <v>0</v>
      </c>
      <c r="U13" s="1" t="s">
        <v>57</v>
      </c>
      <c r="V13" s="1" t="s">
        <v>57</v>
      </c>
    </row>
    <row r="14" hidden="1" customHeight="1" spans="1:27">
      <c r="C14" s="1" t="s">
        <v>78</v>
      </c>
      <c r="D14" s="1" t="s">
        <v>79</v>
      </c>
      <c r="E14" s="1">
        <v>1</v>
      </c>
      <c r="F14" s="1" t="s">
        <v>80</v>
      </c>
      <c r="G14" s="1" t="s">
        <v>81</v>
      </c>
      <c r="H14" s="1" t="s">
        <v>82</v>
      </c>
      <c r="I14" s="1" t="s">
        <v>83</v>
      </c>
      <c r="J14" s="1">
        <v>0</v>
      </c>
      <c r="K14" s="1"/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6">
        <v>0</v>
      </c>
      <c r="S14" s="16">
        <v>0</v>
      </c>
      <c r="T14" s="16">
        <v>0</v>
      </c>
      <c r="U14" s="1" t="s">
        <v>84</v>
      </c>
      <c r="V14" s="1" t="s">
        <v>84</v>
      </c>
    </row>
    <row r="15" hidden="1" customHeight="1" spans="1:27">
      <c r="C15" s="1" t="s">
        <v>85</v>
      </c>
      <c r="D15" s="1" t="s">
        <v>86</v>
      </c>
      <c r="E15" s="1">
        <v>1</v>
      </c>
      <c r="F15" s="1" t="s">
        <v>87</v>
      </c>
      <c r="G15" s="1" t="s">
        <v>88</v>
      </c>
      <c r="H15" s="1" t="s">
        <v>89</v>
      </c>
      <c r="I15" s="1" t="s">
        <v>90</v>
      </c>
      <c r="J15" s="1">
        <v>0</v>
      </c>
      <c r="K15" s="1"/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6">
        <v>0</v>
      </c>
      <c r="S15" s="16">
        <v>0</v>
      </c>
      <c r="T15" s="16">
        <v>0</v>
      </c>
      <c r="U15" s="1" t="s">
        <v>91</v>
      </c>
      <c r="V15" s="1" t="s">
        <v>91</v>
      </c>
    </row>
    <row r="16" hidden="1" customHeight="1" spans="1:27">
      <c r="C16" s="1" t="s">
        <v>92</v>
      </c>
      <c r="D16" s="1" t="s">
        <v>93</v>
      </c>
      <c r="E16" s="1">
        <v>1</v>
      </c>
      <c r="F16" s="1" t="s">
        <v>94</v>
      </c>
      <c r="G16" s="1" t="s">
        <v>95</v>
      </c>
      <c r="H16" s="1" t="s">
        <v>96</v>
      </c>
      <c r="I16" s="1" t="s">
        <v>97</v>
      </c>
      <c r="J16" s="1">
        <v>0</v>
      </c>
      <c r="K16" s="1"/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6">
        <v>0</v>
      </c>
      <c r="S16" s="16">
        <v>0</v>
      </c>
      <c r="T16" s="16">
        <v>0</v>
      </c>
      <c r="U16" s="1" t="s">
        <v>98</v>
      </c>
      <c r="V16" s="1" t="s">
        <v>98</v>
      </c>
    </row>
    <row r="17" hidden="1" customHeight="1" spans="3:22">
      <c r="C17" s="1" t="s">
        <v>99</v>
      </c>
      <c r="D17" s="1" t="s">
        <v>100</v>
      </c>
      <c r="E17" s="1">
        <v>1</v>
      </c>
      <c r="F17" s="1" t="s">
        <v>101</v>
      </c>
      <c r="G17" s="1" t="s">
        <v>102</v>
      </c>
      <c r="H17" s="1" t="s">
        <v>103</v>
      </c>
      <c r="I17" s="1" t="s">
        <v>104</v>
      </c>
      <c r="J17" s="1">
        <v>0</v>
      </c>
      <c r="K17" s="1"/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6">
        <v>0</v>
      </c>
      <c r="S17" s="16">
        <v>0</v>
      </c>
      <c r="T17" s="16">
        <v>0</v>
      </c>
      <c r="U17" s="1" t="s">
        <v>105</v>
      </c>
      <c r="V17" s="1" t="s">
        <v>105</v>
      </c>
    </row>
    <row r="18" hidden="1" customHeight="1" spans="3:22">
      <c r="C18" s="1" t="s">
        <v>106</v>
      </c>
      <c r="D18" s="1" t="s">
        <v>107</v>
      </c>
      <c r="E18" s="1">
        <v>1</v>
      </c>
      <c r="F18" s="1" t="s">
        <v>108</v>
      </c>
      <c r="G18" s="1" t="s">
        <v>109</v>
      </c>
      <c r="H18" s="1" t="s">
        <v>110</v>
      </c>
      <c r="I18" s="1" t="s">
        <v>111</v>
      </c>
      <c r="J18" s="1">
        <v>0</v>
      </c>
      <c r="K18" s="1"/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6">
        <v>0</v>
      </c>
      <c r="S18" s="16">
        <v>0</v>
      </c>
      <c r="T18" s="16">
        <v>0</v>
      </c>
      <c r="U18" s="1" t="s">
        <v>112</v>
      </c>
      <c r="V18" s="1" t="s">
        <v>112</v>
      </c>
    </row>
    <row r="19" hidden="1" customHeight="1" spans="3:22">
      <c r="C19" s="1" t="s">
        <v>113</v>
      </c>
      <c r="D19" s="1" t="s">
        <v>114</v>
      </c>
      <c r="E19" s="1">
        <v>1</v>
      </c>
      <c r="F19" s="1" t="s">
        <v>115</v>
      </c>
      <c r="G19" s="1" t="s">
        <v>116</v>
      </c>
      <c r="H19" s="1" t="s">
        <v>117</v>
      </c>
      <c r="I19" s="1" t="s">
        <v>118</v>
      </c>
      <c r="J19" s="1">
        <v>0</v>
      </c>
      <c r="K19" s="1"/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6">
        <v>0</v>
      </c>
      <c r="S19" s="16">
        <v>0</v>
      </c>
      <c r="T19" s="16">
        <v>0</v>
      </c>
      <c r="U19" s="1" t="s">
        <v>119</v>
      </c>
      <c r="V19" s="1" t="s">
        <v>119</v>
      </c>
    </row>
    <row r="20" hidden="1" customHeight="1" spans="3:22">
      <c r="C20" s="1" t="s">
        <v>120</v>
      </c>
      <c r="D20" s="1" t="s">
        <v>121</v>
      </c>
      <c r="E20" s="1">
        <v>1</v>
      </c>
      <c r="F20" s="1" t="s">
        <v>122</v>
      </c>
      <c r="G20" s="1" t="s">
        <v>123</v>
      </c>
      <c r="H20" s="1" t="s">
        <v>124</v>
      </c>
      <c r="I20" s="1" t="s">
        <v>125</v>
      </c>
      <c r="J20" s="1">
        <v>0</v>
      </c>
      <c r="K20" s="1"/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6">
        <v>0</v>
      </c>
      <c r="S20" s="16">
        <v>0</v>
      </c>
      <c r="T20" s="16">
        <v>0</v>
      </c>
      <c r="U20" s="1" t="s">
        <v>126</v>
      </c>
      <c r="V20" s="1" t="s">
        <v>126</v>
      </c>
    </row>
    <row r="21" hidden="1" customHeight="1" spans="3:22">
      <c r="C21" s="1" t="s">
        <v>127</v>
      </c>
      <c r="D21" s="1" t="s">
        <v>128</v>
      </c>
      <c r="E21" s="1">
        <v>1</v>
      </c>
      <c r="F21" s="1" t="s">
        <v>129</v>
      </c>
      <c r="G21" s="1" t="s">
        <v>130</v>
      </c>
      <c r="H21" s="1" t="s">
        <v>131</v>
      </c>
      <c r="I21" s="1" t="s">
        <v>132</v>
      </c>
      <c r="J21" s="1">
        <v>0</v>
      </c>
      <c r="K21" s="1"/>
      <c r="L21" s="1">
        <v>0</v>
      </c>
      <c r="M21" s="1">
        <f t="shared" ref="M21:M66" si="0">(D21-1014)*3</f>
        <v>3</v>
      </c>
      <c r="N21" s="1">
        <v>0</v>
      </c>
      <c r="O21" s="1">
        <v>0</v>
      </c>
      <c r="P21" s="1">
        <v>0</v>
      </c>
      <c r="Q21" s="1">
        <v>0</v>
      </c>
      <c r="R21" s="16">
        <v>0</v>
      </c>
      <c r="S21" s="16">
        <v>0</v>
      </c>
      <c r="T21" s="16">
        <v>0</v>
      </c>
      <c r="U21" s="1" t="s">
        <v>133</v>
      </c>
      <c r="V21" s="1" t="s">
        <v>133</v>
      </c>
    </row>
    <row r="22" hidden="1" customHeight="1" spans="3:22">
      <c r="C22" s="1" t="s">
        <v>134</v>
      </c>
      <c r="D22" s="1" t="s">
        <v>135</v>
      </c>
      <c r="E22" s="1">
        <v>1</v>
      </c>
      <c r="F22" s="1" t="s">
        <v>136</v>
      </c>
      <c r="G22" s="1" t="s">
        <v>137</v>
      </c>
      <c r="H22" s="1" t="s">
        <v>138</v>
      </c>
      <c r="I22" s="1" t="s">
        <v>139</v>
      </c>
      <c r="J22" s="1">
        <v>0</v>
      </c>
      <c r="K22" s="1"/>
      <c r="L22" s="1">
        <v>0</v>
      </c>
      <c r="M22" s="1">
        <f t="shared" si="0"/>
        <v>6</v>
      </c>
      <c r="N22" s="1">
        <v>0</v>
      </c>
      <c r="O22" s="1">
        <v>0</v>
      </c>
      <c r="P22" s="1">
        <v>0</v>
      </c>
      <c r="Q22" s="1">
        <v>0</v>
      </c>
      <c r="R22" s="16">
        <v>0</v>
      </c>
      <c r="S22" s="16">
        <v>0</v>
      </c>
      <c r="T22" s="16">
        <v>0</v>
      </c>
      <c r="U22" s="1" t="s">
        <v>140</v>
      </c>
      <c r="V22" s="1" t="s">
        <v>140</v>
      </c>
    </row>
    <row r="23" hidden="1" customHeight="1" spans="3:22">
      <c r="C23" s="1" t="s">
        <v>141</v>
      </c>
      <c r="D23" s="1" t="s">
        <v>142</v>
      </c>
      <c r="E23" s="1">
        <v>1</v>
      </c>
      <c r="F23" s="1" t="s">
        <v>143</v>
      </c>
      <c r="G23" s="1" t="s">
        <v>144</v>
      </c>
      <c r="H23" s="1" t="s">
        <v>145</v>
      </c>
      <c r="I23" s="1" t="s">
        <v>146</v>
      </c>
      <c r="J23" s="1">
        <v>0</v>
      </c>
      <c r="K23" s="1"/>
      <c r="L23" s="1">
        <v>0</v>
      </c>
      <c r="M23" s="1">
        <f t="shared" si="0"/>
        <v>9</v>
      </c>
      <c r="N23" s="1">
        <v>0</v>
      </c>
      <c r="O23" s="1">
        <v>0</v>
      </c>
      <c r="P23" s="1">
        <v>0</v>
      </c>
      <c r="Q23" s="1">
        <v>0</v>
      </c>
      <c r="R23" s="16">
        <v>0</v>
      </c>
      <c r="S23" s="16">
        <v>0</v>
      </c>
      <c r="T23" s="16">
        <v>0</v>
      </c>
      <c r="U23" s="1" t="s">
        <v>147</v>
      </c>
      <c r="V23" s="1" t="s">
        <v>147</v>
      </c>
    </row>
    <row r="24" hidden="1" customHeight="1" spans="3:22">
      <c r="C24" s="1" t="s">
        <v>148</v>
      </c>
      <c r="D24" s="1" t="s">
        <v>149</v>
      </c>
      <c r="E24" s="1">
        <v>1</v>
      </c>
      <c r="F24" s="1" t="s">
        <v>150</v>
      </c>
      <c r="G24" s="1" t="s">
        <v>151</v>
      </c>
      <c r="H24" s="1" t="s">
        <v>152</v>
      </c>
      <c r="I24" s="1" t="s">
        <v>153</v>
      </c>
      <c r="J24" s="1">
        <v>0</v>
      </c>
      <c r="K24" s="1"/>
      <c r="L24" s="1">
        <v>0</v>
      </c>
      <c r="M24" s="1">
        <f t="shared" si="0"/>
        <v>12</v>
      </c>
      <c r="N24" s="1">
        <v>0</v>
      </c>
      <c r="O24" s="1">
        <v>0</v>
      </c>
      <c r="P24" s="1">
        <v>0</v>
      </c>
      <c r="Q24" s="1">
        <v>0</v>
      </c>
      <c r="R24" s="16">
        <v>0</v>
      </c>
      <c r="S24" s="16">
        <v>0</v>
      </c>
      <c r="T24" s="16">
        <v>0</v>
      </c>
      <c r="U24" s="1" t="s">
        <v>154</v>
      </c>
      <c r="V24" s="1" t="s">
        <v>154</v>
      </c>
    </row>
    <row r="25" hidden="1" customHeight="1" spans="3:22">
      <c r="C25" s="1" t="s">
        <v>155</v>
      </c>
      <c r="D25" s="1" t="s">
        <v>156</v>
      </c>
      <c r="E25" s="1">
        <v>1</v>
      </c>
      <c r="F25" s="1" t="s">
        <v>157</v>
      </c>
      <c r="G25" s="1" t="s">
        <v>158</v>
      </c>
      <c r="H25" s="1" t="s">
        <v>159</v>
      </c>
      <c r="I25" s="1" t="s">
        <v>160</v>
      </c>
      <c r="J25" s="1">
        <v>0</v>
      </c>
      <c r="K25" s="1"/>
      <c r="L25" s="1">
        <v>0</v>
      </c>
      <c r="M25" s="1">
        <f t="shared" si="0"/>
        <v>15</v>
      </c>
      <c r="N25" s="1">
        <v>0</v>
      </c>
      <c r="O25" s="1">
        <v>0</v>
      </c>
      <c r="P25" s="1">
        <v>0</v>
      </c>
      <c r="Q25" s="1">
        <v>0</v>
      </c>
      <c r="R25" s="16">
        <v>0</v>
      </c>
      <c r="S25" s="16">
        <v>0</v>
      </c>
      <c r="T25" s="16">
        <v>0</v>
      </c>
      <c r="U25" s="1" t="s">
        <v>161</v>
      </c>
      <c r="V25" s="1" t="s">
        <v>161</v>
      </c>
    </row>
    <row r="26" hidden="1" customHeight="1" spans="3:22">
      <c r="C26" s="1" t="s">
        <v>162</v>
      </c>
      <c r="D26" s="1" t="s">
        <v>163</v>
      </c>
      <c r="E26" s="1">
        <v>1</v>
      </c>
      <c r="F26" s="1" t="s">
        <v>164</v>
      </c>
      <c r="G26" s="1" t="s">
        <v>165</v>
      </c>
      <c r="H26" s="1" t="s">
        <v>166</v>
      </c>
      <c r="I26" s="1" t="s">
        <v>167</v>
      </c>
      <c r="J26" s="1">
        <v>0</v>
      </c>
      <c r="K26" s="1"/>
      <c r="L26" s="1">
        <v>0</v>
      </c>
      <c r="M26" s="1">
        <f t="shared" si="0"/>
        <v>18</v>
      </c>
      <c r="N26" s="1">
        <v>0</v>
      </c>
      <c r="O26" s="1">
        <v>0</v>
      </c>
      <c r="P26" s="1">
        <v>0</v>
      </c>
      <c r="Q26" s="1">
        <v>0</v>
      </c>
      <c r="R26" s="16">
        <v>0</v>
      </c>
      <c r="S26" s="16">
        <v>0</v>
      </c>
      <c r="T26" s="16">
        <v>0</v>
      </c>
      <c r="U26" s="1" t="s">
        <v>168</v>
      </c>
      <c r="V26" s="1" t="s">
        <v>168</v>
      </c>
    </row>
    <row r="27" hidden="1" customHeight="1" spans="3:22">
      <c r="C27" s="1" t="s">
        <v>169</v>
      </c>
      <c r="D27" s="1" t="s">
        <v>170</v>
      </c>
      <c r="E27" s="1">
        <v>1</v>
      </c>
      <c r="F27" s="1" t="s">
        <v>171</v>
      </c>
      <c r="G27" s="1" t="s">
        <v>172</v>
      </c>
      <c r="H27" s="1" t="s">
        <v>173</v>
      </c>
      <c r="I27" s="1" t="s">
        <v>174</v>
      </c>
      <c r="J27" s="1">
        <v>0</v>
      </c>
      <c r="K27" s="1"/>
      <c r="L27" s="1">
        <v>0</v>
      </c>
      <c r="M27" s="1">
        <f t="shared" si="0"/>
        <v>21</v>
      </c>
      <c r="N27" s="1">
        <v>0</v>
      </c>
      <c r="O27" s="1">
        <v>0</v>
      </c>
      <c r="P27" s="1">
        <v>0</v>
      </c>
      <c r="Q27" s="1">
        <v>0</v>
      </c>
      <c r="R27" s="16">
        <v>0</v>
      </c>
      <c r="S27" s="16">
        <v>0</v>
      </c>
      <c r="T27" s="16">
        <v>0</v>
      </c>
      <c r="U27" s="1" t="s">
        <v>175</v>
      </c>
      <c r="V27" s="1" t="s">
        <v>175</v>
      </c>
    </row>
    <row r="28" hidden="1" customHeight="1" spans="3:22">
      <c r="C28" s="1" t="s">
        <v>176</v>
      </c>
      <c r="D28" s="1" t="s">
        <v>177</v>
      </c>
      <c r="E28" s="1">
        <v>1</v>
      </c>
      <c r="F28" s="1" t="s">
        <v>178</v>
      </c>
      <c r="G28" s="1" t="s">
        <v>179</v>
      </c>
      <c r="H28" s="1" t="s">
        <v>180</v>
      </c>
      <c r="I28" s="1" t="s">
        <v>181</v>
      </c>
      <c r="J28" s="1">
        <v>0</v>
      </c>
      <c r="K28" s="1"/>
      <c r="L28" s="1">
        <v>0</v>
      </c>
      <c r="M28" s="1">
        <f t="shared" si="0"/>
        <v>24</v>
      </c>
      <c r="N28" s="1">
        <v>0</v>
      </c>
      <c r="O28" s="1">
        <v>0</v>
      </c>
      <c r="P28" s="1">
        <v>0</v>
      </c>
      <c r="Q28" s="1">
        <v>0</v>
      </c>
      <c r="R28" s="16">
        <v>0</v>
      </c>
      <c r="S28" s="16">
        <v>0</v>
      </c>
      <c r="T28" s="16">
        <v>0</v>
      </c>
      <c r="U28" s="1" t="s">
        <v>182</v>
      </c>
      <c r="V28" s="1" t="s">
        <v>182</v>
      </c>
    </row>
    <row r="29" hidden="1" customHeight="1" spans="3:22">
      <c r="C29" s="1" t="s">
        <v>183</v>
      </c>
      <c r="D29" s="1" t="s">
        <v>184</v>
      </c>
      <c r="E29" s="1">
        <v>1</v>
      </c>
      <c r="F29" s="1" t="s">
        <v>185</v>
      </c>
      <c r="G29" s="1" t="s">
        <v>186</v>
      </c>
      <c r="H29" s="1" t="s">
        <v>187</v>
      </c>
      <c r="I29" s="1" t="s">
        <v>188</v>
      </c>
      <c r="J29" s="1">
        <v>0</v>
      </c>
      <c r="K29" s="1"/>
      <c r="L29" s="1">
        <v>0</v>
      </c>
      <c r="M29" s="1">
        <f t="shared" si="0"/>
        <v>27</v>
      </c>
      <c r="N29" s="1">
        <v>0</v>
      </c>
      <c r="O29" s="1">
        <v>0</v>
      </c>
      <c r="P29" s="1">
        <v>0</v>
      </c>
      <c r="Q29" s="1">
        <v>0</v>
      </c>
      <c r="R29" s="16">
        <v>0</v>
      </c>
      <c r="S29" s="16">
        <v>0</v>
      </c>
      <c r="T29" s="16">
        <v>0</v>
      </c>
      <c r="U29" s="1" t="s">
        <v>189</v>
      </c>
      <c r="V29" s="1" t="s">
        <v>189</v>
      </c>
    </row>
    <row r="30" hidden="1" customHeight="1" spans="3:22">
      <c r="C30" s="1" t="s">
        <v>190</v>
      </c>
      <c r="D30" s="1" t="s">
        <v>191</v>
      </c>
      <c r="E30" s="1">
        <v>1</v>
      </c>
      <c r="F30" s="1" t="s">
        <v>192</v>
      </c>
      <c r="G30" s="1" t="s">
        <v>193</v>
      </c>
      <c r="H30" s="1" t="s">
        <v>194</v>
      </c>
      <c r="I30" s="1" t="s">
        <v>195</v>
      </c>
      <c r="J30" s="1">
        <v>0</v>
      </c>
      <c r="K30" s="1"/>
      <c r="L30" s="1">
        <v>0</v>
      </c>
      <c r="M30" s="1">
        <f t="shared" si="0"/>
        <v>30</v>
      </c>
      <c r="N30" s="1">
        <v>0</v>
      </c>
      <c r="O30" s="1">
        <v>0</v>
      </c>
      <c r="P30" s="1">
        <v>0</v>
      </c>
      <c r="Q30" s="1">
        <v>0</v>
      </c>
      <c r="R30" s="16">
        <v>0</v>
      </c>
      <c r="S30" s="16">
        <v>0</v>
      </c>
      <c r="T30" s="16">
        <v>0</v>
      </c>
      <c r="U30" s="1" t="s">
        <v>196</v>
      </c>
      <c r="V30" s="1" t="s">
        <v>196</v>
      </c>
    </row>
    <row r="31" hidden="1" customHeight="1" spans="3:22">
      <c r="C31" s="1" t="s">
        <v>197</v>
      </c>
      <c r="D31" s="1" t="s">
        <v>198</v>
      </c>
      <c r="E31" s="1">
        <v>1</v>
      </c>
      <c r="F31" s="1" t="s">
        <v>199</v>
      </c>
      <c r="G31" s="1" t="s">
        <v>200</v>
      </c>
      <c r="H31" s="1" t="s">
        <v>201</v>
      </c>
      <c r="I31" s="1" t="s">
        <v>202</v>
      </c>
      <c r="J31" s="1">
        <v>0</v>
      </c>
      <c r="K31" s="1"/>
      <c r="L31" s="1">
        <v>0</v>
      </c>
      <c r="M31" s="1">
        <f t="shared" si="0"/>
        <v>33</v>
      </c>
      <c r="N31" s="1">
        <v>0</v>
      </c>
      <c r="O31" s="1">
        <v>0</v>
      </c>
      <c r="P31" s="1">
        <v>0</v>
      </c>
      <c r="Q31" s="1">
        <v>0</v>
      </c>
      <c r="R31" s="16">
        <v>0</v>
      </c>
      <c r="S31" s="16">
        <v>0</v>
      </c>
      <c r="T31" s="16">
        <v>0</v>
      </c>
      <c r="U31" s="1" t="s">
        <v>203</v>
      </c>
      <c r="V31" s="1" t="s">
        <v>203</v>
      </c>
    </row>
    <row r="32" hidden="1" customHeight="1" spans="3:22">
      <c r="C32" s="1" t="s">
        <v>204</v>
      </c>
      <c r="D32" s="1" t="s">
        <v>205</v>
      </c>
      <c r="E32" s="1">
        <v>1</v>
      </c>
      <c r="F32" s="1" t="s">
        <v>206</v>
      </c>
      <c r="G32" s="1" t="s">
        <v>207</v>
      </c>
      <c r="H32" s="1" t="s">
        <v>208</v>
      </c>
      <c r="I32" s="1" t="s">
        <v>209</v>
      </c>
      <c r="J32" s="1">
        <v>0</v>
      </c>
      <c r="K32" s="1"/>
      <c r="L32" s="1">
        <v>0</v>
      </c>
      <c r="M32" s="1">
        <f t="shared" si="0"/>
        <v>36</v>
      </c>
      <c r="N32" s="1">
        <v>0</v>
      </c>
      <c r="O32" s="1">
        <v>0</v>
      </c>
      <c r="P32" s="1">
        <v>0</v>
      </c>
      <c r="Q32" s="1">
        <v>0</v>
      </c>
      <c r="R32" s="16">
        <v>0</v>
      </c>
      <c r="S32" s="16">
        <v>0</v>
      </c>
      <c r="T32" s="16">
        <v>0</v>
      </c>
      <c r="U32" s="1" t="s">
        <v>210</v>
      </c>
      <c r="V32" s="1" t="s">
        <v>210</v>
      </c>
    </row>
    <row r="33" hidden="1" customHeight="1" spans="1:27">
      <c r="C33" s="1" t="s">
        <v>211</v>
      </c>
      <c r="D33" s="1" t="s">
        <v>212</v>
      </c>
      <c r="E33" s="1">
        <v>1</v>
      </c>
      <c r="F33" s="1" t="s">
        <v>213</v>
      </c>
      <c r="G33" s="1" t="s">
        <v>214</v>
      </c>
      <c r="H33" s="1" t="s">
        <v>215</v>
      </c>
      <c r="I33" s="1" t="s">
        <v>216</v>
      </c>
      <c r="J33" s="1">
        <v>0</v>
      </c>
      <c r="K33" s="1"/>
      <c r="L33" s="1">
        <v>0</v>
      </c>
      <c r="M33" s="1">
        <f t="shared" si="0"/>
        <v>39</v>
      </c>
      <c r="N33" s="1">
        <v>0</v>
      </c>
      <c r="O33" s="1">
        <v>0</v>
      </c>
      <c r="P33" s="1">
        <v>0</v>
      </c>
      <c r="Q33" s="1">
        <v>0</v>
      </c>
      <c r="R33" s="16">
        <v>0</v>
      </c>
      <c r="S33" s="16">
        <v>0</v>
      </c>
      <c r="T33" s="16">
        <v>0</v>
      </c>
      <c r="U33" s="1" t="s">
        <v>217</v>
      </c>
      <c r="V33" s="1" t="s">
        <v>217</v>
      </c>
    </row>
    <row r="34" hidden="1" customHeight="1" spans="1:27">
      <c r="C34" s="1" t="s">
        <v>218</v>
      </c>
      <c r="D34" s="1" t="s">
        <v>219</v>
      </c>
      <c r="E34" s="1">
        <v>1</v>
      </c>
      <c r="F34" s="1" t="s">
        <v>220</v>
      </c>
      <c r="G34" s="1" t="s">
        <v>221</v>
      </c>
      <c r="H34" s="1" t="s">
        <v>222</v>
      </c>
      <c r="I34" s="1" t="s">
        <v>223</v>
      </c>
      <c r="J34" s="1">
        <v>0</v>
      </c>
      <c r="K34" s="1"/>
      <c r="L34" s="1">
        <v>0</v>
      </c>
      <c r="M34" s="1">
        <f t="shared" si="0"/>
        <v>42</v>
      </c>
      <c r="N34" s="1">
        <v>0</v>
      </c>
      <c r="O34" s="1">
        <v>0</v>
      </c>
      <c r="P34" s="1">
        <v>0</v>
      </c>
      <c r="Q34" s="1">
        <v>0</v>
      </c>
      <c r="R34" s="16">
        <v>0</v>
      </c>
      <c r="S34" s="16">
        <v>0</v>
      </c>
      <c r="T34" s="16">
        <v>0</v>
      </c>
      <c r="U34" s="1" t="s">
        <v>224</v>
      </c>
      <c r="V34" s="1" t="s">
        <v>224</v>
      </c>
    </row>
    <row r="35" hidden="1" customHeight="1" spans="1:27">
      <c r="C35" s="1" t="s">
        <v>225</v>
      </c>
      <c r="D35" s="1" t="s">
        <v>226</v>
      </c>
      <c r="E35" s="1">
        <v>1</v>
      </c>
      <c r="F35" s="1" t="s">
        <v>227</v>
      </c>
      <c r="G35" s="1" t="s">
        <v>228</v>
      </c>
      <c r="H35" s="1" t="s">
        <v>229</v>
      </c>
      <c r="I35" s="1" t="s">
        <v>230</v>
      </c>
      <c r="J35" s="1">
        <v>0</v>
      </c>
      <c r="K35" s="1"/>
      <c r="L35" s="1">
        <v>0</v>
      </c>
      <c r="M35" s="1">
        <f t="shared" si="0"/>
        <v>45</v>
      </c>
      <c r="N35" s="1">
        <v>0</v>
      </c>
      <c r="O35" s="1">
        <v>0</v>
      </c>
      <c r="P35" s="1">
        <v>0</v>
      </c>
      <c r="Q35" s="1">
        <v>0</v>
      </c>
      <c r="R35" s="16">
        <v>0</v>
      </c>
      <c r="S35" s="16">
        <v>0</v>
      </c>
      <c r="T35" s="16">
        <v>0</v>
      </c>
      <c r="U35" s="1" t="s">
        <v>231</v>
      </c>
      <c r="V35" s="1" t="s">
        <v>231</v>
      </c>
    </row>
    <row r="36" hidden="1" customHeight="1" spans="1:27">
      <c r="C36" s="1" t="s">
        <v>232</v>
      </c>
      <c r="D36" s="1" t="s">
        <v>233</v>
      </c>
      <c r="E36" s="1">
        <v>1</v>
      </c>
      <c r="F36" s="1" t="s">
        <v>234</v>
      </c>
      <c r="G36" s="1" t="s">
        <v>235</v>
      </c>
      <c r="H36" s="1" t="s">
        <v>236</v>
      </c>
      <c r="I36" s="1" t="s">
        <v>237</v>
      </c>
      <c r="J36" s="1">
        <v>0</v>
      </c>
      <c r="K36" s="1"/>
      <c r="L36" s="1">
        <v>0</v>
      </c>
      <c r="M36" s="1">
        <f t="shared" si="0"/>
        <v>48</v>
      </c>
      <c r="N36" s="1">
        <v>0</v>
      </c>
      <c r="O36" s="1">
        <v>0</v>
      </c>
      <c r="P36" s="1">
        <v>0</v>
      </c>
      <c r="Q36" s="1">
        <v>0</v>
      </c>
      <c r="R36" s="16">
        <v>0</v>
      </c>
      <c r="S36" s="16">
        <v>0</v>
      </c>
      <c r="T36" s="16">
        <v>0</v>
      </c>
      <c r="U36" s="1" t="s">
        <v>238</v>
      </c>
      <c r="V36" s="1" t="s">
        <v>238</v>
      </c>
    </row>
    <row r="37" hidden="1" customHeight="1" spans="1:27">
      <c r="C37" s="1" t="s">
        <v>239</v>
      </c>
      <c r="D37" s="1" t="s">
        <v>240</v>
      </c>
      <c r="E37" s="1">
        <v>1</v>
      </c>
      <c r="F37" s="1" t="s">
        <v>241</v>
      </c>
      <c r="G37" s="1" t="s">
        <v>242</v>
      </c>
      <c r="H37" s="1" t="s">
        <v>243</v>
      </c>
      <c r="I37" s="1" t="s">
        <v>244</v>
      </c>
      <c r="J37" s="1">
        <v>0</v>
      </c>
      <c r="K37" s="1"/>
      <c r="L37" s="1">
        <v>0</v>
      </c>
      <c r="M37" s="1">
        <f t="shared" si="0"/>
        <v>51</v>
      </c>
      <c r="N37" s="1">
        <v>0</v>
      </c>
      <c r="O37" s="1">
        <v>0</v>
      </c>
      <c r="P37" s="1">
        <v>0</v>
      </c>
      <c r="Q37" s="1">
        <v>0</v>
      </c>
      <c r="R37" s="16">
        <v>0</v>
      </c>
      <c r="S37" s="16">
        <v>0</v>
      </c>
      <c r="T37" s="16">
        <v>0</v>
      </c>
      <c r="U37" s="1" t="s">
        <v>245</v>
      </c>
      <c r="V37" s="1" t="s">
        <v>245</v>
      </c>
    </row>
    <row r="38" hidden="1" customHeight="1" spans="1:27">
      <c r="C38" s="1" t="s">
        <v>246</v>
      </c>
      <c r="D38" s="1" t="s">
        <v>247</v>
      </c>
      <c r="E38" s="1">
        <v>1</v>
      </c>
      <c r="F38" s="1" t="s">
        <v>248</v>
      </c>
      <c r="G38" s="1" t="s">
        <v>249</v>
      </c>
      <c r="H38" s="1" t="s">
        <v>250</v>
      </c>
      <c r="I38" s="1" t="s">
        <v>251</v>
      </c>
      <c r="J38" s="1">
        <v>0</v>
      </c>
      <c r="K38" s="1"/>
      <c r="L38" s="1">
        <v>0</v>
      </c>
      <c r="M38" s="1">
        <f t="shared" si="0"/>
        <v>54</v>
      </c>
      <c r="N38" s="1">
        <v>0</v>
      </c>
      <c r="O38" s="1">
        <v>0</v>
      </c>
      <c r="P38" s="1">
        <v>0</v>
      </c>
      <c r="Q38" s="1">
        <v>0</v>
      </c>
      <c r="R38" s="16">
        <v>0</v>
      </c>
      <c r="S38" s="16">
        <v>0</v>
      </c>
      <c r="T38" s="16">
        <v>0</v>
      </c>
      <c r="U38" s="1" t="s">
        <v>252</v>
      </c>
      <c r="V38" s="1" t="s">
        <v>252</v>
      </c>
    </row>
    <row r="39" hidden="1" customHeight="1" spans="1:27">
      <c r="C39" s="1" t="s">
        <v>253</v>
      </c>
      <c r="D39" s="1" t="s">
        <v>254</v>
      </c>
      <c r="E39" s="1">
        <v>1</v>
      </c>
      <c r="F39" s="1" t="s">
        <v>255</v>
      </c>
      <c r="G39" s="1" t="s">
        <v>256</v>
      </c>
      <c r="H39" s="1" t="s">
        <v>257</v>
      </c>
      <c r="I39" s="1" t="s">
        <v>258</v>
      </c>
      <c r="J39" s="1">
        <v>0</v>
      </c>
      <c r="K39" s="1"/>
      <c r="L39" s="1">
        <v>0</v>
      </c>
      <c r="M39" s="1">
        <f t="shared" si="0"/>
        <v>57</v>
      </c>
      <c r="N39" s="1">
        <v>0</v>
      </c>
      <c r="O39" s="1">
        <v>0</v>
      </c>
      <c r="P39" s="1">
        <v>0</v>
      </c>
      <c r="Q39" s="1">
        <v>0</v>
      </c>
      <c r="R39" s="16">
        <v>0</v>
      </c>
      <c r="S39" s="16">
        <v>0</v>
      </c>
      <c r="T39" s="16">
        <v>0</v>
      </c>
      <c r="U39" s="1" t="s">
        <v>259</v>
      </c>
      <c r="V39" s="1" t="s">
        <v>259</v>
      </c>
    </row>
    <row r="40" hidden="1" customHeight="1" spans="1:27">
      <c r="C40" s="1" t="s">
        <v>260</v>
      </c>
      <c r="D40" s="1" t="s">
        <v>261</v>
      </c>
      <c r="E40" s="1">
        <v>1</v>
      </c>
      <c r="F40" s="1" t="s">
        <v>262</v>
      </c>
      <c r="G40" s="1" t="s">
        <v>263</v>
      </c>
      <c r="H40" s="1" t="s">
        <v>264</v>
      </c>
      <c r="I40" s="1" t="s">
        <v>265</v>
      </c>
      <c r="J40" s="1">
        <v>0</v>
      </c>
      <c r="K40" s="1"/>
      <c r="L40" s="1">
        <v>0</v>
      </c>
      <c r="M40" s="1">
        <f t="shared" si="0"/>
        <v>60</v>
      </c>
      <c r="N40" s="1">
        <v>0</v>
      </c>
      <c r="O40" s="1">
        <v>0</v>
      </c>
      <c r="P40" s="1">
        <v>0</v>
      </c>
      <c r="Q40" s="1">
        <v>0</v>
      </c>
      <c r="R40" s="16">
        <v>0</v>
      </c>
      <c r="S40" s="16">
        <v>0</v>
      </c>
      <c r="T40" s="16">
        <v>0</v>
      </c>
      <c r="U40" s="1" t="s">
        <v>266</v>
      </c>
      <c r="V40" s="1" t="s">
        <v>266</v>
      </c>
    </row>
    <row r="41" s="1" customFormat="1" hidden="1" customHeight="1" spans="1:27">
      <c r="A41" s="5"/>
      <c r="C41" s="1" t="s">
        <v>267</v>
      </c>
      <c r="D41" s="1" t="s">
        <v>268</v>
      </c>
      <c r="E41" s="1">
        <v>2</v>
      </c>
      <c r="F41" s="1" t="s">
        <v>269</v>
      </c>
      <c r="G41" s="1" t="s">
        <v>270</v>
      </c>
      <c r="H41" s="1" t="s">
        <v>271</v>
      </c>
      <c r="I41" s="1" t="s">
        <v>272</v>
      </c>
      <c r="J41" s="1">
        <v>0</v>
      </c>
      <c r="L41" s="1">
        <v>0</v>
      </c>
      <c r="M41" s="1">
        <f t="shared" si="0"/>
        <v>63</v>
      </c>
      <c r="N41" s="1">
        <v>0</v>
      </c>
      <c r="O41" s="1">
        <v>0</v>
      </c>
      <c r="P41" s="1">
        <v>0</v>
      </c>
      <c r="Q41" s="1">
        <v>0</v>
      </c>
      <c r="R41" s="16">
        <v>0</v>
      </c>
      <c r="S41" s="16">
        <v>0</v>
      </c>
      <c r="T41" s="16">
        <v>0</v>
      </c>
      <c r="U41" s="1" t="s">
        <v>273</v>
      </c>
      <c r="V41" s="1" t="s">
        <v>273</v>
      </c>
      <c r="Y41" s="5"/>
      <c r="Z41" s="5"/>
      <c r="AA41" s="5"/>
    </row>
    <row r="42" s="1" customFormat="1" hidden="1" customHeight="1" spans="1:27">
      <c r="A42" s="5"/>
      <c r="C42" s="1" t="s">
        <v>274</v>
      </c>
      <c r="D42" s="1" t="s">
        <v>275</v>
      </c>
      <c r="E42" s="1">
        <v>2</v>
      </c>
      <c r="F42" s="1" t="s">
        <v>276</v>
      </c>
      <c r="G42" s="1" t="s">
        <v>277</v>
      </c>
      <c r="H42" s="1" t="s">
        <v>278</v>
      </c>
      <c r="I42" s="1" t="s">
        <v>279</v>
      </c>
      <c r="J42" s="1">
        <v>0</v>
      </c>
      <c r="L42" s="1">
        <v>0</v>
      </c>
      <c r="M42" s="1">
        <f t="shared" si="0"/>
        <v>66</v>
      </c>
      <c r="N42" s="1">
        <v>0</v>
      </c>
      <c r="O42" s="1">
        <v>0</v>
      </c>
      <c r="P42" s="1">
        <v>0</v>
      </c>
      <c r="Q42" s="1">
        <v>0</v>
      </c>
      <c r="R42" s="16">
        <v>0</v>
      </c>
      <c r="S42" s="16">
        <v>0</v>
      </c>
      <c r="T42" s="16">
        <v>0</v>
      </c>
      <c r="U42" s="1" t="s">
        <v>280</v>
      </c>
      <c r="V42" s="1" t="s">
        <v>280</v>
      </c>
      <c r="Y42" s="5"/>
      <c r="Z42" s="5"/>
      <c r="AA42" s="5"/>
    </row>
    <row r="43" s="1" customFormat="1" hidden="1" customHeight="1" spans="1:27">
      <c r="A43" s="5"/>
      <c r="C43" s="1" t="s">
        <v>281</v>
      </c>
      <c r="D43" s="1" t="s">
        <v>282</v>
      </c>
      <c r="E43" s="1">
        <v>2</v>
      </c>
      <c r="F43" s="1" t="s">
        <v>283</v>
      </c>
      <c r="G43" s="1" t="s">
        <v>284</v>
      </c>
      <c r="H43" s="1" t="s">
        <v>285</v>
      </c>
      <c r="I43" s="1" t="s">
        <v>286</v>
      </c>
      <c r="J43" s="1">
        <v>0</v>
      </c>
      <c r="L43" s="1">
        <v>0</v>
      </c>
      <c r="M43" s="1">
        <f t="shared" si="0"/>
        <v>69</v>
      </c>
      <c r="N43" s="1">
        <v>0</v>
      </c>
      <c r="O43" s="1">
        <v>0</v>
      </c>
      <c r="P43" s="1">
        <v>0</v>
      </c>
      <c r="Q43" s="1">
        <v>0</v>
      </c>
      <c r="R43" s="16">
        <v>0</v>
      </c>
      <c r="S43" s="16">
        <v>0</v>
      </c>
      <c r="T43" s="16">
        <v>0</v>
      </c>
      <c r="U43" s="1" t="s">
        <v>287</v>
      </c>
      <c r="V43" s="1" t="s">
        <v>287</v>
      </c>
      <c r="Y43" s="5"/>
      <c r="Z43" s="5"/>
      <c r="AA43" s="5"/>
    </row>
    <row r="44" s="1" customFormat="1" hidden="1" customHeight="1" spans="1:27">
      <c r="A44" s="5"/>
      <c r="C44" s="1" t="s">
        <v>288</v>
      </c>
      <c r="D44" s="1" t="s">
        <v>289</v>
      </c>
      <c r="E44" s="1">
        <v>2</v>
      </c>
      <c r="F44" s="1" t="s">
        <v>290</v>
      </c>
      <c r="G44" s="1" t="s">
        <v>291</v>
      </c>
      <c r="H44" s="1" t="s">
        <v>292</v>
      </c>
      <c r="I44" s="1" t="s">
        <v>293</v>
      </c>
      <c r="J44" s="1">
        <v>0</v>
      </c>
      <c r="L44" s="1">
        <v>0</v>
      </c>
      <c r="M44" s="1">
        <f t="shared" si="0"/>
        <v>72</v>
      </c>
      <c r="N44" s="1">
        <v>0</v>
      </c>
      <c r="O44" s="1">
        <v>0</v>
      </c>
      <c r="P44" s="1">
        <v>0</v>
      </c>
      <c r="Q44" s="1">
        <v>0</v>
      </c>
      <c r="R44" s="16">
        <v>0</v>
      </c>
      <c r="S44" s="16">
        <v>0</v>
      </c>
      <c r="T44" s="16">
        <v>0</v>
      </c>
      <c r="U44" s="1" t="s">
        <v>294</v>
      </c>
      <c r="V44" s="1" t="s">
        <v>294</v>
      </c>
      <c r="Y44" s="5"/>
      <c r="Z44" s="5"/>
      <c r="AA44" s="5"/>
    </row>
    <row r="45" s="1" customFormat="1" hidden="1" customHeight="1" spans="1:27">
      <c r="A45" s="5"/>
      <c r="C45" s="1" t="s">
        <v>295</v>
      </c>
      <c r="D45" s="1" t="s">
        <v>296</v>
      </c>
      <c r="E45" s="1">
        <v>2</v>
      </c>
      <c r="F45" s="1" t="s">
        <v>297</v>
      </c>
      <c r="G45" s="1" t="s">
        <v>298</v>
      </c>
      <c r="H45" s="1" t="s">
        <v>299</v>
      </c>
      <c r="I45" s="1" t="s">
        <v>300</v>
      </c>
      <c r="J45" s="1">
        <v>0</v>
      </c>
      <c r="L45" s="1">
        <v>0</v>
      </c>
      <c r="M45" s="1">
        <f t="shared" si="0"/>
        <v>75</v>
      </c>
      <c r="N45" s="1">
        <v>0</v>
      </c>
      <c r="O45" s="1">
        <v>0</v>
      </c>
      <c r="P45" s="1">
        <v>0</v>
      </c>
      <c r="Q45" s="1">
        <v>0</v>
      </c>
      <c r="R45" s="16">
        <v>0</v>
      </c>
      <c r="S45" s="16">
        <v>0</v>
      </c>
      <c r="T45" s="16">
        <v>0</v>
      </c>
      <c r="U45" s="1" t="s">
        <v>301</v>
      </c>
      <c r="V45" s="1" t="s">
        <v>301</v>
      </c>
      <c r="Y45" s="5"/>
      <c r="Z45" s="5"/>
      <c r="AA45" s="5"/>
    </row>
    <row r="46" s="1" customFormat="1" hidden="1" customHeight="1" spans="1:27">
      <c r="A46" s="5"/>
      <c r="C46" s="1" t="s">
        <v>302</v>
      </c>
      <c r="D46" s="1" t="s">
        <v>303</v>
      </c>
      <c r="E46" s="1">
        <v>2</v>
      </c>
      <c r="F46" s="1" t="s">
        <v>304</v>
      </c>
      <c r="G46" s="1" t="s">
        <v>305</v>
      </c>
      <c r="H46" s="1" t="s">
        <v>306</v>
      </c>
      <c r="I46" s="1" t="s">
        <v>307</v>
      </c>
      <c r="J46" s="1">
        <v>0</v>
      </c>
      <c r="L46" s="1">
        <v>0</v>
      </c>
      <c r="M46" s="1">
        <f t="shared" si="0"/>
        <v>78</v>
      </c>
      <c r="N46" s="1">
        <v>0</v>
      </c>
      <c r="O46" s="1">
        <v>0</v>
      </c>
      <c r="P46" s="1">
        <v>0</v>
      </c>
      <c r="Q46" s="1">
        <v>0</v>
      </c>
      <c r="R46" s="16">
        <v>0</v>
      </c>
      <c r="S46" s="16">
        <v>0</v>
      </c>
      <c r="T46" s="16">
        <v>0</v>
      </c>
      <c r="U46" s="1" t="s">
        <v>308</v>
      </c>
      <c r="V46" s="1" t="s">
        <v>308</v>
      </c>
      <c r="W46" s="5"/>
      <c r="X46" s="5"/>
      <c r="Y46" s="5"/>
      <c r="Z46" s="5"/>
      <c r="AA46" s="5"/>
    </row>
    <row r="47" s="1" customFormat="1" hidden="1" customHeight="1" spans="1:27">
      <c r="A47" s="5"/>
      <c r="C47" s="1" t="s">
        <v>309</v>
      </c>
      <c r="D47" s="1" t="s">
        <v>310</v>
      </c>
      <c r="E47" s="1">
        <v>2</v>
      </c>
      <c r="F47" s="1" t="s">
        <v>311</v>
      </c>
      <c r="G47" s="1" t="s">
        <v>312</v>
      </c>
      <c r="H47" s="1" t="s">
        <v>313</v>
      </c>
      <c r="I47" s="1" t="s">
        <v>314</v>
      </c>
      <c r="J47" s="1">
        <v>0</v>
      </c>
      <c r="L47" s="1">
        <v>0</v>
      </c>
      <c r="M47" s="1">
        <f t="shared" si="0"/>
        <v>81</v>
      </c>
      <c r="N47" s="1">
        <v>0</v>
      </c>
      <c r="O47" s="1">
        <v>0</v>
      </c>
      <c r="P47" s="1">
        <v>0</v>
      </c>
      <c r="Q47" s="1">
        <v>0</v>
      </c>
      <c r="R47" s="16">
        <v>0</v>
      </c>
      <c r="S47" s="16">
        <v>0</v>
      </c>
      <c r="T47" s="16">
        <v>0</v>
      </c>
      <c r="U47" s="1" t="s">
        <v>315</v>
      </c>
      <c r="V47" s="1" t="s">
        <v>315</v>
      </c>
      <c r="W47" s="5"/>
      <c r="X47" s="5"/>
      <c r="Y47" s="5"/>
      <c r="Z47" s="5"/>
      <c r="AA47" s="5"/>
    </row>
    <row r="48" s="1" customFormat="1" hidden="1" customHeight="1" spans="1:27">
      <c r="A48" s="5"/>
      <c r="C48" s="1" t="s">
        <v>316</v>
      </c>
      <c r="D48" s="1" t="s">
        <v>317</v>
      </c>
      <c r="E48" s="1">
        <v>2</v>
      </c>
      <c r="F48" s="1" t="s">
        <v>318</v>
      </c>
      <c r="G48" s="1" t="s">
        <v>319</v>
      </c>
      <c r="H48" s="1" t="s">
        <v>320</v>
      </c>
      <c r="I48" s="1" t="s">
        <v>321</v>
      </c>
      <c r="J48" s="1">
        <v>0</v>
      </c>
      <c r="L48" s="1">
        <v>0</v>
      </c>
      <c r="M48" s="1">
        <f t="shared" si="0"/>
        <v>84</v>
      </c>
      <c r="N48" s="1">
        <v>0</v>
      </c>
      <c r="O48" s="1">
        <v>0</v>
      </c>
      <c r="P48" s="1">
        <v>0</v>
      </c>
      <c r="Q48" s="1">
        <v>0</v>
      </c>
      <c r="R48" s="16">
        <v>0</v>
      </c>
      <c r="S48" s="16">
        <v>0</v>
      </c>
      <c r="T48" s="16">
        <v>0</v>
      </c>
      <c r="U48" s="1" t="s">
        <v>322</v>
      </c>
      <c r="V48" s="1" t="s">
        <v>322</v>
      </c>
      <c r="W48" s="5"/>
      <c r="X48" s="5"/>
      <c r="Y48" s="5"/>
      <c r="Z48" s="5"/>
      <c r="AA48" s="5"/>
    </row>
    <row r="49" s="1" customFormat="1" hidden="1" customHeight="1" spans="1:27">
      <c r="A49" s="5"/>
      <c r="C49" s="1" t="s">
        <v>323</v>
      </c>
      <c r="D49" s="1" t="s">
        <v>324</v>
      </c>
      <c r="E49" s="1">
        <v>2</v>
      </c>
      <c r="F49" s="1" t="s">
        <v>325</v>
      </c>
      <c r="G49" s="1" t="s">
        <v>326</v>
      </c>
      <c r="H49" s="1" t="s">
        <v>327</v>
      </c>
      <c r="I49" s="1" t="s">
        <v>328</v>
      </c>
      <c r="J49" s="1">
        <v>0</v>
      </c>
      <c r="L49" s="1">
        <v>0</v>
      </c>
      <c r="M49" s="1">
        <f t="shared" si="0"/>
        <v>87</v>
      </c>
      <c r="N49" s="1">
        <v>0</v>
      </c>
      <c r="O49" s="1">
        <v>0</v>
      </c>
      <c r="P49" s="1">
        <v>0</v>
      </c>
      <c r="Q49" s="1">
        <v>0</v>
      </c>
      <c r="R49" s="16">
        <v>0</v>
      </c>
      <c r="S49" s="16">
        <v>0</v>
      </c>
      <c r="T49" s="16">
        <v>0</v>
      </c>
      <c r="U49" s="1" t="s">
        <v>329</v>
      </c>
      <c r="V49" s="1" t="s">
        <v>329</v>
      </c>
      <c r="W49" s="5"/>
      <c r="X49" s="5"/>
      <c r="Y49" s="5"/>
      <c r="Z49" s="5"/>
      <c r="AA49" s="5"/>
    </row>
    <row r="50" s="1" customFormat="1" hidden="1" customHeight="1" spans="1:27">
      <c r="A50" s="5"/>
      <c r="C50" s="1" t="s">
        <v>330</v>
      </c>
      <c r="D50" s="1" t="s">
        <v>331</v>
      </c>
      <c r="E50" s="1">
        <v>2</v>
      </c>
      <c r="F50" s="1" t="s">
        <v>332</v>
      </c>
      <c r="G50" s="1" t="s">
        <v>333</v>
      </c>
      <c r="H50" s="1" t="s">
        <v>334</v>
      </c>
      <c r="I50" s="1" t="s">
        <v>335</v>
      </c>
      <c r="J50" s="1">
        <v>0</v>
      </c>
      <c r="L50" s="1">
        <v>0</v>
      </c>
      <c r="M50" s="1">
        <f t="shared" si="0"/>
        <v>90</v>
      </c>
      <c r="N50" s="1">
        <v>0</v>
      </c>
      <c r="O50" s="1">
        <v>0</v>
      </c>
      <c r="P50" s="1">
        <v>0</v>
      </c>
      <c r="Q50" s="1">
        <v>0</v>
      </c>
      <c r="R50" s="16">
        <v>0</v>
      </c>
      <c r="S50" s="16">
        <v>0</v>
      </c>
      <c r="T50" s="16">
        <v>0</v>
      </c>
      <c r="U50" s="1" t="s">
        <v>336</v>
      </c>
      <c r="V50" s="1" t="s">
        <v>336</v>
      </c>
      <c r="W50" s="5"/>
      <c r="X50" s="5"/>
      <c r="Y50" s="5"/>
      <c r="Z50" s="5"/>
      <c r="AA50" s="5"/>
    </row>
    <row r="51" s="1" customFormat="1" hidden="1" customHeight="1" spans="1:27">
      <c r="A51" s="5"/>
      <c r="C51" s="1" t="s">
        <v>337</v>
      </c>
      <c r="D51" s="1" t="s">
        <v>338</v>
      </c>
      <c r="E51" s="1">
        <v>2</v>
      </c>
      <c r="F51" s="1" t="s">
        <v>339</v>
      </c>
      <c r="G51" s="1" t="s">
        <v>340</v>
      </c>
      <c r="H51" s="1" t="s">
        <v>341</v>
      </c>
      <c r="I51" s="1" t="s">
        <v>342</v>
      </c>
      <c r="J51" s="1">
        <v>0</v>
      </c>
      <c r="L51" s="1">
        <v>0</v>
      </c>
      <c r="M51" s="1">
        <f t="shared" si="0"/>
        <v>93</v>
      </c>
      <c r="N51" s="1">
        <f t="shared" ref="N51:N65" si="1">(D51-1044)*3</f>
        <v>3</v>
      </c>
      <c r="O51" s="1">
        <f t="shared" ref="O51:O70" si="2">(D51-1044)*5</f>
        <v>5</v>
      </c>
      <c r="P51" s="1">
        <f t="shared" ref="P51:P65" si="3">(D51-1044)*5</f>
        <v>5</v>
      </c>
      <c r="Q51" s="1">
        <v>0</v>
      </c>
      <c r="R51" s="16">
        <v>0</v>
      </c>
      <c r="S51" s="16">
        <v>0</v>
      </c>
      <c r="T51" s="16">
        <v>0</v>
      </c>
      <c r="U51" s="1" t="s">
        <v>343</v>
      </c>
      <c r="V51" s="1" t="s">
        <v>343</v>
      </c>
      <c r="W51" s="5"/>
      <c r="X51" s="5"/>
      <c r="Y51" s="5"/>
      <c r="Z51" s="5"/>
      <c r="AA51" s="5"/>
    </row>
    <row r="52" s="1" customFormat="1" hidden="1" customHeight="1" spans="1:27">
      <c r="A52" s="5"/>
      <c r="C52" s="1" t="s">
        <v>344</v>
      </c>
      <c r="D52" s="1" t="s">
        <v>345</v>
      </c>
      <c r="E52" s="1">
        <v>2</v>
      </c>
      <c r="F52" s="1" t="s">
        <v>346</v>
      </c>
      <c r="G52" s="1" t="s">
        <v>347</v>
      </c>
      <c r="H52" s="1" t="s">
        <v>348</v>
      </c>
      <c r="I52" s="1" t="s">
        <v>349</v>
      </c>
      <c r="J52" s="1">
        <v>0</v>
      </c>
      <c r="L52" s="1">
        <v>0</v>
      </c>
      <c r="M52" s="1">
        <f t="shared" si="0"/>
        <v>96</v>
      </c>
      <c r="N52" s="1">
        <f t="shared" si="1"/>
        <v>6</v>
      </c>
      <c r="O52" s="1">
        <f t="shared" si="2"/>
        <v>10</v>
      </c>
      <c r="P52" s="1">
        <f t="shared" si="3"/>
        <v>10</v>
      </c>
      <c r="Q52" s="1">
        <v>0</v>
      </c>
      <c r="R52" s="16">
        <v>0</v>
      </c>
      <c r="S52" s="16">
        <v>0</v>
      </c>
      <c r="T52" s="16">
        <v>0</v>
      </c>
      <c r="U52" s="1" t="s">
        <v>350</v>
      </c>
      <c r="V52" s="1" t="s">
        <v>350</v>
      </c>
      <c r="W52" s="5"/>
      <c r="X52" s="5"/>
      <c r="Y52" s="5"/>
      <c r="Z52" s="5"/>
      <c r="AA52" s="5"/>
    </row>
    <row r="53" s="1" customFormat="1" hidden="1" customHeight="1" spans="1:27">
      <c r="A53" s="5"/>
      <c r="C53" s="1" t="s">
        <v>351</v>
      </c>
      <c r="D53" s="1" t="s">
        <v>352</v>
      </c>
      <c r="E53" s="1">
        <v>2</v>
      </c>
      <c r="F53" s="1" t="s">
        <v>353</v>
      </c>
      <c r="G53" s="1" t="s">
        <v>354</v>
      </c>
      <c r="H53" s="1" t="s">
        <v>355</v>
      </c>
      <c r="I53" s="1" t="s">
        <v>356</v>
      </c>
      <c r="J53" s="1">
        <v>0</v>
      </c>
      <c r="L53" s="1">
        <v>0</v>
      </c>
      <c r="M53" s="1">
        <f t="shared" si="0"/>
        <v>99</v>
      </c>
      <c r="N53" s="1">
        <f t="shared" si="1"/>
        <v>9</v>
      </c>
      <c r="O53" s="1">
        <f t="shared" si="2"/>
        <v>15</v>
      </c>
      <c r="P53" s="1">
        <f t="shared" si="3"/>
        <v>15</v>
      </c>
      <c r="Q53" s="1">
        <v>0</v>
      </c>
      <c r="R53" s="16">
        <v>0</v>
      </c>
      <c r="S53" s="16">
        <v>0</v>
      </c>
      <c r="T53" s="16">
        <v>0</v>
      </c>
      <c r="U53" s="1" t="s">
        <v>357</v>
      </c>
      <c r="V53" s="1" t="s">
        <v>357</v>
      </c>
      <c r="W53" s="5"/>
      <c r="X53" s="5"/>
      <c r="Y53" s="5"/>
      <c r="Z53" s="5"/>
      <c r="AA53" s="5"/>
    </row>
    <row r="54" s="1" customFormat="1" hidden="1" customHeight="1" spans="1:27">
      <c r="A54" s="5"/>
      <c r="C54" s="1" t="s">
        <v>358</v>
      </c>
      <c r="D54" s="1" t="s">
        <v>359</v>
      </c>
      <c r="E54" s="1">
        <v>2</v>
      </c>
      <c r="F54" s="1" t="s">
        <v>360</v>
      </c>
      <c r="G54" s="1" t="s">
        <v>361</v>
      </c>
      <c r="H54" s="1" t="s">
        <v>362</v>
      </c>
      <c r="I54" s="1" t="s">
        <v>363</v>
      </c>
      <c r="J54" s="1">
        <v>0</v>
      </c>
      <c r="L54" s="1">
        <v>0</v>
      </c>
      <c r="M54" s="1">
        <f t="shared" si="0"/>
        <v>102</v>
      </c>
      <c r="N54" s="1">
        <f t="shared" si="1"/>
        <v>12</v>
      </c>
      <c r="O54" s="1">
        <f t="shared" si="2"/>
        <v>20</v>
      </c>
      <c r="P54" s="1">
        <f t="shared" si="3"/>
        <v>20</v>
      </c>
      <c r="Q54" s="1">
        <v>0</v>
      </c>
      <c r="R54" s="16">
        <v>0</v>
      </c>
      <c r="S54" s="16">
        <v>0</v>
      </c>
      <c r="T54" s="16">
        <v>0</v>
      </c>
      <c r="U54" s="1" t="s">
        <v>364</v>
      </c>
      <c r="V54" s="1" t="s">
        <v>364</v>
      </c>
      <c r="W54" s="5"/>
      <c r="X54" s="5"/>
      <c r="Y54" s="5"/>
      <c r="Z54" s="5"/>
      <c r="AA54" s="5"/>
    </row>
    <row r="55" s="1" customFormat="1" hidden="1" customHeight="1" spans="1:27">
      <c r="A55" s="5"/>
      <c r="C55" s="1" t="s">
        <v>365</v>
      </c>
      <c r="D55" s="1" t="s">
        <v>366</v>
      </c>
      <c r="E55" s="1">
        <v>2</v>
      </c>
      <c r="F55" s="1" t="s">
        <v>367</v>
      </c>
      <c r="G55" s="1" t="s">
        <v>368</v>
      </c>
      <c r="H55" s="1" t="s">
        <v>369</v>
      </c>
      <c r="I55" s="1" t="s">
        <v>370</v>
      </c>
      <c r="J55" s="1">
        <v>0</v>
      </c>
      <c r="L55" s="1">
        <v>0</v>
      </c>
      <c r="M55" s="1">
        <f t="shared" si="0"/>
        <v>105</v>
      </c>
      <c r="N55" s="1">
        <f t="shared" si="1"/>
        <v>15</v>
      </c>
      <c r="O55" s="1">
        <f t="shared" si="2"/>
        <v>25</v>
      </c>
      <c r="P55" s="1">
        <f t="shared" si="3"/>
        <v>25</v>
      </c>
      <c r="Q55" s="1">
        <v>0</v>
      </c>
      <c r="R55" s="16">
        <v>0</v>
      </c>
      <c r="S55" s="16">
        <v>0</v>
      </c>
      <c r="T55" s="16">
        <v>0</v>
      </c>
      <c r="U55" s="1" t="s">
        <v>371</v>
      </c>
      <c r="V55" s="1" t="s">
        <v>371</v>
      </c>
      <c r="W55" s="5"/>
      <c r="X55" s="5"/>
      <c r="Y55" s="5"/>
      <c r="Z55" s="5"/>
      <c r="AA55" s="5"/>
    </row>
    <row r="56" s="1" customFormat="1" hidden="1" customHeight="1" spans="1:27">
      <c r="A56" s="5"/>
      <c r="C56" s="1" t="s">
        <v>372</v>
      </c>
      <c r="D56" s="1" t="s">
        <v>373</v>
      </c>
      <c r="E56" s="1">
        <v>2</v>
      </c>
      <c r="F56" s="1" t="s">
        <v>374</v>
      </c>
      <c r="G56" s="1" t="s">
        <v>375</v>
      </c>
      <c r="H56" s="1" t="s">
        <v>376</v>
      </c>
      <c r="I56" s="1" t="s">
        <v>377</v>
      </c>
      <c r="J56" s="1">
        <v>0</v>
      </c>
      <c r="L56" s="1">
        <v>0</v>
      </c>
      <c r="M56" s="1">
        <f t="shared" si="0"/>
        <v>108</v>
      </c>
      <c r="N56" s="1">
        <f t="shared" si="1"/>
        <v>18</v>
      </c>
      <c r="O56" s="1">
        <f t="shared" si="2"/>
        <v>30</v>
      </c>
      <c r="P56" s="1">
        <f t="shared" si="3"/>
        <v>30</v>
      </c>
      <c r="Q56" s="1">
        <v>0</v>
      </c>
      <c r="R56" s="16">
        <v>0</v>
      </c>
      <c r="S56" s="16">
        <v>0</v>
      </c>
      <c r="T56" s="16">
        <v>0</v>
      </c>
      <c r="U56" s="1" t="s">
        <v>378</v>
      </c>
      <c r="V56" s="1" t="s">
        <v>378</v>
      </c>
      <c r="W56" s="5"/>
      <c r="X56" s="5"/>
      <c r="Y56" s="5"/>
      <c r="Z56" s="5"/>
      <c r="AA56" s="5"/>
    </row>
    <row r="57" s="1" customFormat="1" hidden="1" customHeight="1" spans="1:27">
      <c r="A57" s="5"/>
      <c r="C57" s="1" t="s">
        <v>379</v>
      </c>
      <c r="D57" s="1" t="s">
        <v>380</v>
      </c>
      <c r="E57" s="1">
        <v>2</v>
      </c>
      <c r="F57" s="1" t="s">
        <v>381</v>
      </c>
      <c r="G57" s="1" t="s">
        <v>382</v>
      </c>
      <c r="H57" s="1" t="s">
        <v>383</v>
      </c>
      <c r="I57" s="1" t="s">
        <v>384</v>
      </c>
      <c r="J57" s="1">
        <v>0</v>
      </c>
      <c r="L57" s="1">
        <v>0</v>
      </c>
      <c r="M57" s="1">
        <f t="shared" si="0"/>
        <v>111</v>
      </c>
      <c r="N57" s="1">
        <f t="shared" si="1"/>
        <v>21</v>
      </c>
      <c r="O57" s="1">
        <f t="shared" si="2"/>
        <v>35</v>
      </c>
      <c r="P57" s="1">
        <f t="shared" si="3"/>
        <v>35</v>
      </c>
      <c r="Q57" s="1">
        <v>0</v>
      </c>
      <c r="R57" s="16">
        <v>0</v>
      </c>
      <c r="S57" s="16">
        <v>0</v>
      </c>
      <c r="T57" s="16">
        <v>0</v>
      </c>
      <c r="U57" s="1" t="s">
        <v>385</v>
      </c>
      <c r="V57" s="1" t="s">
        <v>385</v>
      </c>
      <c r="W57" s="5"/>
      <c r="X57" s="5"/>
      <c r="Y57" s="5"/>
      <c r="Z57" s="5"/>
      <c r="AA57" s="5"/>
    </row>
    <row r="58" s="1" customFormat="1" hidden="1" customHeight="1" spans="1:27">
      <c r="A58" s="5"/>
      <c r="C58" s="1" t="s">
        <v>386</v>
      </c>
      <c r="D58" s="1" t="s">
        <v>387</v>
      </c>
      <c r="E58" s="1">
        <v>2</v>
      </c>
      <c r="F58" s="1" t="s">
        <v>388</v>
      </c>
      <c r="G58" s="1" t="s">
        <v>389</v>
      </c>
      <c r="H58" s="1" t="s">
        <v>390</v>
      </c>
      <c r="I58" s="1" t="s">
        <v>391</v>
      </c>
      <c r="J58" s="1">
        <v>0</v>
      </c>
      <c r="L58" s="1">
        <v>0</v>
      </c>
      <c r="M58" s="1">
        <f t="shared" si="0"/>
        <v>114</v>
      </c>
      <c r="N58" s="1">
        <f t="shared" si="1"/>
        <v>24</v>
      </c>
      <c r="O58" s="1">
        <f t="shared" si="2"/>
        <v>40</v>
      </c>
      <c r="P58" s="1">
        <f t="shared" si="3"/>
        <v>40</v>
      </c>
      <c r="Q58" s="1">
        <v>0</v>
      </c>
      <c r="R58" s="16">
        <v>0</v>
      </c>
      <c r="S58" s="16">
        <v>0</v>
      </c>
      <c r="T58" s="16">
        <v>0</v>
      </c>
      <c r="U58" s="1" t="s">
        <v>392</v>
      </c>
      <c r="V58" s="1" t="s">
        <v>392</v>
      </c>
      <c r="W58" s="5"/>
      <c r="X58" s="5"/>
      <c r="Y58" s="5"/>
      <c r="Z58" s="5"/>
      <c r="AA58" s="5"/>
    </row>
    <row r="59" s="1" customFormat="1" hidden="1" customHeight="1" spans="1:27">
      <c r="A59" s="5"/>
      <c r="C59" s="1" t="s">
        <v>393</v>
      </c>
      <c r="D59" s="1" t="s">
        <v>394</v>
      </c>
      <c r="E59" s="1">
        <v>2</v>
      </c>
      <c r="F59" s="1" t="s">
        <v>395</v>
      </c>
      <c r="G59" s="1" t="s">
        <v>396</v>
      </c>
      <c r="H59" s="1" t="s">
        <v>397</v>
      </c>
      <c r="I59" s="1" t="s">
        <v>398</v>
      </c>
      <c r="J59" s="1">
        <v>0</v>
      </c>
      <c r="L59" s="1">
        <v>0</v>
      </c>
      <c r="M59" s="1">
        <f t="shared" si="0"/>
        <v>117</v>
      </c>
      <c r="N59" s="1">
        <f t="shared" si="1"/>
        <v>27</v>
      </c>
      <c r="O59" s="1">
        <f t="shared" si="2"/>
        <v>45</v>
      </c>
      <c r="P59" s="1">
        <f t="shared" si="3"/>
        <v>45</v>
      </c>
      <c r="Q59" s="1">
        <v>0</v>
      </c>
      <c r="R59" s="16">
        <v>0</v>
      </c>
      <c r="S59" s="16">
        <v>0</v>
      </c>
      <c r="T59" s="16">
        <v>0</v>
      </c>
      <c r="U59" s="1" t="s">
        <v>399</v>
      </c>
      <c r="V59" s="1" t="s">
        <v>399</v>
      </c>
      <c r="W59" s="5"/>
      <c r="X59" s="5"/>
      <c r="Y59" s="5"/>
      <c r="Z59" s="5"/>
      <c r="AA59" s="5"/>
    </row>
    <row r="60" s="1" customFormat="1" hidden="1" customHeight="1" spans="1:27">
      <c r="A60" s="5"/>
      <c r="C60" s="1" t="s">
        <v>400</v>
      </c>
      <c r="D60" s="1" t="s">
        <v>401</v>
      </c>
      <c r="E60" s="1">
        <v>2</v>
      </c>
      <c r="F60" s="1" t="s">
        <v>402</v>
      </c>
      <c r="G60" s="1" t="s">
        <v>403</v>
      </c>
      <c r="H60" s="1" t="s">
        <v>404</v>
      </c>
      <c r="I60" s="1" t="s">
        <v>405</v>
      </c>
      <c r="J60" s="1">
        <v>0</v>
      </c>
      <c r="L60" s="1">
        <v>0</v>
      </c>
      <c r="M60" s="1">
        <f t="shared" si="0"/>
        <v>120</v>
      </c>
      <c r="N60" s="1">
        <f t="shared" si="1"/>
        <v>30</v>
      </c>
      <c r="O60" s="1">
        <f t="shared" si="2"/>
        <v>50</v>
      </c>
      <c r="P60" s="1">
        <f t="shared" si="3"/>
        <v>50</v>
      </c>
      <c r="Q60" s="1">
        <v>0</v>
      </c>
      <c r="R60" s="16">
        <v>0</v>
      </c>
      <c r="S60" s="16">
        <v>0</v>
      </c>
      <c r="T60" s="16">
        <v>0</v>
      </c>
      <c r="U60" s="1" t="s">
        <v>406</v>
      </c>
      <c r="V60" s="1" t="s">
        <v>406</v>
      </c>
      <c r="W60" s="5"/>
      <c r="X60" s="5"/>
      <c r="Y60" s="5"/>
      <c r="Z60" s="5"/>
      <c r="AA60" s="5"/>
    </row>
    <row r="61" s="1" customFormat="1" hidden="1" customHeight="1" spans="1:27">
      <c r="A61" s="5"/>
      <c r="C61" s="1" t="s">
        <v>407</v>
      </c>
      <c r="D61" s="1" t="s">
        <v>408</v>
      </c>
      <c r="E61" s="1">
        <v>2</v>
      </c>
      <c r="F61" s="1" t="s">
        <v>409</v>
      </c>
      <c r="G61" s="1" t="s">
        <v>410</v>
      </c>
      <c r="H61" s="1" t="s">
        <v>411</v>
      </c>
      <c r="I61" s="1" t="s">
        <v>412</v>
      </c>
      <c r="J61" s="1">
        <v>0</v>
      </c>
      <c r="L61" s="1">
        <v>0</v>
      </c>
      <c r="M61" s="1">
        <f t="shared" si="0"/>
        <v>123</v>
      </c>
      <c r="N61" s="1">
        <f t="shared" si="1"/>
        <v>33</v>
      </c>
      <c r="O61" s="1">
        <f t="shared" si="2"/>
        <v>55</v>
      </c>
      <c r="P61" s="1">
        <f t="shared" si="3"/>
        <v>55</v>
      </c>
      <c r="Q61" s="1">
        <v>0</v>
      </c>
      <c r="R61" s="16">
        <v>0</v>
      </c>
      <c r="S61" s="16">
        <v>0</v>
      </c>
      <c r="T61" s="16">
        <v>0</v>
      </c>
      <c r="U61" s="1" t="s">
        <v>413</v>
      </c>
      <c r="V61" s="1" t="s">
        <v>413</v>
      </c>
      <c r="W61" s="5"/>
      <c r="X61" s="5"/>
      <c r="Y61" s="5"/>
      <c r="Z61" s="5"/>
      <c r="AA61" s="5"/>
    </row>
    <row r="62" s="1" customFormat="1" hidden="1" customHeight="1" spans="1:27">
      <c r="A62" s="5"/>
      <c r="C62" s="1" t="s">
        <v>414</v>
      </c>
      <c r="D62" s="1" t="s">
        <v>415</v>
      </c>
      <c r="E62" s="1">
        <v>2</v>
      </c>
      <c r="F62" s="1" t="s">
        <v>416</v>
      </c>
      <c r="G62" s="1" t="s">
        <v>417</v>
      </c>
      <c r="H62" s="1" t="s">
        <v>418</v>
      </c>
      <c r="I62" s="1" t="s">
        <v>419</v>
      </c>
      <c r="J62" s="1">
        <v>0</v>
      </c>
      <c r="L62" s="1">
        <v>0</v>
      </c>
      <c r="M62" s="1">
        <f t="shared" si="0"/>
        <v>126</v>
      </c>
      <c r="N62" s="1">
        <f t="shared" si="1"/>
        <v>36</v>
      </c>
      <c r="O62" s="1">
        <f t="shared" si="2"/>
        <v>60</v>
      </c>
      <c r="P62" s="1">
        <f t="shared" si="3"/>
        <v>60</v>
      </c>
      <c r="Q62" s="1">
        <v>0</v>
      </c>
      <c r="R62" s="16">
        <v>0</v>
      </c>
      <c r="S62" s="16">
        <v>0</v>
      </c>
      <c r="T62" s="16">
        <v>0</v>
      </c>
      <c r="U62" s="1" t="s">
        <v>420</v>
      </c>
      <c r="V62" s="1" t="s">
        <v>420</v>
      </c>
      <c r="W62" s="5"/>
      <c r="X62" s="5"/>
      <c r="Y62" s="5"/>
      <c r="Z62" s="5"/>
      <c r="AA62" s="5"/>
    </row>
    <row r="63" s="1" customFormat="1" hidden="1" customHeight="1" spans="1:27">
      <c r="A63" s="5"/>
      <c r="C63" s="1" t="s">
        <v>421</v>
      </c>
      <c r="D63" s="1" t="s">
        <v>422</v>
      </c>
      <c r="E63" s="1">
        <v>2</v>
      </c>
      <c r="F63" s="1" t="s">
        <v>423</v>
      </c>
      <c r="G63" s="1" t="s">
        <v>424</v>
      </c>
      <c r="H63" s="1" t="s">
        <v>425</v>
      </c>
      <c r="I63" s="1" t="s">
        <v>426</v>
      </c>
      <c r="J63" s="1">
        <v>0</v>
      </c>
      <c r="L63" s="1">
        <v>0</v>
      </c>
      <c r="M63" s="1">
        <f t="shared" si="0"/>
        <v>129</v>
      </c>
      <c r="N63" s="1">
        <f t="shared" si="1"/>
        <v>39</v>
      </c>
      <c r="O63" s="1">
        <f t="shared" si="2"/>
        <v>65</v>
      </c>
      <c r="P63" s="1">
        <f t="shared" si="3"/>
        <v>65</v>
      </c>
      <c r="Q63" s="1">
        <v>0</v>
      </c>
      <c r="R63" s="16">
        <v>0</v>
      </c>
      <c r="S63" s="16">
        <v>0</v>
      </c>
      <c r="T63" s="16">
        <v>0</v>
      </c>
      <c r="U63" s="1" t="s">
        <v>427</v>
      </c>
      <c r="V63" s="1" t="s">
        <v>427</v>
      </c>
      <c r="W63" s="5"/>
      <c r="X63" s="5"/>
      <c r="Y63" s="5"/>
      <c r="Z63" s="5"/>
      <c r="AA63" s="5"/>
    </row>
    <row r="64" s="1" customFormat="1" hidden="1" customHeight="1" spans="1:27">
      <c r="A64" s="5"/>
      <c r="C64" s="1" t="s">
        <v>428</v>
      </c>
      <c r="D64" s="1" t="s">
        <v>429</v>
      </c>
      <c r="E64" s="1">
        <v>2</v>
      </c>
      <c r="F64" s="1" t="s">
        <v>430</v>
      </c>
      <c r="G64" s="1" t="s">
        <v>431</v>
      </c>
      <c r="H64" s="1" t="s">
        <v>432</v>
      </c>
      <c r="I64" s="1" t="s">
        <v>433</v>
      </c>
      <c r="J64" s="1">
        <v>0</v>
      </c>
      <c r="L64" s="1">
        <v>0</v>
      </c>
      <c r="M64" s="1">
        <f t="shared" si="0"/>
        <v>132</v>
      </c>
      <c r="N64" s="1">
        <f t="shared" si="1"/>
        <v>42</v>
      </c>
      <c r="O64" s="1">
        <f t="shared" si="2"/>
        <v>70</v>
      </c>
      <c r="P64" s="1">
        <f t="shared" si="3"/>
        <v>70</v>
      </c>
      <c r="Q64" s="1">
        <v>0</v>
      </c>
      <c r="R64" s="16">
        <v>0</v>
      </c>
      <c r="S64" s="16">
        <v>0</v>
      </c>
      <c r="T64" s="16">
        <v>0</v>
      </c>
      <c r="U64" s="1" t="s">
        <v>434</v>
      </c>
      <c r="V64" s="1" t="s">
        <v>434</v>
      </c>
      <c r="W64" s="5"/>
      <c r="X64" s="5"/>
      <c r="Y64" s="5"/>
      <c r="Z64" s="5"/>
      <c r="AA64" s="5"/>
    </row>
    <row r="65" s="1" customFormat="1" hidden="1" customHeight="1" spans="1:27">
      <c r="A65" s="5"/>
      <c r="C65" s="1" t="s">
        <v>435</v>
      </c>
      <c r="D65" s="1" t="s">
        <v>436</v>
      </c>
      <c r="E65" s="1">
        <v>2</v>
      </c>
      <c r="F65" s="1" t="s">
        <v>437</v>
      </c>
      <c r="G65" s="1" t="s">
        <v>438</v>
      </c>
      <c r="H65" s="1" t="s">
        <v>439</v>
      </c>
      <c r="I65" s="29" t="s">
        <v>440</v>
      </c>
      <c r="J65" s="1">
        <v>0</v>
      </c>
      <c r="L65" s="1">
        <v>0</v>
      </c>
      <c r="M65" s="1">
        <f t="shared" si="0"/>
        <v>135</v>
      </c>
      <c r="N65" s="1">
        <f t="shared" si="1"/>
        <v>45</v>
      </c>
      <c r="O65" s="1">
        <f t="shared" si="2"/>
        <v>75</v>
      </c>
      <c r="P65" s="1">
        <f t="shared" si="3"/>
        <v>75</v>
      </c>
      <c r="Q65" s="1">
        <v>0</v>
      </c>
      <c r="R65" s="16">
        <v>0</v>
      </c>
      <c r="S65" s="16">
        <v>0</v>
      </c>
      <c r="T65" s="16">
        <v>0</v>
      </c>
      <c r="U65" s="1" t="s">
        <v>441</v>
      </c>
      <c r="V65" s="1" t="s">
        <v>441</v>
      </c>
      <c r="W65" s="5"/>
      <c r="X65" s="5"/>
      <c r="Y65" s="5"/>
      <c r="Z65" s="5"/>
      <c r="AA65" s="5"/>
    </row>
    <row r="66" s="1" customFormat="1" hidden="1" customHeight="1" spans="1:27">
      <c r="A66" s="5"/>
      <c r="C66" s="1" t="s">
        <v>442</v>
      </c>
      <c r="D66" s="1" t="s">
        <v>443</v>
      </c>
      <c r="E66" s="1">
        <v>2</v>
      </c>
      <c r="F66" s="1" t="s">
        <v>444</v>
      </c>
      <c r="G66" s="1" t="s">
        <v>445</v>
      </c>
      <c r="H66" s="1" t="s">
        <v>446</v>
      </c>
      <c r="I66" s="29" t="s">
        <v>447</v>
      </c>
      <c r="J66" s="1">
        <v>0</v>
      </c>
      <c r="L66" s="1">
        <v>0</v>
      </c>
      <c r="M66" s="1">
        <f t="shared" ref="M66:P66" si="4">M65+5</f>
        <v>140</v>
      </c>
      <c r="N66" s="1">
        <f t="shared" ref="N66:N70" si="5">N65+5</f>
        <v>50</v>
      </c>
      <c r="O66" s="1">
        <f t="shared" si="4"/>
        <v>80</v>
      </c>
      <c r="P66" s="1">
        <f t="shared" si="4"/>
        <v>80</v>
      </c>
      <c r="Q66" s="1">
        <v>0</v>
      </c>
      <c r="R66" s="16">
        <v>0</v>
      </c>
      <c r="S66" s="16">
        <v>0</v>
      </c>
      <c r="T66" s="16">
        <v>0</v>
      </c>
      <c r="U66" s="1" t="s">
        <v>448</v>
      </c>
      <c r="V66" s="1" t="s">
        <v>448</v>
      </c>
      <c r="W66" s="5"/>
      <c r="X66" s="5"/>
      <c r="Y66" s="5"/>
      <c r="Z66" s="5"/>
      <c r="AA66" s="5"/>
    </row>
    <row r="67" s="1" customFormat="1" hidden="1" customHeight="1" spans="1:27">
      <c r="A67" s="5"/>
      <c r="C67" s="1" t="s">
        <v>449</v>
      </c>
      <c r="D67" s="1" t="s">
        <v>450</v>
      </c>
      <c r="E67" s="1">
        <v>2</v>
      </c>
      <c r="F67" s="1" t="s">
        <v>451</v>
      </c>
      <c r="G67" s="1" t="s">
        <v>452</v>
      </c>
      <c r="H67" s="1" t="s">
        <v>453</v>
      </c>
      <c r="I67" s="29" t="s">
        <v>454</v>
      </c>
      <c r="J67" s="1">
        <v>0</v>
      </c>
      <c r="L67" s="1">
        <v>0</v>
      </c>
      <c r="M67" s="1">
        <f t="shared" ref="M66:M71" si="6">M66+5</f>
        <v>145</v>
      </c>
      <c r="N67" s="1">
        <f t="shared" si="5"/>
        <v>55</v>
      </c>
      <c r="O67" s="1">
        <f t="shared" ref="O66:O91" si="7">O66+5</f>
        <v>85</v>
      </c>
      <c r="P67" s="1">
        <f t="shared" ref="P67:P70" si="8">P66+5</f>
        <v>85</v>
      </c>
      <c r="Q67" s="1">
        <v>0</v>
      </c>
      <c r="R67" s="16">
        <v>0</v>
      </c>
      <c r="S67" s="16">
        <v>0</v>
      </c>
      <c r="T67" s="16">
        <v>0</v>
      </c>
      <c r="U67" s="1" t="s">
        <v>455</v>
      </c>
      <c r="V67" s="1" t="s">
        <v>455</v>
      </c>
      <c r="W67" s="5"/>
      <c r="X67" s="5"/>
      <c r="Y67" s="5"/>
      <c r="Z67" s="5"/>
      <c r="AA67" s="5"/>
    </row>
    <row r="68" s="1" customFormat="1" hidden="1" customHeight="1" spans="1:27">
      <c r="A68" s="5"/>
      <c r="C68" s="1" t="s">
        <v>456</v>
      </c>
      <c r="D68" s="1" t="s">
        <v>457</v>
      </c>
      <c r="E68" s="1">
        <v>2</v>
      </c>
      <c r="F68" s="1" t="s">
        <v>458</v>
      </c>
      <c r="G68" s="1" t="s">
        <v>459</v>
      </c>
      <c r="H68" s="1" t="s">
        <v>460</v>
      </c>
      <c r="I68" s="29" t="s">
        <v>461</v>
      </c>
      <c r="J68" s="1">
        <v>0</v>
      </c>
      <c r="L68" s="1">
        <v>0</v>
      </c>
      <c r="M68" s="1">
        <f t="shared" si="6"/>
        <v>150</v>
      </c>
      <c r="N68" s="1">
        <f t="shared" si="5"/>
        <v>60</v>
      </c>
      <c r="O68" s="1">
        <f t="shared" si="7"/>
        <v>90</v>
      </c>
      <c r="P68" s="1">
        <f t="shared" si="8"/>
        <v>90</v>
      </c>
      <c r="Q68" s="1">
        <v>0</v>
      </c>
      <c r="R68" s="16">
        <v>0</v>
      </c>
      <c r="S68" s="16">
        <v>0</v>
      </c>
      <c r="T68" s="16">
        <v>0</v>
      </c>
      <c r="U68" s="1" t="s">
        <v>462</v>
      </c>
      <c r="V68" s="1" t="s">
        <v>462</v>
      </c>
      <c r="W68" s="5"/>
      <c r="X68" s="5"/>
      <c r="Y68" s="5"/>
      <c r="Z68" s="5"/>
      <c r="AA68" s="5"/>
    </row>
    <row r="69" s="1" customFormat="1" hidden="1" customHeight="1" spans="1:27">
      <c r="A69" s="5"/>
      <c r="C69" s="1" t="s">
        <v>463</v>
      </c>
      <c r="D69" s="1" t="s">
        <v>464</v>
      </c>
      <c r="E69" s="1">
        <v>2</v>
      </c>
      <c r="F69" s="1" t="s">
        <v>465</v>
      </c>
      <c r="G69" s="1" t="s">
        <v>466</v>
      </c>
      <c r="H69" s="29" t="s">
        <v>467</v>
      </c>
      <c r="I69" s="29" t="s">
        <v>468</v>
      </c>
      <c r="J69" s="1">
        <v>0</v>
      </c>
      <c r="L69" s="1">
        <v>0</v>
      </c>
      <c r="M69" s="1">
        <f t="shared" si="6"/>
        <v>155</v>
      </c>
      <c r="N69" s="1">
        <f t="shared" si="5"/>
        <v>65</v>
      </c>
      <c r="O69" s="1">
        <f t="shared" si="7"/>
        <v>95</v>
      </c>
      <c r="P69" s="1">
        <f t="shared" si="8"/>
        <v>95</v>
      </c>
      <c r="Q69" s="1">
        <v>0</v>
      </c>
      <c r="R69" s="16">
        <v>0</v>
      </c>
      <c r="S69" s="16">
        <v>0</v>
      </c>
      <c r="T69" s="16">
        <v>0</v>
      </c>
      <c r="U69" s="1" t="s">
        <v>469</v>
      </c>
      <c r="V69" s="1" t="s">
        <v>469</v>
      </c>
      <c r="W69" s="5"/>
      <c r="X69" s="5"/>
      <c r="Y69" s="5"/>
      <c r="Z69" s="5"/>
      <c r="AA69" s="5"/>
    </row>
    <row r="70" s="1" customFormat="1" hidden="1" customHeight="1" spans="1:27">
      <c r="A70" s="5"/>
      <c r="C70" s="1" t="s">
        <v>470</v>
      </c>
      <c r="D70" s="1" t="s">
        <v>471</v>
      </c>
      <c r="E70" s="1">
        <v>2</v>
      </c>
      <c r="F70" s="1" t="s">
        <v>472</v>
      </c>
      <c r="G70" s="29" t="s">
        <v>473</v>
      </c>
      <c r="H70" s="29" t="s">
        <v>474</v>
      </c>
      <c r="I70" s="29" t="s">
        <v>475</v>
      </c>
      <c r="J70" s="1">
        <v>0</v>
      </c>
      <c r="L70" s="1">
        <v>0</v>
      </c>
      <c r="M70" s="1">
        <f t="shared" si="6"/>
        <v>160</v>
      </c>
      <c r="N70" s="1">
        <f t="shared" si="5"/>
        <v>70</v>
      </c>
      <c r="O70" s="1">
        <f t="shared" si="7"/>
        <v>100</v>
      </c>
      <c r="P70" s="1">
        <f t="shared" si="8"/>
        <v>100</v>
      </c>
      <c r="Q70" s="1">
        <v>0</v>
      </c>
      <c r="R70" s="16">
        <v>0</v>
      </c>
      <c r="S70" s="16">
        <v>0</v>
      </c>
      <c r="T70" s="16">
        <v>0</v>
      </c>
      <c r="U70" s="1" t="s">
        <v>476</v>
      </c>
      <c r="V70" s="1" t="s">
        <v>476</v>
      </c>
      <c r="W70" s="5"/>
      <c r="X70" s="5"/>
      <c r="Y70" s="5"/>
      <c r="Z70" s="5"/>
      <c r="AA70" s="5"/>
    </row>
    <row r="71" s="1" customFormat="1" hidden="1" customHeight="1" spans="1:27">
      <c r="A71" s="5"/>
      <c r="C71" s="1" t="s">
        <v>477</v>
      </c>
      <c r="D71" s="1" t="s">
        <v>478</v>
      </c>
      <c r="E71" s="1">
        <v>2</v>
      </c>
      <c r="F71" s="1" t="s">
        <v>479</v>
      </c>
      <c r="G71" s="29" t="s">
        <v>480</v>
      </c>
      <c r="H71" s="29" t="s">
        <v>481</v>
      </c>
      <c r="I71" s="29" t="s">
        <v>482</v>
      </c>
      <c r="J71" s="1">
        <v>0</v>
      </c>
      <c r="L71" s="1">
        <v>0</v>
      </c>
      <c r="M71" s="1">
        <f>M70+15</f>
        <v>175</v>
      </c>
      <c r="N71" s="1">
        <f t="shared" ref="M71:P71" si="9">N70+15</f>
        <v>85</v>
      </c>
      <c r="O71" s="1">
        <f t="shared" si="7"/>
        <v>105</v>
      </c>
      <c r="P71" s="1">
        <f t="shared" si="9"/>
        <v>115</v>
      </c>
      <c r="Q71" s="1">
        <v>0</v>
      </c>
      <c r="R71" s="16">
        <v>0</v>
      </c>
      <c r="S71" s="16">
        <v>0</v>
      </c>
      <c r="T71" s="16">
        <v>0</v>
      </c>
      <c r="U71" s="1" t="s">
        <v>483</v>
      </c>
      <c r="V71" s="1" t="s">
        <v>483</v>
      </c>
      <c r="W71" s="5"/>
      <c r="X71" s="5"/>
      <c r="Y71" s="5"/>
      <c r="Z71" s="5"/>
      <c r="AA71" s="5"/>
    </row>
    <row r="72" s="1" customFormat="1" hidden="1" customHeight="1" spans="1:27">
      <c r="A72" s="5"/>
      <c r="C72" s="1" t="s">
        <v>484</v>
      </c>
      <c r="D72" s="1" t="s">
        <v>485</v>
      </c>
      <c r="E72" s="1">
        <v>2</v>
      </c>
      <c r="F72" s="1" t="s">
        <v>486</v>
      </c>
      <c r="G72" s="29" t="s">
        <v>487</v>
      </c>
      <c r="H72" s="29" t="s">
        <v>488</v>
      </c>
      <c r="I72" s="29" t="s">
        <v>489</v>
      </c>
      <c r="J72" s="1">
        <v>0</v>
      </c>
      <c r="L72" s="1">
        <v>0</v>
      </c>
      <c r="M72" s="1">
        <f t="shared" ref="M71:M81" si="10">M71+15</f>
        <v>190</v>
      </c>
      <c r="N72" s="1">
        <f>N71+15</f>
        <v>100</v>
      </c>
      <c r="O72" s="1">
        <f t="shared" si="7"/>
        <v>110</v>
      </c>
      <c r="P72" s="1">
        <f t="shared" ref="P72:P95" si="11">P71+15</f>
        <v>130</v>
      </c>
      <c r="Q72" s="1">
        <v>0</v>
      </c>
      <c r="R72" s="16">
        <v>0</v>
      </c>
      <c r="S72" s="16">
        <v>0</v>
      </c>
      <c r="T72" s="16">
        <v>0</v>
      </c>
      <c r="U72" s="1" t="s">
        <v>490</v>
      </c>
      <c r="V72" s="1" t="s">
        <v>490</v>
      </c>
      <c r="W72" s="5"/>
      <c r="X72" s="5"/>
      <c r="Y72" s="5"/>
      <c r="Z72" s="5"/>
      <c r="AA72" s="5"/>
    </row>
    <row r="73" s="1" customFormat="1" hidden="1" customHeight="1" spans="1:27">
      <c r="A73" s="5"/>
      <c r="C73" s="1" t="s">
        <v>491</v>
      </c>
      <c r="D73" s="1" t="s">
        <v>492</v>
      </c>
      <c r="E73" s="1">
        <v>2</v>
      </c>
      <c r="F73" s="1" t="s">
        <v>493</v>
      </c>
      <c r="G73" s="29" t="s">
        <v>494</v>
      </c>
      <c r="H73" s="29" t="s">
        <v>495</v>
      </c>
      <c r="I73" s="29" t="s">
        <v>496</v>
      </c>
      <c r="J73" s="1">
        <v>0</v>
      </c>
      <c r="L73" s="1">
        <v>0</v>
      </c>
      <c r="M73" s="1">
        <f t="shared" si="10"/>
        <v>205</v>
      </c>
      <c r="N73" s="1">
        <f t="shared" ref="N73:N81" si="12">N72+5</f>
        <v>105</v>
      </c>
      <c r="O73" s="1">
        <f t="shared" si="7"/>
        <v>115</v>
      </c>
      <c r="P73" s="1">
        <f t="shared" si="11"/>
        <v>145</v>
      </c>
      <c r="Q73" s="1">
        <v>0</v>
      </c>
      <c r="R73" s="16">
        <v>0</v>
      </c>
      <c r="S73" s="16">
        <v>0</v>
      </c>
      <c r="T73" s="16">
        <v>0</v>
      </c>
      <c r="U73" s="1" t="s">
        <v>497</v>
      </c>
      <c r="V73" s="1" t="s">
        <v>497</v>
      </c>
      <c r="W73" s="5"/>
      <c r="X73" s="5"/>
      <c r="Y73" s="5"/>
      <c r="Z73" s="5"/>
      <c r="AA73" s="5"/>
    </row>
    <row r="74" s="1" customFormat="1" hidden="1" customHeight="1" spans="1:27">
      <c r="A74" s="5"/>
      <c r="C74" s="1" t="s">
        <v>498</v>
      </c>
      <c r="D74" s="1" t="s">
        <v>499</v>
      </c>
      <c r="E74" s="1">
        <v>2</v>
      </c>
      <c r="F74" s="1" t="s">
        <v>500</v>
      </c>
      <c r="G74" s="29" t="s">
        <v>501</v>
      </c>
      <c r="H74" s="29" t="s">
        <v>502</v>
      </c>
      <c r="I74" s="29" t="s">
        <v>503</v>
      </c>
      <c r="J74" s="1">
        <v>0</v>
      </c>
      <c r="L74" s="1">
        <v>0</v>
      </c>
      <c r="M74" s="1">
        <f t="shared" si="10"/>
        <v>220</v>
      </c>
      <c r="N74" s="1">
        <f t="shared" si="12"/>
        <v>110</v>
      </c>
      <c r="O74" s="1">
        <f t="shared" si="7"/>
        <v>120</v>
      </c>
      <c r="P74" s="1">
        <f t="shared" si="11"/>
        <v>160</v>
      </c>
      <c r="Q74" s="1">
        <v>0</v>
      </c>
      <c r="R74" s="16">
        <v>0</v>
      </c>
      <c r="S74" s="16">
        <v>0</v>
      </c>
      <c r="T74" s="16">
        <v>0</v>
      </c>
      <c r="U74" s="1" t="s">
        <v>504</v>
      </c>
      <c r="V74" s="1" t="s">
        <v>504</v>
      </c>
      <c r="W74" s="5"/>
      <c r="X74" s="5"/>
      <c r="Y74" s="5"/>
      <c r="Z74" s="5"/>
      <c r="AA74" s="5"/>
    </row>
    <row r="75" s="1" customFormat="1" hidden="1" customHeight="1" spans="1:27">
      <c r="A75" s="5"/>
      <c r="C75" s="1" t="s">
        <v>505</v>
      </c>
      <c r="D75" s="1" t="s">
        <v>506</v>
      </c>
      <c r="E75" s="1">
        <v>2</v>
      </c>
      <c r="F75" s="1" t="s">
        <v>507</v>
      </c>
      <c r="G75" s="29" t="s">
        <v>508</v>
      </c>
      <c r="H75" s="29" t="s">
        <v>509</v>
      </c>
      <c r="I75" s="29" t="s">
        <v>510</v>
      </c>
      <c r="J75" s="1">
        <v>0</v>
      </c>
      <c r="L75" s="1">
        <v>0</v>
      </c>
      <c r="M75" s="1">
        <f t="shared" si="10"/>
        <v>235</v>
      </c>
      <c r="N75" s="1">
        <f t="shared" si="12"/>
        <v>115</v>
      </c>
      <c r="O75" s="1">
        <f t="shared" si="7"/>
        <v>125</v>
      </c>
      <c r="P75" s="1">
        <f t="shared" si="11"/>
        <v>175</v>
      </c>
      <c r="Q75" s="1">
        <v>0</v>
      </c>
      <c r="R75" s="16">
        <v>0</v>
      </c>
      <c r="S75" s="16">
        <v>0</v>
      </c>
      <c r="T75" s="16">
        <v>0</v>
      </c>
      <c r="U75" s="1" t="s">
        <v>511</v>
      </c>
      <c r="V75" s="29" t="s">
        <v>511</v>
      </c>
      <c r="W75" s="5"/>
      <c r="X75" s="5"/>
      <c r="Y75" s="5"/>
      <c r="Z75" s="5"/>
      <c r="AA75" s="5"/>
    </row>
    <row r="76" s="1" customFormat="1" hidden="1" customHeight="1" spans="1:27">
      <c r="A76" s="5"/>
      <c r="B76" s="5"/>
      <c r="C76" s="1" t="s">
        <v>512</v>
      </c>
      <c r="D76" s="1" t="s">
        <v>513</v>
      </c>
      <c r="E76" s="1">
        <v>3</v>
      </c>
      <c r="F76" s="1" t="s">
        <v>514</v>
      </c>
      <c r="G76" s="29" t="s">
        <v>515</v>
      </c>
      <c r="H76" s="29" t="s">
        <v>516</v>
      </c>
      <c r="I76" s="29" t="s">
        <v>517</v>
      </c>
      <c r="J76" s="1">
        <v>0</v>
      </c>
      <c r="L76" s="1">
        <v>0</v>
      </c>
      <c r="M76" s="1">
        <f t="shared" si="10"/>
        <v>250</v>
      </c>
      <c r="N76" s="1">
        <f t="shared" si="12"/>
        <v>120</v>
      </c>
      <c r="O76" s="1">
        <f t="shared" si="7"/>
        <v>130</v>
      </c>
      <c r="P76" s="1">
        <f t="shared" si="11"/>
        <v>190</v>
      </c>
      <c r="Q76" s="1">
        <v>0</v>
      </c>
      <c r="R76" s="16">
        <v>0</v>
      </c>
      <c r="S76" s="16">
        <v>0</v>
      </c>
      <c r="T76" s="16">
        <v>0</v>
      </c>
      <c r="U76" s="1">
        <v>229385000</v>
      </c>
      <c r="V76" s="1">
        <v>229385000</v>
      </c>
      <c r="Y76" s="5"/>
      <c r="Z76" s="5"/>
      <c r="AA76" s="5"/>
    </row>
    <row r="77" s="1" customFormat="1" hidden="1" customHeight="1" spans="1:27">
      <c r="A77" s="5"/>
      <c r="B77" s="5"/>
      <c r="C77" s="1" t="s">
        <v>518</v>
      </c>
      <c r="D77" s="1" t="s">
        <v>519</v>
      </c>
      <c r="E77" s="1">
        <v>3</v>
      </c>
      <c r="F77" s="1" t="s">
        <v>520</v>
      </c>
      <c r="G77" s="29" t="s">
        <v>521</v>
      </c>
      <c r="H77" s="29" t="s">
        <v>522</v>
      </c>
      <c r="I77" s="29" t="s">
        <v>523</v>
      </c>
      <c r="J77" s="1">
        <v>0</v>
      </c>
      <c r="L77" s="1">
        <v>0</v>
      </c>
      <c r="M77" s="1">
        <f t="shared" si="10"/>
        <v>265</v>
      </c>
      <c r="N77" s="1">
        <f t="shared" si="12"/>
        <v>125</v>
      </c>
      <c r="O77" s="1">
        <f t="shared" si="7"/>
        <v>135</v>
      </c>
      <c r="P77" s="1">
        <f t="shared" si="11"/>
        <v>205</v>
      </c>
      <c r="Q77" s="1">
        <v>0</v>
      </c>
      <c r="R77" s="16">
        <v>0</v>
      </c>
      <c r="S77" s="16">
        <v>0</v>
      </c>
      <c r="T77" s="16">
        <v>0</v>
      </c>
      <c r="U77" s="1">
        <v>239385000</v>
      </c>
      <c r="V77" s="1">
        <v>239385000</v>
      </c>
      <c r="Y77" s="5"/>
      <c r="Z77" s="5"/>
      <c r="AA77" s="5"/>
    </row>
    <row r="78" s="1" customFormat="1" hidden="1" customHeight="1" spans="1:27">
      <c r="A78" s="5"/>
      <c r="B78" s="5"/>
      <c r="C78" s="1" t="s">
        <v>524</v>
      </c>
      <c r="D78" s="1" t="s">
        <v>525</v>
      </c>
      <c r="E78" s="1">
        <v>3</v>
      </c>
      <c r="F78" s="1" t="s">
        <v>526</v>
      </c>
      <c r="G78" s="29" t="s">
        <v>527</v>
      </c>
      <c r="H78" s="29" t="s">
        <v>528</v>
      </c>
      <c r="I78" s="29" t="s">
        <v>529</v>
      </c>
      <c r="J78" s="1">
        <v>0</v>
      </c>
      <c r="L78" s="1">
        <v>0</v>
      </c>
      <c r="M78" s="1">
        <f t="shared" si="10"/>
        <v>280</v>
      </c>
      <c r="N78" s="1">
        <f t="shared" si="12"/>
        <v>130</v>
      </c>
      <c r="O78" s="1">
        <f t="shared" si="7"/>
        <v>140</v>
      </c>
      <c r="P78" s="1">
        <f t="shared" si="11"/>
        <v>220</v>
      </c>
      <c r="Q78" s="1">
        <v>0</v>
      </c>
      <c r="R78" s="16">
        <v>0</v>
      </c>
      <c r="S78" s="16">
        <v>0</v>
      </c>
      <c r="T78" s="16">
        <v>0</v>
      </c>
      <c r="U78" s="1">
        <v>249385000</v>
      </c>
      <c r="V78" s="1">
        <v>249385000</v>
      </c>
      <c r="Y78" s="5"/>
      <c r="Z78" s="5"/>
      <c r="AA78" s="5"/>
    </row>
    <row r="79" s="1" customFormat="1" hidden="1" customHeight="1" spans="1:27">
      <c r="A79" s="5"/>
      <c r="B79" s="5"/>
      <c r="C79" s="1" t="s">
        <v>530</v>
      </c>
      <c r="D79" s="1" t="s">
        <v>531</v>
      </c>
      <c r="E79" s="1">
        <v>3</v>
      </c>
      <c r="F79" s="1" t="s">
        <v>532</v>
      </c>
      <c r="G79" s="29" t="s">
        <v>533</v>
      </c>
      <c r="H79" s="29" t="s">
        <v>534</v>
      </c>
      <c r="I79" s="29" t="s">
        <v>535</v>
      </c>
      <c r="J79" s="1">
        <v>0</v>
      </c>
      <c r="L79" s="1">
        <v>0</v>
      </c>
      <c r="M79" s="1">
        <f t="shared" si="10"/>
        <v>295</v>
      </c>
      <c r="N79" s="1">
        <f t="shared" si="12"/>
        <v>135</v>
      </c>
      <c r="O79" s="1">
        <f t="shared" si="7"/>
        <v>145</v>
      </c>
      <c r="P79" s="1">
        <f t="shared" si="11"/>
        <v>235</v>
      </c>
      <c r="Q79" s="1">
        <v>0</v>
      </c>
      <c r="R79" s="16">
        <v>0</v>
      </c>
      <c r="S79" s="16">
        <v>0</v>
      </c>
      <c r="T79" s="16">
        <v>0</v>
      </c>
      <c r="U79" s="1">
        <v>259385000</v>
      </c>
      <c r="V79" s="1">
        <v>259385000</v>
      </c>
      <c r="Y79" s="5"/>
      <c r="Z79" s="5"/>
      <c r="AA79" s="5"/>
    </row>
    <row r="80" s="1" customFormat="1" hidden="1" customHeight="1" spans="1:27">
      <c r="A80" s="5"/>
      <c r="B80" s="5"/>
      <c r="C80" s="1" t="s">
        <v>536</v>
      </c>
      <c r="D80" s="1" t="s">
        <v>537</v>
      </c>
      <c r="E80" s="1">
        <v>3</v>
      </c>
      <c r="F80" s="1" t="s">
        <v>538</v>
      </c>
      <c r="G80" s="29" t="s">
        <v>539</v>
      </c>
      <c r="H80" s="29" t="s">
        <v>540</v>
      </c>
      <c r="I80" s="29" t="s">
        <v>541</v>
      </c>
      <c r="J80" s="1">
        <v>0</v>
      </c>
      <c r="L80" s="1">
        <v>0</v>
      </c>
      <c r="M80" s="1">
        <f t="shared" si="10"/>
        <v>310</v>
      </c>
      <c r="N80" s="1">
        <f t="shared" si="12"/>
        <v>140</v>
      </c>
      <c r="O80" s="1">
        <f t="shared" si="7"/>
        <v>150</v>
      </c>
      <c r="P80" s="1">
        <f t="shared" si="11"/>
        <v>250</v>
      </c>
      <c r="Q80" s="1">
        <v>0</v>
      </c>
      <c r="R80" s="16">
        <v>0</v>
      </c>
      <c r="S80" s="16">
        <v>0</v>
      </c>
      <c r="T80" s="16">
        <v>0</v>
      </c>
      <c r="U80" s="1">
        <v>269385000</v>
      </c>
      <c r="V80" s="1">
        <v>269385000</v>
      </c>
      <c r="Y80" s="5"/>
      <c r="Z80" s="5"/>
      <c r="AA80" s="5"/>
    </row>
    <row r="81" s="1" customFormat="1" hidden="1" customHeight="1" spans="1:27">
      <c r="A81" s="5"/>
      <c r="B81" s="5"/>
      <c r="C81" s="1" t="s">
        <v>542</v>
      </c>
      <c r="D81" s="1" t="s">
        <v>543</v>
      </c>
      <c r="E81" s="1">
        <v>3</v>
      </c>
      <c r="F81" s="1" t="s">
        <v>544</v>
      </c>
      <c r="G81" s="29" t="s">
        <v>545</v>
      </c>
      <c r="H81" s="29" t="s">
        <v>546</v>
      </c>
      <c r="I81" s="29" t="s">
        <v>547</v>
      </c>
      <c r="J81" s="1">
        <v>0</v>
      </c>
      <c r="L81" s="1">
        <v>0</v>
      </c>
      <c r="M81" s="1">
        <f t="shared" ref="M81:M91" si="13">M80+25</f>
        <v>335</v>
      </c>
      <c r="N81" s="1">
        <f t="shared" ref="N81:N90" si="14">N80+15</f>
        <v>155</v>
      </c>
      <c r="O81" s="1">
        <f t="shared" si="7"/>
        <v>155</v>
      </c>
      <c r="P81" s="1">
        <f t="shared" si="11"/>
        <v>265</v>
      </c>
      <c r="Q81" s="1">
        <v>0</v>
      </c>
      <c r="R81" s="16">
        <v>0</v>
      </c>
      <c r="S81" s="16">
        <v>0</v>
      </c>
      <c r="T81" s="16">
        <v>0</v>
      </c>
      <c r="U81" s="1">
        <v>300000000</v>
      </c>
      <c r="V81" s="1">
        <v>300000000</v>
      </c>
      <c r="W81" s="5"/>
      <c r="X81" s="5"/>
      <c r="Y81" s="5"/>
      <c r="Z81" s="5"/>
      <c r="AA81" s="5"/>
    </row>
    <row r="82" s="1" customFormat="1" hidden="1" customHeight="1" spans="1:27">
      <c r="A82" s="5"/>
      <c r="B82" s="5"/>
      <c r="C82" s="1" t="s">
        <v>548</v>
      </c>
      <c r="D82" s="1" t="s">
        <v>549</v>
      </c>
      <c r="E82" s="1">
        <v>3</v>
      </c>
      <c r="F82" s="1" t="s">
        <v>550</v>
      </c>
      <c r="G82" s="29" t="s">
        <v>551</v>
      </c>
      <c r="H82" s="29" t="s">
        <v>552</v>
      </c>
      <c r="I82" s="29" t="s">
        <v>553</v>
      </c>
      <c r="J82" s="1">
        <v>0</v>
      </c>
      <c r="L82" s="1">
        <v>0</v>
      </c>
      <c r="M82" s="1">
        <f t="shared" si="13"/>
        <v>360</v>
      </c>
      <c r="N82" s="1">
        <f t="shared" si="14"/>
        <v>170</v>
      </c>
      <c r="O82" s="1">
        <f t="shared" si="7"/>
        <v>160</v>
      </c>
      <c r="P82" s="1">
        <f t="shared" si="11"/>
        <v>280</v>
      </c>
      <c r="Q82" s="1">
        <v>0</v>
      </c>
      <c r="R82" s="16">
        <v>0</v>
      </c>
      <c r="S82" s="16">
        <v>0</v>
      </c>
      <c r="T82" s="16">
        <v>0</v>
      </c>
      <c r="U82" s="1">
        <v>320000000</v>
      </c>
      <c r="V82" s="1">
        <v>320000000</v>
      </c>
      <c r="W82" s="5"/>
      <c r="X82" s="5"/>
      <c r="Y82" s="5"/>
      <c r="Z82" s="5"/>
      <c r="AA82" s="5"/>
    </row>
    <row r="83" s="1" customFormat="1" hidden="1" customHeight="1" spans="1:27">
      <c r="A83" s="5"/>
      <c r="B83" s="5"/>
      <c r="C83" s="1" t="s">
        <v>554</v>
      </c>
      <c r="D83" s="1" t="s">
        <v>555</v>
      </c>
      <c r="E83" s="1">
        <v>3</v>
      </c>
      <c r="F83" s="1" t="s">
        <v>556</v>
      </c>
      <c r="G83" s="29" t="s">
        <v>557</v>
      </c>
      <c r="H83" s="29" t="s">
        <v>558</v>
      </c>
      <c r="I83" s="29" t="s">
        <v>559</v>
      </c>
      <c r="J83" s="1">
        <v>0</v>
      </c>
      <c r="L83" s="1">
        <v>0</v>
      </c>
      <c r="M83" s="1">
        <f t="shared" si="13"/>
        <v>385</v>
      </c>
      <c r="N83" s="1">
        <f t="shared" si="14"/>
        <v>185</v>
      </c>
      <c r="O83" s="1">
        <f t="shared" si="7"/>
        <v>165</v>
      </c>
      <c r="P83" s="1">
        <f t="shared" si="11"/>
        <v>295</v>
      </c>
      <c r="Q83" s="1">
        <v>0</v>
      </c>
      <c r="R83" s="16">
        <v>0</v>
      </c>
      <c r="S83" s="16">
        <v>0</v>
      </c>
      <c r="T83" s="16">
        <v>0</v>
      </c>
      <c r="U83" s="1">
        <v>340000000</v>
      </c>
      <c r="V83" s="1">
        <v>340000000</v>
      </c>
      <c r="W83" s="5"/>
      <c r="X83" s="5"/>
      <c r="Y83" s="5"/>
      <c r="Z83" s="5"/>
      <c r="AA83" s="5"/>
    </row>
    <row r="84" s="1" customFormat="1" hidden="1" customHeight="1" spans="1:27">
      <c r="A84" s="5"/>
      <c r="B84" s="5"/>
      <c r="C84" s="1" t="s">
        <v>560</v>
      </c>
      <c r="D84" s="1" t="s">
        <v>561</v>
      </c>
      <c r="E84" s="1">
        <v>3</v>
      </c>
      <c r="F84" s="1" t="s">
        <v>562</v>
      </c>
      <c r="G84" s="29" t="s">
        <v>563</v>
      </c>
      <c r="H84" s="29" t="s">
        <v>564</v>
      </c>
      <c r="I84" s="29" t="s">
        <v>565</v>
      </c>
      <c r="J84" s="1">
        <v>0</v>
      </c>
      <c r="L84" s="1">
        <v>0</v>
      </c>
      <c r="M84" s="1">
        <f t="shared" si="13"/>
        <v>410</v>
      </c>
      <c r="N84" s="1">
        <f t="shared" si="14"/>
        <v>200</v>
      </c>
      <c r="O84" s="1">
        <f t="shared" si="7"/>
        <v>170</v>
      </c>
      <c r="P84" s="1">
        <f t="shared" si="11"/>
        <v>310</v>
      </c>
      <c r="Q84" s="1">
        <v>0</v>
      </c>
      <c r="R84" s="16">
        <v>0</v>
      </c>
      <c r="S84" s="16">
        <v>0</v>
      </c>
      <c r="T84" s="16">
        <v>0</v>
      </c>
      <c r="U84" s="1">
        <v>370000000</v>
      </c>
      <c r="V84" s="1">
        <v>370000000</v>
      </c>
      <c r="W84" s="5"/>
      <c r="X84" s="5"/>
      <c r="Y84" s="5"/>
      <c r="Z84" s="5"/>
      <c r="AA84" s="5"/>
    </row>
    <row r="85" s="1" customFormat="1" hidden="1" customHeight="1" spans="1:27">
      <c r="A85" s="5"/>
      <c r="B85" s="5"/>
      <c r="C85" s="1" t="s">
        <v>566</v>
      </c>
      <c r="D85" s="1" t="s">
        <v>567</v>
      </c>
      <c r="E85" s="1">
        <v>3</v>
      </c>
      <c r="F85" s="1" t="s">
        <v>568</v>
      </c>
      <c r="G85" s="29" t="s">
        <v>569</v>
      </c>
      <c r="H85" s="29" t="s">
        <v>570</v>
      </c>
      <c r="I85" s="29" t="s">
        <v>571</v>
      </c>
      <c r="J85" s="1">
        <v>0</v>
      </c>
      <c r="L85" s="1">
        <v>0</v>
      </c>
      <c r="M85" s="1">
        <f t="shared" si="13"/>
        <v>435</v>
      </c>
      <c r="N85" s="1">
        <f t="shared" si="14"/>
        <v>215</v>
      </c>
      <c r="O85" s="1">
        <f t="shared" si="7"/>
        <v>175</v>
      </c>
      <c r="P85" s="1">
        <f t="shared" si="11"/>
        <v>325</v>
      </c>
      <c r="Q85" s="1">
        <v>0</v>
      </c>
      <c r="R85" s="16">
        <v>0</v>
      </c>
      <c r="S85" s="16">
        <v>0</v>
      </c>
      <c r="T85" s="16">
        <v>0</v>
      </c>
      <c r="U85" s="1">
        <v>400000000</v>
      </c>
      <c r="V85" s="1">
        <v>400000000</v>
      </c>
      <c r="W85" s="5"/>
      <c r="X85" s="5"/>
      <c r="Y85" s="5"/>
      <c r="Z85" s="5"/>
      <c r="AA85" s="5"/>
    </row>
    <row r="86" s="1" customFormat="1" hidden="1" customHeight="1" spans="1:27">
      <c r="A86" s="5"/>
      <c r="B86" s="5"/>
      <c r="C86" s="1" t="s">
        <v>572</v>
      </c>
      <c r="D86" s="1" t="s">
        <v>573</v>
      </c>
      <c r="E86" s="1">
        <v>3</v>
      </c>
      <c r="F86" s="1" t="s">
        <v>574</v>
      </c>
      <c r="G86" s="29" t="s">
        <v>575</v>
      </c>
      <c r="H86" s="29" t="s">
        <v>539</v>
      </c>
      <c r="I86" s="29" t="s">
        <v>576</v>
      </c>
      <c r="J86" s="1">
        <v>0</v>
      </c>
      <c r="L86" s="1">
        <v>0</v>
      </c>
      <c r="M86" s="1">
        <f t="shared" si="13"/>
        <v>460</v>
      </c>
      <c r="N86" s="1">
        <f t="shared" si="14"/>
        <v>230</v>
      </c>
      <c r="O86" s="1">
        <f t="shared" si="7"/>
        <v>180</v>
      </c>
      <c r="P86" s="1">
        <f t="shared" si="11"/>
        <v>340</v>
      </c>
      <c r="Q86" s="1">
        <v>0</v>
      </c>
      <c r="R86" s="16">
        <v>0</v>
      </c>
      <c r="S86" s="16">
        <v>0</v>
      </c>
      <c r="T86" s="16">
        <v>0</v>
      </c>
      <c r="U86" s="1">
        <v>500000000</v>
      </c>
      <c r="V86" s="1">
        <v>500000000</v>
      </c>
      <c r="W86" s="5"/>
      <c r="X86" s="5"/>
      <c r="Y86" s="5"/>
      <c r="Z86" s="5"/>
      <c r="AA86" s="5"/>
    </row>
    <row r="87" s="1" customFormat="1" hidden="1" customHeight="1" spans="1:27">
      <c r="A87" s="5"/>
      <c r="B87" s="5"/>
      <c r="C87" s="1" t="s">
        <v>577</v>
      </c>
      <c r="D87" s="1" t="s">
        <v>578</v>
      </c>
      <c r="E87" s="1">
        <v>3</v>
      </c>
      <c r="F87" s="1" t="s">
        <v>579</v>
      </c>
      <c r="G87" s="29" t="s">
        <v>580</v>
      </c>
      <c r="H87" s="29" t="s">
        <v>581</v>
      </c>
      <c r="I87" s="29" t="s">
        <v>582</v>
      </c>
      <c r="J87" s="1">
        <v>0</v>
      </c>
      <c r="L87" s="1">
        <v>0</v>
      </c>
      <c r="M87" s="1">
        <f t="shared" si="13"/>
        <v>485</v>
      </c>
      <c r="N87" s="1">
        <f t="shared" si="14"/>
        <v>245</v>
      </c>
      <c r="O87" s="1">
        <f t="shared" si="7"/>
        <v>185</v>
      </c>
      <c r="P87" s="1">
        <f t="shared" si="11"/>
        <v>355</v>
      </c>
      <c r="Q87" s="1">
        <v>0</v>
      </c>
      <c r="R87" s="16">
        <v>0</v>
      </c>
      <c r="S87" s="16">
        <v>0</v>
      </c>
      <c r="T87" s="16">
        <v>0</v>
      </c>
      <c r="U87" s="1">
        <v>600000000</v>
      </c>
      <c r="V87" s="1">
        <v>600000000</v>
      </c>
      <c r="W87" s="5"/>
      <c r="X87" s="5"/>
      <c r="Y87" s="5"/>
      <c r="Z87" s="5"/>
      <c r="AA87" s="5"/>
    </row>
    <row r="88" s="1" customFormat="1" hidden="1" customHeight="1" spans="1:27">
      <c r="A88" s="5"/>
      <c r="B88" s="5"/>
      <c r="C88" s="1" t="s">
        <v>583</v>
      </c>
      <c r="D88" s="1" t="s">
        <v>584</v>
      </c>
      <c r="E88" s="1">
        <v>3</v>
      </c>
      <c r="F88" s="1" t="s">
        <v>585</v>
      </c>
      <c r="G88" s="29" t="s">
        <v>489</v>
      </c>
      <c r="H88" s="29" t="s">
        <v>454</v>
      </c>
      <c r="I88" s="29" t="s">
        <v>586</v>
      </c>
      <c r="J88" s="1">
        <v>0</v>
      </c>
      <c r="L88" s="1">
        <v>0</v>
      </c>
      <c r="M88" s="1">
        <f t="shared" si="13"/>
        <v>510</v>
      </c>
      <c r="N88" s="1">
        <f t="shared" si="14"/>
        <v>260</v>
      </c>
      <c r="O88" s="1">
        <f t="shared" si="7"/>
        <v>190</v>
      </c>
      <c r="P88" s="1">
        <f t="shared" si="11"/>
        <v>370</v>
      </c>
      <c r="Q88" s="1">
        <v>0</v>
      </c>
      <c r="R88" s="16">
        <v>0</v>
      </c>
      <c r="S88" s="16">
        <v>0</v>
      </c>
      <c r="T88" s="16">
        <v>0</v>
      </c>
      <c r="U88" s="1">
        <v>700000000</v>
      </c>
      <c r="V88" s="1">
        <v>700000000</v>
      </c>
      <c r="W88" s="5"/>
      <c r="X88" s="5"/>
      <c r="Y88" s="5"/>
      <c r="Z88" s="5"/>
      <c r="AA88" s="5"/>
    </row>
    <row r="89" s="1" customFormat="1" hidden="1" customHeight="1" spans="1:27">
      <c r="A89" s="5"/>
      <c r="B89" s="5"/>
      <c r="C89" s="1" t="s">
        <v>587</v>
      </c>
      <c r="D89" s="1" t="s">
        <v>588</v>
      </c>
      <c r="E89" s="1">
        <v>3</v>
      </c>
      <c r="F89" s="1" t="s">
        <v>589</v>
      </c>
      <c r="G89" s="29" t="s">
        <v>503</v>
      </c>
      <c r="H89" s="29" t="s">
        <v>590</v>
      </c>
      <c r="I89" s="29" t="s">
        <v>591</v>
      </c>
      <c r="J89" s="1">
        <v>0</v>
      </c>
      <c r="L89" s="1">
        <v>0</v>
      </c>
      <c r="M89" s="1">
        <f t="shared" si="13"/>
        <v>535</v>
      </c>
      <c r="N89" s="1">
        <f t="shared" si="14"/>
        <v>275</v>
      </c>
      <c r="O89" s="1">
        <f t="shared" si="7"/>
        <v>195</v>
      </c>
      <c r="P89" s="1">
        <f t="shared" si="11"/>
        <v>385</v>
      </c>
      <c r="Q89" s="1">
        <v>0</v>
      </c>
      <c r="R89" s="16">
        <v>0</v>
      </c>
      <c r="S89" s="16">
        <v>0</v>
      </c>
      <c r="T89" s="16">
        <v>0</v>
      </c>
      <c r="U89" s="1">
        <v>800000000</v>
      </c>
      <c r="V89" s="1">
        <v>800000000</v>
      </c>
      <c r="W89" s="5"/>
      <c r="X89" s="5"/>
      <c r="Y89" s="5"/>
      <c r="Z89" s="5"/>
      <c r="AA89" s="5"/>
    </row>
    <row r="90" s="1" customFormat="1" hidden="1" customHeight="1" spans="1:27">
      <c r="A90" s="5"/>
      <c r="B90" s="5"/>
      <c r="C90" s="1" t="s">
        <v>592</v>
      </c>
      <c r="D90" s="1" t="s">
        <v>593</v>
      </c>
      <c r="E90" s="1">
        <v>3</v>
      </c>
      <c r="F90" s="1" t="s">
        <v>594</v>
      </c>
      <c r="G90" s="29" t="s">
        <v>595</v>
      </c>
      <c r="H90" s="29" t="s">
        <v>580</v>
      </c>
      <c r="I90" s="29" t="s">
        <v>596</v>
      </c>
      <c r="J90" s="1">
        <v>0</v>
      </c>
      <c r="L90" s="1">
        <v>0</v>
      </c>
      <c r="M90" s="1">
        <f t="shared" si="13"/>
        <v>560</v>
      </c>
      <c r="N90" s="1">
        <f t="shared" si="14"/>
        <v>290</v>
      </c>
      <c r="O90" s="1">
        <f t="shared" si="7"/>
        <v>200</v>
      </c>
      <c r="P90" s="1">
        <f t="shared" si="11"/>
        <v>400</v>
      </c>
      <c r="Q90" s="1">
        <v>0</v>
      </c>
      <c r="R90" s="16">
        <v>0</v>
      </c>
      <c r="S90" s="16">
        <v>0</v>
      </c>
      <c r="T90" s="16">
        <v>0</v>
      </c>
      <c r="U90" s="1">
        <v>1000000000</v>
      </c>
      <c r="V90" s="1">
        <v>1000000000</v>
      </c>
      <c r="W90" s="5"/>
      <c r="X90" s="5"/>
      <c r="Y90" s="5"/>
      <c r="Z90" s="5"/>
      <c r="AA90" s="5"/>
    </row>
    <row r="91" s="1" customFormat="1" hidden="1" customHeight="1" spans="1:27">
      <c r="A91" s="5"/>
      <c r="B91" s="5"/>
      <c r="C91" s="1" t="s">
        <v>597</v>
      </c>
      <c r="D91" s="1" t="s">
        <v>598</v>
      </c>
      <c r="E91" s="1">
        <v>3</v>
      </c>
      <c r="F91" s="1" t="s">
        <v>599</v>
      </c>
      <c r="G91" s="29" t="s">
        <v>600</v>
      </c>
      <c r="H91" s="29" t="s">
        <v>601</v>
      </c>
      <c r="I91" s="29" t="s">
        <v>602</v>
      </c>
      <c r="J91" s="1">
        <v>0</v>
      </c>
      <c r="L91" s="1">
        <v>0</v>
      </c>
      <c r="M91" s="1">
        <f t="shared" ref="M91:M100" si="15">M90+30</f>
        <v>590</v>
      </c>
      <c r="N91" s="1">
        <f t="shared" ref="N90:N96" si="16">N90+25</f>
        <v>315</v>
      </c>
      <c r="O91" s="1">
        <f t="shared" ref="O91:O96" si="17">O90+20</f>
        <v>220</v>
      </c>
      <c r="P91" s="1">
        <f t="shared" ref="P91:P96" si="18">P90+20</f>
        <v>420</v>
      </c>
      <c r="Q91" s="1">
        <v>0</v>
      </c>
      <c r="R91" s="16">
        <v>0</v>
      </c>
      <c r="S91" s="16">
        <v>0</v>
      </c>
      <c r="T91" s="16">
        <v>0</v>
      </c>
      <c r="U91" s="1">
        <v>1100000000</v>
      </c>
      <c r="V91" s="1">
        <v>1100000000</v>
      </c>
      <c r="W91" s="5"/>
      <c r="X91" s="5"/>
      <c r="Y91" s="5"/>
      <c r="Z91" s="5"/>
      <c r="AA91" s="5"/>
    </row>
    <row r="92" s="1" customFormat="1" hidden="1" customHeight="1" spans="1:27">
      <c r="A92" s="5"/>
      <c r="B92" s="5"/>
      <c r="C92" s="1" t="s">
        <v>603</v>
      </c>
      <c r="D92" s="1" t="s">
        <v>604</v>
      </c>
      <c r="E92" s="1">
        <v>3</v>
      </c>
      <c r="F92" s="1" t="s">
        <v>605</v>
      </c>
      <c r="G92" s="29" t="s">
        <v>606</v>
      </c>
      <c r="H92" s="29" t="s">
        <v>607</v>
      </c>
      <c r="I92" s="29" t="s">
        <v>608</v>
      </c>
      <c r="J92" s="1">
        <v>0</v>
      </c>
      <c r="L92" s="1">
        <v>0</v>
      </c>
      <c r="M92" s="1">
        <f t="shared" si="15"/>
        <v>620</v>
      </c>
      <c r="N92" s="1">
        <f t="shared" si="16"/>
        <v>340</v>
      </c>
      <c r="O92" s="1">
        <f t="shared" si="17"/>
        <v>240</v>
      </c>
      <c r="P92" s="1">
        <f t="shared" si="18"/>
        <v>440</v>
      </c>
      <c r="Q92" s="1">
        <v>0</v>
      </c>
      <c r="R92" s="16">
        <v>0</v>
      </c>
      <c r="S92" s="16">
        <v>0</v>
      </c>
      <c r="T92" s="16">
        <v>0</v>
      </c>
      <c r="U92" s="1">
        <v>1200000000</v>
      </c>
      <c r="V92" s="1">
        <v>1200000000</v>
      </c>
      <c r="W92" s="5"/>
      <c r="X92" s="5"/>
      <c r="Y92" s="5"/>
      <c r="Z92" s="5"/>
      <c r="AA92" s="5"/>
    </row>
    <row r="93" s="1" customFormat="1" hidden="1" customHeight="1" spans="1:27">
      <c r="A93" s="5"/>
      <c r="B93" s="5"/>
      <c r="C93" s="1" t="s">
        <v>609</v>
      </c>
      <c r="D93" s="1" t="s">
        <v>610</v>
      </c>
      <c r="E93" s="1">
        <v>3</v>
      </c>
      <c r="F93" s="1" t="s">
        <v>611</v>
      </c>
      <c r="G93" s="29" t="s">
        <v>612</v>
      </c>
      <c r="H93" s="29" t="s">
        <v>613</v>
      </c>
      <c r="I93" s="29" t="s">
        <v>614</v>
      </c>
      <c r="J93" s="1">
        <v>0</v>
      </c>
      <c r="L93" s="1">
        <v>0</v>
      </c>
      <c r="M93" s="1">
        <f t="shared" si="15"/>
        <v>650</v>
      </c>
      <c r="N93" s="1">
        <f t="shared" si="16"/>
        <v>365</v>
      </c>
      <c r="O93" s="1">
        <f t="shared" si="17"/>
        <v>260</v>
      </c>
      <c r="P93" s="1">
        <f t="shared" si="18"/>
        <v>460</v>
      </c>
      <c r="Q93" s="1">
        <v>0</v>
      </c>
      <c r="R93" s="16">
        <v>0</v>
      </c>
      <c r="S93" s="16">
        <v>0</v>
      </c>
      <c r="T93" s="16">
        <v>0</v>
      </c>
      <c r="U93" s="1">
        <v>1300000000</v>
      </c>
      <c r="V93" s="1">
        <v>1300000000</v>
      </c>
      <c r="W93" s="5"/>
      <c r="X93" s="5"/>
      <c r="Y93" s="5"/>
      <c r="Z93" s="5"/>
      <c r="AA93" s="5"/>
    </row>
    <row r="94" s="1" customFormat="1" hidden="1" customHeight="1" spans="1:27">
      <c r="A94" s="5"/>
      <c r="B94" s="5"/>
      <c r="C94" s="1" t="s">
        <v>615</v>
      </c>
      <c r="D94" s="1" t="s">
        <v>616</v>
      </c>
      <c r="E94" s="1">
        <v>3</v>
      </c>
      <c r="F94" s="1" t="s">
        <v>617</v>
      </c>
      <c r="G94" s="29" t="s">
        <v>571</v>
      </c>
      <c r="H94" s="29" t="s">
        <v>618</v>
      </c>
      <c r="I94" s="29" t="s">
        <v>619</v>
      </c>
      <c r="J94" s="1">
        <v>0</v>
      </c>
      <c r="L94" s="1">
        <v>0</v>
      </c>
      <c r="M94" s="1">
        <f t="shared" si="15"/>
        <v>680</v>
      </c>
      <c r="N94" s="1">
        <f t="shared" si="16"/>
        <v>390</v>
      </c>
      <c r="O94" s="1">
        <f t="shared" si="17"/>
        <v>280</v>
      </c>
      <c r="P94" s="1">
        <f t="shared" si="18"/>
        <v>480</v>
      </c>
      <c r="Q94" s="1">
        <v>0</v>
      </c>
      <c r="R94" s="16">
        <v>0</v>
      </c>
      <c r="S94" s="16">
        <v>0</v>
      </c>
      <c r="T94" s="16">
        <v>0</v>
      </c>
      <c r="U94" s="1">
        <v>1400000000</v>
      </c>
      <c r="V94" s="1">
        <v>1400000000</v>
      </c>
      <c r="W94" s="5"/>
      <c r="X94" s="5"/>
      <c r="Y94" s="5"/>
      <c r="Z94" s="5"/>
      <c r="AA94" s="5"/>
    </row>
    <row r="95" s="1" customFormat="1" hidden="1" customHeight="1" spans="1:27">
      <c r="A95" s="5"/>
      <c r="B95" s="5"/>
      <c r="C95" s="1" t="s">
        <v>620</v>
      </c>
      <c r="D95" s="1" t="s">
        <v>621</v>
      </c>
      <c r="E95" s="1">
        <v>3</v>
      </c>
      <c r="F95" s="1" t="s">
        <v>622</v>
      </c>
      <c r="G95" s="29" t="s">
        <v>576</v>
      </c>
      <c r="H95" s="29" t="s">
        <v>623</v>
      </c>
      <c r="I95" s="29" t="s">
        <v>624</v>
      </c>
      <c r="J95" s="1">
        <v>0</v>
      </c>
      <c r="L95" s="1">
        <v>0</v>
      </c>
      <c r="M95" s="1">
        <f t="shared" si="15"/>
        <v>710</v>
      </c>
      <c r="N95" s="1">
        <f t="shared" si="16"/>
        <v>415</v>
      </c>
      <c r="O95" s="1">
        <f t="shared" si="17"/>
        <v>300</v>
      </c>
      <c r="P95" s="1">
        <f t="shared" si="18"/>
        <v>500</v>
      </c>
      <c r="Q95" s="1">
        <v>0</v>
      </c>
      <c r="R95" s="16">
        <v>0</v>
      </c>
      <c r="S95" s="16">
        <v>0</v>
      </c>
      <c r="T95" s="16">
        <v>0</v>
      </c>
      <c r="U95" s="1">
        <v>1500000000</v>
      </c>
      <c r="V95" s="1">
        <v>1500000000</v>
      </c>
      <c r="W95" s="5"/>
      <c r="X95" s="5"/>
      <c r="Y95" s="5"/>
      <c r="Z95" s="5"/>
      <c r="AA95" s="5"/>
    </row>
    <row r="96" hidden="1" customHeight="1" spans="1:27">
      <c r="C96" s="1" t="s">
        <v>625</v>
      </c>
      <c r="D96" s="1" t="s">
        <v>626</v>
      </c>
      <c r="E96" s="1">
        <v>3</v>
      </c>
      <c r="F96" s="1" t="s">
        <v>627</v>
      </c>
      <c r="G96" s="29" t="s">
        <v>582</v>
      </c>
      <c r="H96" s="29" t="s">
        <v>628</v>
      </c>
      <c r="I96" s="29" t="s">
        <v>629</v>
      </c>
      <c r="J96" s="1">
        <v>0</v>
      </c>
      <c r="K96" s="1"/>
      <c r="L96" s="1">
        <v>0</v>
      </c>
      <c r="M96" s="1">
        <f t="shared" ref="M96:M105" si="19">M95+40</f>
        <v>750</v>
      </c>
      <c r="N96" s="1">
        <f t="shared" ref="N96:N105" si="20">N95+35</f>
        <v>450</v>
      </c>
      <c r="O96" s="1">
        <f t="shared" ref="O96:O105" si="21">O95+30</f>
        <v>330</v>
      </c>
      <c r="P96" s="1">
        <f t="shared" ref="P96:P105" si="22">P95+30</f>
        <v>530</v>
      </c>
      <c r="Q96" s="1">
        <v>0</v>
      </c>
      <c r="R96" s="16">
        <v>0</v>
      </c>
      <c r="S96" s="16">
        <v>0</v>
      </c>
      <c r="T96" s="16">
        <v>0</v>
      </c>
      <c r="U96" s="1">
        <v>1600000000</v>
      </c>
      <c r="V96" s="1">
        <v>1600000000</v>
      </c>
    </row>
    <row r="97" hidden="1" customHeight="1" spans="1:27">
      <c r="C97" s="1" t="s">
        <v>630</v>
      </c>
      <c r="D97" s="1" t="s">
        <v>631</v>
      </c>
      <c r="E97" s="1">
        <v>3</v>
      </c>
      <c r="F97" s="1" t="s">
        <v>632</v>
      </c>
      <c r="G97" s="29" t="s">
        <v>586</v>
      </c>
      <c r="H97" s="29" t="s">
        <v>633</v>
      </c>
      <c r="I97" s="29" t="s">
        <v>634</v>
      </c>
      <c r="J97" s="1">
        <v>0</v>
      </c>
      <c r="K97" s="1"/>
      <c r="L97" s="1">
        <v>0</v>
      </c>
      <c r="M97" s="1">
        <f t="shared" si="19"/>
        <v>790</v>
      </c>
      <c r="N97" s="1">
        <f t="shared" si="20"/>
        <v>485</v>
      </c>
      <c r="O97" s="1">
        <f t="shared" si="21"/>
        <v>360</v>
      </c>
      <c r="P97" s="1">
        <f t="shared" si="22"/>
        <v>560</v>
      </c>
      <c r="Q97" s="1">
        <v>0</v>
      </c>
      <c r="R97" s="16">
        <v>0</v>
      </c>
      <c r="S97" s="16">
        <v>0</v>
      </c>
      <c r="T97" s="16">
        <v>0</v>
      </c>
      <c r="U97" s="1">
        <v>1700000000</v>
      </c>
      <c r="V97" s="1">
        <v>1700000000</v>
      </c>
    </row>
    <row r="98" hidden="1" customHeight="1" spans="1:27">
      <c r="C98" s="1" t="s">
        <v>635</v>
      </c>
      <c r="D98" s="1" t="s">
        <v>636</v>
      </c>
      <c r="E98" s="1">
        <v>3</v>
      </c>
      <c r="F98" s="1" t="s">
        <v>637</v>
      </c>
      <c r="G98" s="29" t="s">
        <v>638</v>
      </c>
      <c r="H98" s="29" t="s">
        <v>639</v>
      </c>
      <c r="I98" s="29" t="s">
        <v>640</v>
      </c>
      <c r="J98" s="1">
        <v>0</v>
      </c>
      <c r="K98" s="1"/>
      <c r="L98" s="1">
        <v>0</v>
      </c>
      <c r="M98" s="1">
        <f t="shared" si="19"/>
        <v>830</v>
      </c>
      <c r="N98" s="1">
        <f t="shared" si="20"/>
        <v>520</v>
      </c>
      <c r="O98" s="1">
        <f t="shared" si="21"/>
        <v>390</v>
      </c>
      <c r="P98" s="1">
        <f t="shared" si="22"/>
        <v>590</v>
      </c>
      <c r="Q98" s="1">
        <v>0</v>
      </c>
      <c r="R98" s="16">
        <v>0</v>
      </c>
      <c r="S98" s="16">
        <v>0</v>
      </c>
      <c r="T98" s="16">
        <v>0</v>
      </c>
      <c r="U98" s="1">
        <v>1800000000</v>
      </c>
      <c r="V98" s="1">
        <v>1800000000</v>
      </c>
    </row>
    <row r="99" hidden="1" customHeight="1" spans="1:27">
      <c r="C99" s="1" t="s">
        <v>641</v>
      </c>
      <c r="D99" s="1" t="s">
        <v>642</v>
      </c>
      <c r="E99" s="1">
        <v>3</v>
      </c>
      <c r="F99" s="1" t="s">
        <v>643</v>
      </c>
      <c r="G99" s="29" t="s">
        <v>644</v>
      </c>
      <c r="H99" s="29" t="s">
        <v>645</v>
      </c>
      <c r="I99" s="29" t="s">
        <v>646</v>
      </c>
      <c r="J99" s="1">
        <v>0</v>
      </c>
      <c r="K99" s="1"/>
      <c r="L99" s="1">
        <v>0</v>
      </c>
      <c r="M99" s="1">
        <f t="shared" si="19"/>
        <v>870</v>
      </c>
      <c r="N99" s="1">
        <f t="shared" si="20"/>
        <v>555</v>
      </c>
      <c r="O99" s="1">
        <f t="shared" si="21"/>
        <v>420</v>
      </c>
      <c r="P99" s="1">
        <f t="shared" si="22"/>
        <v>620</v>
      </c>
      <c r="Q99" s="1">
        <v>0</v>
      </c>
      <c r="R99" s="16">
        <v>0</v>
      </c>
      <c r="S99" s="16">
        <v>0</v>
      </c>
      <c r="T99" s="16">
        <v>0</v>
      </c>
      <c r="U99" s="1">
        <v>1900000000</v>
      </c>
      <c r="V99" s="1">
        <v>1900000000</v>
      </c>
    </row>
    <row r="100" hidden="1" customHeight="1" spans="1:27">
      <c r="C100" s="1" t="s">
        <v>647</v>
      </c>
      <c r="D100" s="1" t="s">
        <v>648</v>
      </c>
      <c r="E100" s="1">
        <v>3</v>
      </c>
      <c r="F100" s="1" t="s">
        <v>649</v>
      </c>
      <c r="G100" s="29" t="s">
        <v>650</v>
      </c>
      <c r="H100" s="29" t="s">
        <v>651</v>
      </c>
      <c r="I100" s="29" t="s">
        <v>652</v>
      </c>
      <c r="J100" s="1">
        <v>0</v>
      </c>
      <c r="K100" s="1"/>
      <c r="L100" s="1">
        <v>0</v>
      </c>
      <c r="M100" s="1">
        <f t="shared" si="19"/>
        <v>910</v>
      </c>
      <c r="N100" s="1">
        <f t="shared" si="20"/>
        <v>590</v>
      </c>
      <c r="O100" s="1">
        <f t="shared" si="21"/>
        <v>450</v>
      </c>
      <c r="P100" s="1">
        <f t="shared" si="22"/>
        <v>650</v>
      </c>
      <c r="Q100" s="1">
        <v>0</v>
      </c>
      <c r="R100" s="16">
        <v>0</v>
      </c>
      <c r="S100" s="16">
        <v>0</v>
      </c>
      <c r="T100" s="16">
        <v>0</v>
      </c>
      <c r="U100" s="1">
        <v>2000000000</v>
      </c>
      <c r="V100" s="1">
        <v>2000000000</v>
      </c>
    </row>
    <row r="101" hidden="1" customHeight="1" spans="1:27">
      <c r="C101" s="1" t="s">
        <v>653</v>
      </c>
      <c r="D101" s="1" t="s">
        <v>654</v>
      </c>
      <c r="E101" s="1">
        <v>3</v>
      </c>
      <c r="F101" s="1" t="s">
        <v>655</v>
      </c>
      <c r="G101" s="29" t="s">
        <v>656</v>
      </c>
      <c r="H101" s="29" t="s">
        <v>657</v>
      </c>
      <c r="I101" s="29" t="s">
        <v>658</v>
      </c>
      <c r="J101" s="1">
        <v>0</v>
      </c>
      <c r="K101" s="1"/>
      <c r="L101" s="1">
        <v>0</v>
      </c>
      <c r="M101" s="1">
        <f t="shared" si="19"/>
        <v>950</v>
      </c>
      <c r="N101" s="1">
        <f t="shared" si="20"/>
        <v>625</v>
      </c>
      <c r="O101" s="1">
        <f t="shared" si="21"/>
        <v>480</v>
      </c>
      <c r="P101" s="1">
        <f t="shared" si="22"/>
        <v>680</v>
      </c>
      <c r="Q101" s="1">
        <v>0</v>
      </c>
      <c r="R101" s="16">
        <v>0</v>
      </c>
      <c r="S101" s="16">
        <v>0</v>
      </c>
      <c r="T101" s="16">
        <v>0</v>
      </c>
      <c r="U101" s="1">
        <v>2100000000</v>
      </c>
      <c r="V101" s="1">
        <v>2100000000</v>
      </c>
    </row>
    <row r="102" hidden="1" customHeight="1" spans="1:27">
      <c r="C102" s="1" t="s">
        <v>659</v>
      </c>
      <c r="D102" s="1" t="s">
        <v>660</v>
      </c>
      <c r="E102" s="1">
        <v>3</v>
      </c>
      <c r="F102" s="1" t="s">
        <v>661</v>
      </c>
      <c r="G102" s="29" t="s">
        <v>662</v>
      </c>
      <c r="H102" s="29" t="s">
        <v>663</v>
      </c>
      <c r="I102" s="29" t="s">
        <v>664</v>
      </c>
      <c r="J102" s="1">
        <v>0</v>
      </c>
      <c r="K102" s="1"/>
      <c r="L102" s="1">
        <v>0</v>
      </c>
      <c r="M102" s="1">
        <f t="shared" si="19"/>
        <v>990</v>
      </c>
      <c r="N102" s="1">
        <f t="shared" si="20"/>
        <v>660</v>
      </c>
      <c r="O102" s="1">
        <f t="shared" si="21"/>
        <v>510</v>
      </c>
      <c r="P102" s="1">
        <f t="shared" si="22"/>
        <v>710</v>
      </c>
      <c r="Q102" s="1">
        <v>0</v>
      </c>
      <c r="R102" s="16">
        <v>0</v>
      </c>
      <c r="S102" s="16">
        <v>0</v>
      </c>
      <c r="T102" s="16">
        <v>0</v>
      </c>
      <c r="U102" s="1">
        <v>2200000000</v>
      </c>
      <c r="V102" s="1">
        <v>2200000000</v>
      </c>
    </row>
    <row r="103" hidden="1" customHeight="1" spans="1:27">
      <c r="C103" s="1" t="s">
        <v>665</v>
      </c>
      <c r="D103" s="1" t="s">
        <v>666</v>
      </c>
      <c r="E103" s="1">
        <v>3</v>
      </c>
      <c r="F103" s="1" t="s">
        <v>667</v>
      </c>
      <c r="G103" s="29" t="s">
        <v>668</v>
      </c>
      <c r="H103" s="29" t="s">
        <v>669</v>
      </c>
      <c r="I103" s="29" t="s">
        <v>670</v>
      </c>
      <c r="J103" s="1">
        <v>0</v>
      </c>
      <c r="K103" s="1"/>
      <c r="L103" s="1">
        <v>0</v>
      </c>
      <c r="M103" s="1">
        <f t="shared" si="19"/>
        <v>1030</v>
      </c>
      <c r="N103" s="1">
        <f t="shared" si="20"/>
        <v>695</v>
      </c>
      <c r="O103" s="1">
        <f t="shared" si="21"/>
        <v>540</v>
      </c>
      <c r="P103" s="1">
        <f t="shared" si="22"/>
        <v>740</v>
      </c>
      <c r="Q103" s="1">
        <v>0</v>
      </c>
      <c r="R103" s="16">
        <v>0</v>
      </c>
      <c r="S103" s="16">
        <v>0</v>
      </c>
      <c r="T103" s="16">
        <v>0</v>
      </c>
      <c r="U103" s="1">
        <v>2300000000</v>
      </c>
      <c r="V103" s="1">
        <v>2300000000</v>
      </c>
    </row>
    <row r="104" hidden="1" customHeight="1" spans="1:27">
      <c r="C104" s="1" t="s">
        <v>671</v>
      </c>
      <c r="D104" s="1" t="s">
        <v>672</v>
      </c>
      <c r="E104" s="1">
        <v>3</v>
      </c>
      <c r="F104" s="1" t="s">
        <v>673</v>
      </c>
      <c r="G104" s="29" t="s">
        <v>674</v>
      </c>
      <c r="H104" s="29" t="s">
        <v>668</v>
      </c>
      <c r="I104" s="29" t="s">
        <v>675</v>
      </c>
      <c r="J104" s="1">
        <v>0</v>
      </c>
      <c r="K104" s="1"/>
      <c r="L104" s="1">
        <v>0</v>
      </c>
      <c r="M104" s="1">
        <f t="shared" si="19"/>
        <v>1070</v>
      </c>
      <c r="N104" s="1">
        <f t="shared" si="20"/>
        <v>730</v>
      </c>
      <c r="O104" s="1">
        <f t="shared" si="21"/>
        <v>570</v>
      </c>
      <c r="P104" s="1">
        <f t="shared" si="22"/>
        <v>770</v>
      </c>
      <c r="Q104" s="1">
        <v>0</v>
      </c>
      <c r="R104" s="16">
        <v>0</v>
      </c>
      <c r="S104" s="16">
        <v>0</v>
      </c>
      <c r="T104" s="16">
        <v>0</v>
      </c>
      <c r="U104" s="1">
        <v>2400000000</v>
      </c>
      <c r="V104" s="1">
        <v>2400000000</v>
      </c>
    </row>
    <row r="105" hidden="1" customHeight="1" spans="1:27">
      <c r="C105" s="1" t="s">
        <v>676</v>
      </c>
      <c r="D105" s="1" t="s">
        <v>677</v>
      </c>
      <c r="E105" s="1">
        <v>3</v>
      </c>
      <c r="F105" s="1" t="s">
        <v>678</v>
      </c>
      <c r="G105" s="29" t="s">
        <v>679</v>
      </c>
      <c r="H105" s="29" t="s">
        <v>674</v>
      </c>
      <c r="I105" s="29" t="s">
        <v>680</v>
      </c>
      <c r="J105" s="1">
        <v>0</v>
      </c>
      <c r="K105" s="1"/>
      <c r="L105" s="1">
        <v>0</v>
      </c>
      <c r="M105" s="1">
        <f t="shared" si="19"/>
        <v>1110</v>
      </c>
      <c r="N105" s="1">
        <f t="shared" si="20"/>
        <v>765</v>
      </c>
      <c r="O105" s="1">
        <f t="shared" si="21"/>
        <v>600</v>
      </c>
      <c r="P105" s="1">
        <f t="shared" si="22"/>
        <v>800</v>
      </c>
      <c r="Q105" s="1">
        <v>0</v>
      </c>
      <c r="R105" s="16">
        <v>0</v>
      </c>
      <c r="S105" s="16">
        <v>0</v>
      </c>
      <c r="T105" s="16">
        <v>0</v>
      </c>
      <c r="U105" s="1">
        <v>2500000000</v>
      </c>
      <c r="V105" s="1">
        <v>2500000000</v>
      </c>
    </row>
    <row r="106" s="1" customFormat="1" hidden="1" customHeight="1" spans="1:27">
      <c r="A106" s="5"/>
      <c r="B106" s="5"/>
      <c r="C106" s="1" t="s">
        <v>681</v>
      </c>
      <c r="D106" s="1" t="s">
        <v>682</v>
      </c>
      <c r="E106" s="1">
        <v>3</v>
      </c>
      <c r="F106" s="1" t="s">
        <v>683</v>
      </c>
      <c r="G106" s="29" t="s">
        <v>684</v>
      </c>
      <c r="H106" s="29" t="s">
        <v>685</v>
      </c>
      <c r="I106" s="29" t="s">
        <v>686</v>
      </c>
      <c r="J106" s="1">
        <v>0</v>
      </c>
      <c r="L106" s="1">
        <v>0</v>
      </c>
      <c r="M106" s="1">
        <f t="shared" ref="M106:P106" si="23">M105+15</f>
        <v>1125</v>
      </c>
      <c r="N106" s="1">
        <f t="shared" si="23"/>
        <v>780</v>
      </c>
      <c r="O106" s="1">
        <f>O105+5</f>
        <v>605</v>
      </c>
      <c r="P106" s="1">
        <f t="shared" si="23"/>
        <v>815</v>
      </c>
      <c r="Q106" s="1">
        <v>0</v>
      </c>
      <c r="R106" s="16">
        <v>0</v>
      </c>
      <c r="S106" s="16">
        <v>0</v>
      </c>
      <c r="T106" s="16">
        <v>0</v>
      </c>
      <c r="U106" s="1">
        <v>2600000000</v>
      </c>
      <c r="V106" s="1">
        <v>2600000000</v>
      </c>
      <c r="W106" s="5"/>
      <c r="X106" s="5"/>
      <c r="Y106" s="5"/>
      <c r="Z106" s="5"/>
      <c r="AA106" s="5"/>
    </row>
    <row r="107" s="1" customFormat="1" hidden="1" customHeight="1" spans="1:27">
      <c r="A107" s="5"/>
      <c r="B107" s="5"/>
      <c r="C107" s="1" t="s">
        <v>687</v>
      </c>
      <c r="D107" s="1" t="s">
        <v>688</v>
      </c>
      <c r="E107" s="1">
        <v>3</v>
      </c>
      <c r="F107" s="1" t="s">
        <v>689</v>
      </c>
      <c r="G107" s="29" t="s">
        <v>690</v>
      </c>
      <c r="H107" s="29" t="s">
        <v>691</v>
      </c>
      <c r="I107" s="29" t="s">
        <v>692</v>
      </c>
      <c r="J107" s="1">
        <v>0</v>
      </c>
      <c r="L107" s="1">
        <v>0</v>
      </c>
      <c r="M107" s="1">
        <f t="shared" ref="M107:P107" si="24">M106+15</f>
        <v>1140</v>
      </c>
      <c r="N107" s="1">
        <f t="shared" si="24"/>
        <v>795</v>
      </c>
      <c r="O107" s="1">
        <f t="shared" ref="O107:O112" si="25">O106+5</f>
        <v>610</v>
      </c>
      <c r="P107" s="1">
        <f t="shared" si="24"/>
        <v>830</v>
      </c>
      <c r="Q107" s="1">
        <v>0</v>
      </c>
      <c r="R107" s="16">
        <v>0</v>
      </c>
      <c r="S107" s="16">
        <v>0</v>
      </c>
      <c r="T107" s="16">
        <v>0</v>
      </c>
      <c r="U107" s="1">
        <v>2700000000</v>
      </c>
      <c r="V107" s="1">
        <v>2700000000</v>
      </c>
      <c r="W107" s="5"/>
      <c r="X107" s="5"/>
      <c r="Y107" s="5"/>
      <c r="Z107" s="5"/>
      <c r="AA107" s="5"/>
    </row>
    <row r="108" s="1" customFormat="1" hidden="1" customHeight="1" spans="1:27">
      <c r="A108" s="5"/>
      <c r="B108" s="5"/>
      <c r="C108" s="1" t="s">
        <v>693</v>
      </c>
      <c r="D108" s="1" t="s">
        <v>694</v>
      </c>
      <c r="E108" s="1">
        <v>3</v>
      </c>
      <c r="F108" s="1" t="s">
        <v>695</v>
      </c>
      <c r="G108" s="29" t="s">
        <v>696</v>
      </c>
      <c r="H108" s="29" t="s">
        <v>697</v>
      </c>
      <c r="I108" s="29" t="s">
        <v>698</v>
      </c>
      <c r="J108" s="1">
        <v>0</v>
      </c>
      <c r="L108" s="1">
        <v>0</v>
      </c>
      <c r="M108" s="1">
        <f>M107+15</f>
        <v>1155</v>
      </c>
      <c r="N108" s="1">
        <f>N107+5</f>
        <v>800</v>
      </c>
      <c r="O108" s="1">
        <f t="shared" si="25"/>
        <v>615</v>
      </c>
      <c r="P108" s="1">
        <f>P107+15</f>
        <v>845</v>
      </c>
      <c r="Q108" s="1">
        <v>0</v>
      </c>
      <c r="R108" s="16">
        <v>0</v>
      </c>
      <c r="S108" s="16">
        <v>0</v>
      </c>
      <c r="T108" s="16">
        <v>0</v>
      </c>
      <c r="U108" s="1">
        <v>2800000000</v>
      </c>
      <c r="V108" s="1">
        <v>2800000000</v>
      </c>
      <c r="W108" s="5"/>
      <c r="X108" s="5"/>
      <c r="Y108" s="5"/>
      <c r="Z108" s="5"/>
      <c r="AA108" s="5"/>
    </row>
    <row r="109" s="1" customFormat="1" hidden="1" customHeight="1" spans="1:27">
      <c r="A109" s="5"/>
      <c r="B109" s="5"/>
      <c r="C109" s="1" t="s">
        <v>699</v>
      </c>
      <c r="D109" s="1" t="s">
        <v>700</v>
      </c>
      <c r="E109" s="1">
        <v>3</v>
      </c>
      <c r="F109" s="1" t="s">
        <v>701</v>
      </c>
      <c r="G109" s="29" t="s">
        <v>702</v>
      </c>
      <c r="H109" s="29" t="s">
        <v>703</v>
      </c>
      <c r="I109" s="29" t="s">
        <v>704</v>
      </c>
      <c r="J109" s="1">
        <v>0</v>
      </c>
      <c r="L109" s="1">
        <v>0</v>
      </c>
      <c r="M109" s="1">
        <f>M108+15</f>
        <v>1170</v>
      </c>
      <c r="N109" s="1">
        <f>N108+5</f>
        <v>805</v>
      </c>
      <c r="O109" s="1">
        <f t="shared" si="25"/>
        <v>620</v>
      </c>
      <c r="P109" s="1">
        <f>P108+15</f>
        <v>860</v>
      </c>
      <c r="Q109" s="1">
        <v>0</v>
      </c>
      <c r="R109" s="16">
        <v>0</v>
      </c>
      <c r="S109" s="16">
        <v>0</v>
      </c>
      <c r="T109" s="16">
        <v>0</v>
      </c>
      <c r="U109" s="1">
        <v>2900000000</v>
      </c>
      <c r="V109" s="1">
        <v>2900000000</v>
      </c>
      <c r="W109" s="5"/>
      <c r="X109" s="5"/>
      <c r="Y109" s="5"/>
      <c r="Z109" s="5"/>
      <c r="AA109" s="5"/>
    </row>
    <row r="110" s="1" customFormat="1" hidden="1" customHeight="1" spans="1:27">
      <c r="A110" s="5"/>
      <c r="B110" s="5"/>
      <c r="C110" s="1" t="s">
        <v>705</v>
      </c>
      <c r="D110" s="1" t="s">
        <v>706</v>
      </c>
      <c r="E110" s="1">
        <v>3</v>
      </c>
      <c r="F110" s="1" t="s">
        <v>707</v>
      </c>
      <c r="G110" s="29" t="s">
        <v>708</v>
      </c>
      <c r="H110" s="29" t="s">
        <v>709</v>
      </c>
      <c r="I110" s="29" t="s">
        <v>710</v>
      </c>
      <c r="J110" s="1">
        <v>0</v>
      </c>
      <c r="L110" s="1">
        <v>0</v>
      </c>
      <c r="M110" s="1">
        <f>M109+15</f>
        <v>1185</v>
      </c>
      <c r="N110" s="1">
        <f>N109+5</f>
        <v>810</v>
      </c>
      <c r="O110" s="1">
        <f t="shared" si="25"/>
        <v>625</v>
      </c>
      <c r="P110" s="1">
        <f>P109+15</f>
        <v>875</v>
      </c>
      <c r="Q110" s="1">
        <v>0</v>
      </c>
      <c r="R110" s="16">
        <v>0</v>
      </c>
      <c r="S110" s="16">
        <v>0</v>
      </c>
      <c r="T110" s="16">
        <v>0</v>
      </c>
      <c r="U110" s="1">
        <v>3000000000</v>
      </c>
      <c r="V110" s="1">
        <v>3000000000</v>
      </c>
      <c r="W110" s="5"/>
      <c r="X110" s="5"/>
      <c r="Y110" s="5"/>
      <c r="Z110" s="5"/>
      <c r="AA110" s="5"/>
    </row>
    <row r="111" s="1" customFormat="1" hidden="1" customHeight="1" spans="1:27">
      <c r="A111" s="5"/>
      <c r="B111" s="5"/>
      <c r="C111" s="1" t="s">
        <v>711</v>
      </c>
      <c r="D111" s="1" t="s">
        <v>712</v>
      </c>
      <c r="E111" s="1">
        <v>4</v>
      </c>
      <c r="F111" s="1" t="s">
        <v>713</v>
      </c>
      <c r="G111" s="30" t="s">
        <v>714</v>
      </c>
      <c r="H111" s="31" t="s">
        <v>714</v>
      </c>
      <c r="I111" s="32" t="s">
        <v>715</v>
      </c>
      <c r="J111" s="1">
        <v>0</v>
      </c>
      <c r="L111" s="1">
        <v>0</v>
      </c>
      <c r="M111" s="1">
        <v>1400</v>
      </c>
      <c r="N111" s="1">
        <v>1100</v>
      </c>
      <c r="O111" s="1">
        <v>900</v>
      </c>
      <c r="P111" s="1">
        <v>900</v>
      </c>
      <c r="Q111" s="1">
        <v>0</v>
      </c>
      <c r="R111" s="5">
        <v>30</v>
      </c>
      <c r="S111" s="16">
        <v>0</v>
      </c>
      <c r="T111" s="5">
        <v>90</v>
      </c>
      <c r="U111" s="29" t="s">
        <v>716</v>
      </c>
      <c r="V111" s="29" t="s">
        <v>716</v>
      </c>
      <c r="Y111" s="5"/>
      <c r="Z111" s="5"/>
      <c r="AA111" s="5"/>
    </row>
    <row r="112" s="1" customFormat="1" hidden="1" customHeight="1" spans="1:27">
      <c r="A112" s="5"/>
      <c r="B112" s="5"/>
      <c r="C112" s="1" t="s">
        <v>717</v>
      </c>
      <c r="D112" s="1" t="s">
        <v>718</v>
      </c>
      <c r="E112" s="1">
        <v>4</v>
      </c>
      <c r="F112" s="1" t="s">
        <v>719</v>
      </c>
      <c r="G112" s="33" t="s">
        <v>720</v>
      </c>
      <c r="H112" s="29" t="s">
        <v>720</v>
      </c>
      <c r="I112" s="34" t="s">
        <v>721</v>
      </c>
      <c r="J112" s="1">
        <v>0</v>
      </c>
      <c r="L112" s="1">
        <v>0</v>
      </c>
      <c r="M112" s="1">
        <f>M111+100</f>
        <v>1500</v>
      </c>
      <c r="N112" s="1">
        <f>N111+100</f>
        <v>1200</v>
      </c>
      <c r="O112" s="1">
        <f t="shared" ref="O112:O145" si="26">O111+50</f>
        <v>950</v>
      </c>
      <c r="P112" s="1">
        <f t="shared" ref="P112:P145" si="27">P111+50</f>
        <v>950</v>
      </c>
      <c r="Q112" s="1">
        <v>0</v>
      </c>
      <c r="R112" s="5">
        <f t="shared" ref="R112:R145" si="28">R111+1</f>
        <v>31</v>
      </c>
      <c r="S112" s="16">
        <v>0</v>
      </c>
      <c r="T112" s="5">
        <v>90</v>
      </c>
      <c r="U112" s="29" t="s">
        <v>722</v>
      </c>
      <c r="V112" s="29" t="s">
        <v>722</v>
      </c>
      <c r="Y112" s="5"/>
      <c r="Z112" s="5"/>
      <c r="AA112" s="5"/>
    </row>
    <row r="113" s="1" customFormat="1" hidden="1" customHeight="1" spans="1:27">
      <c r="A113" s="5"/>
      <c r="B113" s="5"/>
      <c r="C113" s="1" t="s">
        <v>723</v>
      </c>
      <c r="D113" s="1" t="s">
        <v>724</v>
      </c>
      <c r="E113" s="1">
        <v>4</v>
      </c>
      <c r="F113" s="1" t="s">
        <v>725</v>
      </c>
      <c r="G113" s="33" t="s">
        <v>726</v>
      </c>
      <c r="H113" s="29" t="s">
        <v>726</v>
      </c>
      <c r="I113" s="34" t="s">
        <v>727</v>
      </c>
      <c r="J113" s="1">
        <v>0</v>
      </c>
      <c r="L113" s="1">
        <v>0</v>
      </c>
      <c r="M113" s="1">
        <f>M112+100</f>
        <v>1600</v>
      </c>
      <c r="N113" s="1">
        <f>N112+100</f>
        <v>1300</v>
      </c>
      <c r="O113" s="1">
        <f t="shared" si="26"/>
        <v>1000</v>
      </c>
      <c r="P113" s="1">
        <f t="shared" si="27"/>
        <v>1000</v>
      </c>
      <c r="Q113" s="1">
        <v>0</v>
      </c>
      <c r="R113" s="5">
        <f t="shared" si="28"/>
        <v>32</v>
      </c>
      <c r="S113" s="16">
        <v>0</v>
      </c>
      <c r="T113" s="5">
        <v>90</v>
      </c>
      <c r="U113" s="29" t="s">
        <v>728</v>
      </c>
      <c r="V113" s="29" t="s">
        <v>728</v>
      </c>
      <c r="Y113" s="5"/>
      <c r="Z113" s="5"/>
      <c r="AA113" s="5"/>
    </row>
    <row r="114" s="1" customFormat="1" hidden="1" customHeight="1" spans="1:27">
      <c r="A114" s="5"/>
      <c r="B114" s="5"/>
      <c r="C114" s="1" t="s">
        <v>729</v>
      </c>
      <c r="D114" s="1" t="s">
        <v>730</v>
      </c>
      <c r="E114" s="1">
        <v>4</v>
      </c>
      <c r="F114" s="1" t="s">
        <v>731</v>
      </c>
      <c r="G114" s="33" t="s">
        <v>732</v>
      </c>
      <c r="H114" s="29" t="s">
        <v>732</v>
      </c>
      <c r="I114" s="34" t="s">
        <v>733</v>
      </c>
      <c r="J114" s="1">
        <v>0</v>
      </c>
      <c r="L114" s="1">
        <v>0</v>
      </c>
      <c r="M114" s="1">
        <f>M113+100</f>
        <v>1700</v>
      </c>
      <c r="N114" s="1">
        <f>N113+100</f>
        <v>1400</v>
      </c>
      <c r="O114" s="1">
        <f t="shared" si="26"/>
        <v>1050</v>
      </c>
      <c r="P114" s="1">
        <f t="shared" si="27"/>
        <v>1050</v>
      </c>
      <c r="Q114" s="1">
        <v>0</v>
      </c>
      <c r="R114" s="5">
        <f t="shared" si="28"/>
        <v>33</v>
      </c>
      <c r="S114" s="16">
        <v>0</v>
      </c>
      <c r="T114" s="5">
        <v>90</v>
      </c>
      <c r="U114" s="29" t="s">
        <v>734</v>
      </c>
      <c r="V114" s="29" t="s">
        <v>734</v>
      </c>
      <c r="Y114" s="5"/>
      <c r="Z114" s="5"/>
      <c r="AA114" s="5"/>
    </row>
    <row r="115" s="1" customFormat="1" hidden="1" customHeight="1" spans="1:27">
      <c r="A115" s="5"/>
      <c r="B115" s="5"/>
      <c r="C115" s="1" t="s">
        <v>735</v>
      </c>
      <c r="D115" s="1" t="s">
        <v>736</v>
      </c>
      <c r="E115" s="1">
        <v>4</v>
      </c>
      <c r="F115" s="1" t="s">
        <v>737</v>
      </c>
      <c r="G115" s="33" t="s">
        <v>738</v>
      </c>
      <c r="H115" s="29" t="s">
        <v>738</v>
      </c>
      <c r="I115" s="34" t="s">
        <v>739</v>
      </c>
      <c r="J115" s="1">
        <v>0</v>
      </c>
      <c r="L115" s="1">
        <v>0</v>
      </c>
      <c r="M115" s="1">
        <f>M114+100</f>
        <v>1800</v>
      </c>
      <c r="N115" s="1">
        <f>N114+100</f>
        <v>1500</v>
      </c>
      <c r="O115" s="1">
        <f t="shared" si="26"/>
        <v>1100</v>
      </c>
      <c r="P115" s="1">
        <f t="shared" si="27"/>
        <v>1100</v>
      </c>
      <c r="Q115" s="1">
        <v>0</v>
      </c>
      <c r="R115" s="5">
        <f t="shared" si="28"/>
        <v>34</v>
      </c>
      <c r="S115" s="16">
        <v>0</v>
      </c>
      <c r="T115" s="5">
        <v>90</v>
      </c>
      <c r="U115" s="29" t="s">
        <v>740</v>
      </c>
      <c r="V115" s="29" t="s">
        <v>740</v>
      </c>
      <c r="Y115" s="5"/>
      <c r="Z115" s="5"/>
      <c r="AA115" s="5"/>
    </row>
    <row r="116" s="1" customFormat="1" hidden="1" customHeight="1" spans="1:27">
      <c r="A116" s="5"/>
      <c r="B116" s="5"/>
      <c r="C116" s="1" t="s">
        <v>741</v>
      </c>
      <c r="D116" s="1" t="s">
        <v>742</v>
      </c>
      <c r="E116" s="1">
        <v>4</v>
      </c>
      <c r="F116" s="1" t="s">
        <v>743</v>
      </c>
      <c r="G116" s="33" t="s">
        <v>744</v>
      </c>
      <c r="H116" s="29" t="s">
        <v>744</v>
      </c>
      <c r="I116" s="34" t="s">
        <v>745</v>
      </c>
      <c r="J116" s="1">
        <v>0</v>
      </c>
      <c r="L116" s="1">
        <v>0</v>
      </c>
      <c r="M116" s="1">
        <f t="shared" ref="M116:M145" si="29">M115+200</f>
        <v>2000</v>
      </c>
      <c r="N116" s="1">
        <f t="shared" ref="N116:N145" si="30">N115+300</f>
        <v>1800</v>
      </c>
      <c r="O116" s="1">
        <f t="shared" si="26"/>
        <v>1150</v>
      </c>
      <c r="P116" s="1">
        <f t="shared" si="27"/>
        <v>1150</v>
      </c>
      <c r="Q116" s="1">
        <v>0</v>
      </c>
      <c r="R116" s="5">
        <f t="shared" si="28"/>
        <v>35</v>
      </c>
      <c r="S116" s="16">
        <v>0</v>
      </c>
      <c r="T116" s="5">
        <v>90</v>
      </c>
      <c r="U116" s="29" t="s">
        <v>746</v>
      </c>
      <c r="V116" s="29" t="s">
        <v>746</v>
      </c>
      <c r="W116" s="5"/>
      <c r="X116" s="5"/>
      <c r="Y116" s="5"/>
      <c r="Z116" s="5"/>
      <c r="AA116" s="5"/>
    </row>
    <row r="117" s="1" customFormat="1" hidden="1" customHeight="1" spans="1:27">
      <c r="A117" s="5"/>
      <c r="B117" s="5"/>
      <c r="C117" s="1" t="s">
        <v>747</v>
      </c>
      <c r="D117" s="1" t="s">
        <v>748</v>
      </c>
      <c r="E117" s="1">
        <v>4</v>
      </c>
      <c r="F117" s="1" t="s">
        <v>749</v>
      </c>
      <c r="G117" s="33" t="s">
        <v>750</v>
      </c>
      <c r="H117" s="29" t="s">
        <v>750</v>
      </c>
      <c r="I117" s="34" t="s">
        <v>751</v>
      </c>
      <c r="J117" s="1">
        <v>0</v>
      </c>
      <c r="L117" s="1">
        <v>0</v>
      </c>
      <c r="M117" s="1">
        <f t="shared" si="29"/>
        <v>2200</v>
      </c>
      <c r="N117" s="1">
        <f t="shared" si="30"/>
        <v>2100</v>
      </c>
      <c r="O117" s="1">
        <f t="shared" si="26"/>
        <v>1200</v>
      </c>
      <c r="P117" s="1">
        <f t="shared" si="27"/>
        <v>1200</v>
      </c>
      <c r="Q117" s="1">
        <v>0</v>
      </c>
      <c r="R117" s="5">
        <f t="shared" si="28"/>
        <v>36</v>
      </c>
      <c r="S117" s="16">
        <v>0</v>
      </c>
      <c r="T117" s="5">
        <v>90</v>
      </c>
      <c r="U117" s="29" t="s">
        <v>752</v>
      </c>
      <c r="V117" s="29" t="s">
        <v>752</v>
      </c>
      <c r="W117" s="5"/>
      <c r="X117" s="5"/>
      <c r="Y117" s="5"/>
      <c r="Z117" s="5"/>
      <c r="AA117" s="5"/>
    </row>
    <row r="118" s="1" customFormat="1" hidden="1" customHeight="1" spans="1:27">
      <c r="A118" s="5"/>
      <c r="B118" s="5"/>
      <c r="C118" s="1" t="s">
        <v>753</v>
      </c>
      <c r="D118" s="1" t="s">
        <v>754</v>
      </c>
      <c r="E118" s="1">
        <v>4</v>
      </c>
      <c r="F118" s="1" t="s">
        <v>755</v>
      </c>
      <c r="G118" s="33" t="s">
        <v>756</v>
      </c>
      <c r="H118" s="29" t="s">
        <v>756</v>
      </c>
      <c r="I118" s="34" t="s">
        <v>757</v>
      </c>
      <c r="J118" s="1">
        <v>0</v>
      </c>
      <c r="L118" s="1">
        <v>0</v>
      </c>
      <c r="M118" s="1">
        <f t="shared" si="29"/>
        <v>2400</v>
      </c>
      <c r="N118" s="1">
        <f t="shared" si="30"/>
        <v>2400</v>
      </c>
      <c r="O118" s="1">
        <f t="shared" si="26"/>
        <v>1250</v>
      </c>
      <c r="P118" s="1">
        <f t="shared" si="27"/>
        <v>1250</v>
      </c>
      <c r="Q118" s="1">
        <v>0</v>
      </c>
      <c r="R118" s="5">
        <f t="shared" si="28"/>
        <v>37</v>
      </c>
      <c r="S118" s="16">
        <v>0</v>
      </c>
      <c r="T118" s="5">
        <v>90</v>
      </c>
      <c r="U118" s="29" t="s">
        <v>758</v>
      </c>
      <c r="V118" s="29" t="s">
        <v>758</v>
      </c>
      <c r="W118" s="5"/>
      <c r="X118" s="5"/>
      <c r="Y118" s="5"/>
      <c r="Z118" s="5"/>
      <c r="AA118" s="5"/>
    </row>
    <row r="119" s="1" customFormat="1" hidden="1" customHeight="1" spans="1:27">
      <c r="A119" s="5"/>
      <c r="B119" s="5"/>
      <c r="C119" s="1" t="s">
        <v>759</v>
      </c>
      <c r="D119" s="1" t="s">
        <v>760</v>
      </c>
      <c r="E119" s="1">
        <v>4</v>
      </c>
      <c r="F119" s="1" t="s">
        <v>761</v>
      </c>
      <c r="G119" s="33" t="s">
        <v>762</v>
      </c>
      <c r="H119" s="29" t="s">
        <v>762</v>
      </c>
      <c r="I119" s="34" t="s">
        <v>763</v>
      </c>
      <c r="J119" s="1">
        <v>0</v>
      </c>
      <c r="L119" s="1">
        <v>0</v>
      </c>
      <c r="M119" s="1">
        <f t="shared" si="29"/>
        <v>2600</v>
      </c>
      <c r="N119" s="1">
        <f t="shared" si="30"/>
        <v>2700</v>
      </c>
      <c r="O119" s="1">
        <f t="shared" si="26"/>
        <v>1300</v>
      </c>
      <c r="P119" s="1">
        <f t="shared" si="27"/>
        <v>1300</v>
      </c>
      <c r="Q119" s="1">
        <v>0</v>
      </c>
      <c r="R119" s="5">
        <f t="shared" si="28"/>
        <v>38</v>
      </c>
      <c r="S119" s="16">
        <v>0</v>
      </c>
      <c r="T119" s="5">
        <v>90</v>
      </c>
      <c r="U119" s="29" t="s">
        <v>764</v>
      </c>
      <c r="V119" s="29" t="s">
        <v>764</v>
      </c>
      <c r="W119" s="5"/>
      <c r="X119" s="5"/>
      <c r="Y119" s="5"/>
      <c r="Z119" s="5"/>
      <c r="AA119" s="5"/>
    </row>
    <row r="120" s="1" customFormat="1" hidden="1" customHeight="1" spans="1:27">
      <c r="A120" s="5"/>
      <c r="B120" s="5"/>
      <c r="C120" s="1" t="s">
        <v>765</v>
      </c>
      <c r="D120" s="1" t="s">
        <v>766</v>
      </c>
      <c r="E120" s="1">
        <v>4</v>
      </c>
      <c r="F120" s="1" t="s">
        <v>767</v>
      </c>
      <c r="G120" s="33" t="s">
        <v>768</v>
      </c>
      <c r="H120" s="29" t="s">
        <v>768</v>
      </c>
      <c r="I120" s="34" t="s">
        <v>769</v>
      </c>
      <c r="J120" s="1">
        <v>0</v>
      </c>
      <c r="L120" s="1">
        <v>0</v>
      </c>
      <c r="M120" s="1">
        <f t="shared" si="29"/>
        <v>2800</v>
      </c>
      <c r="N120" s="1">
        <f t="shared" si="30"/>
        <v>3000</v>
      </c>
      <c r="O120" s="1">
        <f t="shared" si="26"/>
        <v>1350</v>
      </c>
      <c r="P120" s="1">
        <f t="shared" si="27"/>
        <v>1350</v>
      </c>
      <c r="Q120" s="1">
        <v>0</v>
      </c>
      <c r="R120" s="5">
        <f t="shared" si="28"/>
        <v>39</v>
      </c>
      <c r="S120" s="16">
        <v>0</v>
      </c>
      <c r="T120" s="5">
        <v>90</v>
      </c>
      <c r="U120" s="29" t="s">
        <v>770</v>
      </c>
      <c r="V120" s="29" t="s">
        <v>770</v>
      </c>
      <c r="W120" s="5"/>
      <c r="X120" s="5"/>
      <c r="Y120" s="5"/>
      <c r="Z120" s="5"/>
      <c r="AA120" s="5"/>
    </row>
    <row r="121" s="1" customFormat="1" hidden="1" customHeight="1" spans="1:27">
      <c r="A121" s="5"/>
      <c r="B121" s="5"/>
      <c r="C121" s="1" t="s">
        <v>771</v>
      </c>
      <c r="D121" s="1" t="s">
        <v>772</v>
      </c>
      <c r="E121" s="1">
        <v>4</v>
      </c>
      <c r="F121" s="1" t="s">
        <v>773</v>
      </c>
      <c r="G121" s="33" t="s">
        <v>715</v>
      </c>
      <c r="H121" s="29" t="s">
        <v>715</v>
      </c>
      <c r="I121" s="34" t="s">
        <v>774</v>
      </c>
      <c r="J121" s="1">
        <v>0</v>
      </c>
      <c r="L121" s="1">
        <v>0</v>
      </c>
      <c r="M121" s="1">
        <f t="shared" si="29"/>
        <v>3000</v>
      </c>
      <c r="N121" s="1">
        <f t="shared" si="30"/>
        <v>3300</v>
      </c>
      <c r="O121" s="1">
        <f t="shared" si="26"/>
        <v>1400</v>
      </c>
      <c r="P121" s="1">
        <f t="shared" si="27"/>
        <v>1400</v>
      </c>
      <c r="Q121" s="1">
        <v>0</v>
      </c>
      <c r="R121" s="5">
        <f t="shared" si="28"/>
        <v>40</v>
      </c>
      <c r="S121" s="16">
        <v>3</v>
      </c>
      <c r="T121" s="5">
        <v>90</v>
      </c>
      <c r="U121" s="29" t="s">
        <v>775</v>
      </c>
      <c r="V121" s="29" t="s">
        <v>775</v>
      </c>
      <c r="W121" s="5"/>
      <c r="X121" s="5"/>
      <c r="Y121" s="5"/>
      <c r="Z121" s="5"/>
      <c r="AA121" s="5"/>
    </row>
    <row r="122" s="1" customFormat="1" hidden="1" customHeight="1" spans="1:27">
      <c r="A122" s="5"/>
      <c r="B122" s="5"/>
      <c r="C122" s="1" t="s">
        <v>776</v>
      </c>
      <c r="D122" s="1" t="s">
        <v>777</v>
      </c>
      <c r="E122" s="1">
        <v>4</v>
      </c>
      <c r="F122" s="1" t="s">
        <v>778</v>
      </c>
      <c r="G122" s="33" t="s">
        <v>779</v>
      </c>
      <c r="H122" s="29" t="s">
        <v>779</v>
      </c>
      <c r="I122" s="34" t="s">
        <v>780</v>
      </c>
      <c r="J122" s="1">
        <v>0</v>
      </c>
      <c r="L122" s="1">
        <v>0</v>
      </c>
      <c r="M122" s="1">
        <f t="shared" si="29"/>
        <v>3200</v>
      </c>
      <c r="N122" s="1">
        <f t="shared" si="30"/>
        <v>3600</v>
      </c>
      <c r="O122" s="1">
        <f t="shared" si="26"/>
        <v>1450</v>
      </c>
      <c r="P122" s="1">
        <f t="shared" si="27"/>
        <v>1450</v>
      </c>
      <c r="Q122" s="1">
        <v>0</v>
      </c>
      <c r="R122" s="5">
        <f t="shared" si="28"/>
        <v>41</v>
      </c>
      <c r="S122" s="5">
        <f t="shared" ref="S122:S130" si="31">S121+3</f>
        <v>6</v>
      </c>
      <c r="T122" s="5">
        <v>90</v>
      </c>
      <c r="U122" s="29" t="s">
        <v>781</v>
      </c>
      <c r="V122" s="29" t="s">
        <v>781</v>
      </c>
      <c r="W122" s="5"/>
      <c r="X122" s="5"/>
      <c r="Y122" s="5"/>
      <c r="Z122" s="5"/>
      <c r="AA122" s="5"/>
    </row>
    <row r="123" s="1" customFormat="1" hidden="1" customHeight="1" spans="1:27">
      <c r="A123" s="5"/>
      <c r="B123" s="5"/>
      <c r="C123" s="1" t="s">
        <v>782</v>
      </c>
      <c r="D123" s="1" t="s">
        <v>783</v>
      </c>
      <c r="E123" s="1">
        <v>4</v>
      </c>
      <c r="F123" s="1" t="s">
        <v>784</v>
      </c>
      <c r="G123" s="33" t="s">
        <v>785</v>
      </c>
      <c r="H123" s="29" t="s">
        <v>785</v>
      </c>
      <c r="I123" s="34" t="s">
        <v>786</v>
      </c>
      <c r="J123" s="1">
        <v>0</v>
      </c>
      <c r="L123" s="1">
        <v>0</v>
      </c>
      <c r="M123" s="1">
        <f t="shared" si="29"/>
        <v>3400</v>
      </c>
      <c r="N123" s="1">
        <f t="shared" si="30"/>
        <v>3900</v>
      </c>
      <c r="O123" s="1">
        <f t="shared" si="26"/>
        <v>1500</v>
      </c>
      <c r="P123" s="1">
        <f t="shared" si="27"/>
        <v>1500</v>
      </c>
      <c r="Q123" s="1">
        <v>0</v>
      </c>
      <c r="R123" s="5">
        <f t="shared" si="28"/>
        <v>42</v>
      </c>
      <c r="S123" s="5">
        <f t="shared" si="31"/>
        <v>9</v>
      </c>
      <c r="T123" s="5">
        <v>90</v>
      </c>
      <c r="U123" s="29" t="s">
        <v>787</v>
      </c>
      <c r="V123" s="29" t="s">
        <v>787</v>
      </c>
      <c r="W123" s="5"/>
      <c r="X123" s="5"/>
      <c r="Y123" s="5"/>
      <c r="Z123" s="5"/>
      <c r="AA123" s="5"/>
    </row>
    <row r="124" s="1" customFormat="1" hidden="1" customHeight="1" spans="1:27">
      <c r="A124" s="5"/>
      <c r="B124" s="5"/>
      <c r="C124" s="1" t="s">
        <v>788</v>
      </c>
      <c r="D124" s="1" t="s">
        <v>789</v>
      </c>
      <c r="E124" s="1">
        <v>4</v>
      </c>
      <c r="F124" s="1" t="s">
        <v>790</v>
      </c>
      <c r="G124" s="33" t="s">
        <v>791</v>
      </c>
      <c r="H124" s="29" t="s">
        <v>791</v>
      </c>
      <c r="I124" s="34" t="s">
        <v>792</v>
      </c>
      <c r="J124" s="1">
        <v>0</v>
      </c>
      <c r="L124" s="1">
        <v>0</v>
      </c>
      <c r="M124" s="1">
        <f t="shared" si="29"/>
        <v>3600</v>
      </c>
      <c r="N124" s="1">
        <f t="shared" si="30"/>
        <v>4200</v>
      </c>
      <c r="O124" s="1">
        <f t="shared" si="26"/>
        <v>1550</v>
      </c>
      <c r="P124" s="1">
        <f t="shared" si="27"/>
        <v>1550</v>
      </c>
      <c r="Q124" s="1">
        <v>0</v>
      </c>
      <c r="R124" s="5">
        <f t="shared" si="28"/>
        <v>43</v>
      </c>
      <c r="S124" s="5">
        <f t="shared" si="31"/>
        <v>12</v>
      </c>
      <c r="T124" s="5">
        <v>90</v>
      </c>
      <c r="U124" s="29" t="s">
        <v>793</v>
      </c>
      <c r="V124" s="29" t="s">
        <v>793</v>
      </c>
      <c r="W124" s="5"/>
      <c r="X124" s="5"/>
      <c r="Y124" s="5"/>
      <c r="Z124" s="5"/>
      <c r="AA124" s="5"/>
    </row>
    <row r="125" s="1" customFormat="1" hidden="1" customHeight="1" spans="1:27">
      <c r="A125" s="5"/>
      <c r="B125" s="5"/>
      <c r="C125" s="1" t="s">
        <v>794</v>
      </c>
      <c r="D125" s="1" t="s">
        <v>795</v>
      </c>
      <c r="E125" s="1">
        <v>4</v>
      </c>
      <c r="F125" s="1" t="s">
        <v>796</v>
      </c>
      <c r="G125" s="33" t="s">
        <v>797</v>
      </c>
      <c r="H125" s="29" t="s">
        <v>797</v>
      </c>
      <c r="I125" s="34" t="s">
        <v>798</v>
      </c>
      <c r="J125" s="1">
        <v>0</v>
      </c>
      <c r="L125" s="1">
        <v>0</v>
      </c>
      <c r="M125" s="1">
        <f t="shared" si="29"/>
        <v>3800</v>
      </c>
      <c r="N125" s="1">
        <f t="shared" si="30"/>
        <v>4500</v>
      </c>
      <c r="O125" s="1">
        <f t="shared" si="26"/>
        <v>1600</v>
      </c>
      <c r="P125" s="1">
        <f t="shared" si="27"/>
        <v>1600</v>
      </c>
      <c r="Q125" s="1">
        <v>0</v>
      </c>
      <c r="R125" s="5">
        <f t="shared" si="28"/>
        <v>44</v>
      </c>
      <c r="S125" s="5">
        <f t="shared" si="31"/>
        <v>15</v>
      </c>
      <c r="T125" s="5">
        <v>90</v>
      </c>
      <c r="U125" s="29" t="s">
        <v>799</v>
      </c>
      <c r="V125" s="29" t="s">
        <v>799</v>
      </c>
      <c r="W125" s="5"/>
      <c r="X125" s="5"/>
      <c r="Y125" s="5"/>
      <c r="Z125" s="5"/>
      <c r="AA125" s="5"/>
    </row>
    <row r="126" s="1" customFormat="1" hidden="1" customHeight="1" spans="1:27">
      <c r="A126" s="5"/>
      <c r="B126" s="5"/>
      <c r="C126" s="1" t="s">
        <v>800</v>
      </c>
      <c r="D126" s="1" t="s">
        <v>801</v>
      </c>
      <c r="E126" s="1">
        <v>4</v>
      </c>
      <c r="F126" s="1" t="s">
        <v>802</v>
      </c>
      <c r="G126" s="33" t="s">
        <v>803</v>
      </c>
      <c r="H126" s="29" t="s">
        <v>803</v>
      </c>
      <c r="I126" s="34" t="s">
        <v>804</v>
      </c>
      <c r="J126" s="1">
        <v>0</v>
      </c>
      <c r="L126" s="1">
        <v>0</v>
      </c>
      <c r="M126" s="1">
        <f t="shared" si="29"/>
        <v>4000</v>
      </c>
      <c r="N126" s="1">
        <f t="shared" si="30"/>
        <v>4800</v>
      </c>
      <c r="O126" s="1">
        <f t="shared" si="26"/>
        <v>1650</v>
      </c>
      <c r="P126" s="1">
        <f t="shared" si="27"/>
        <v>1650</v>
      </c>
      <c r="Q126" s="1">
        <v>0</v>
      </c>
      <c r="R126" s="5">
        <f t="shared" si="28"/>
        <v>45</v>
      </c>
      <c r="S126" s="5">
        <f t="shared" si="31"/>
        <v>18</v>
      </c>
      <c r="T126" s="5">
        <v>90</v>
      </c>
      <c r="U126" s="29" t="s">
        <v>805</v>
      </c>
      <c r="V126" s="29" t="s">
        <v>805</v>
      </c>
      <c r="W126" s="5"/>
      <c r="X126" s="5"/>
      <c r="Y126" s="5"/>
      <c r="Z126" s="5"/>
      <c r="AA126" s="5"/>
    </row>
    <row r="127" s="1" customFormat="1" hidden="1" customHeight="1" spans="1:27">
      <c r="A127" s="5"/>
      <c r="B127" s="5"/>
      <c r="C127" s="1" t="s">
        <v>806</v>
      </c>
      <c r="D127" s="1" t="s">
        <v>807</v>
      </c>
      <c r="E127" s="1">
        <v>4</v>
      </c>
      <c r="F127" s="1" t="s">
        <v>808</v>
      </c>
      <c r="G127" s="33" t="s">
        <v>809</v>
      </c>
      <c r="H127" s="29" t="s">
        <v>809</v>
      </c>
      <c r="I127" s="34" t="s">
        <v>810</v>
      </c>
      <c r="J127" s="1">
        <v>0</v>
      </c>
      <c r="L127" s="1">
        <v>0</v>
      </c>
      <c r="M127" s="1">
        <f t="shared" si="29"/>
        <v>4200</v>
      </c>
      <c r="N127" s="1">
        <f t="shared" si="30"/>
        <v>5100</v>
      </c>
      <c r="O127" s="1">
        <f t="shared" si="26"/>
        <v>1700</v>
      </c>
      <c r="P127" s="1">
        <f t="shared" si="27"/>
        <v>1700</v>
      </c>
      <c r="Q127" s="1">
        <v>0</v>
      </c>
      <c r="R127" s="5">
        <f t="shared" si="28"/>
        <v>46</v>
      </c>
      <c r="S127" s="5">
        <f t="shared" si="31"/>
        <v>21</v>
      </c>
      <c r="T127" s="5">
        <v>90</v>
      </c>
      <c r="U127" s="29" t="s">
        <v>811</v>
      </c>
      <c r="V127" s="29" t="s">
        <v>811</v>
      </c>
      <c r="W127" s="5"/>
      <c r="X127" s="5"/>
      <c r="Y127" s="5"/>
      <c r="Z127" s="5"/>
      <c r="AA127" s="5"/>
    </row>
    <row r="128" s="1" customFormat="1" hidden="1" customHeight="1" spans="1:27">
      <c r="A128" s="5"/>
      <c r="B128" s="5"/>
      <c r="C128" s="1" t="s">
        <v>812</v>
      </c>
      <c r="D128" s="1" t="s">
        <v>813</v>
      </c>
      <c r="E128" s="1">
        <v>4</v>
      </c>
      <c r="F128" s="1" t="s">
        <v>814</v>
      </c>
      <c r="G128" s="33" t="s">
        <v>815</v>
      </c>
      <c r="H128" s="29" t="s">
        <v>815</v>
      </c>
      <c r="I128" s="34" t="s">
        <v>816</v>
      </c>
      <c r="J128" s="1">
        <v>0</v>
      </c>
      <c r="L128" s="1">
        <v>0</v>
      </c>
      <c r="M128" s="1">
        <f t="shared" si="29"/>
        <v>4400</v>
      </c>
      <c r="N128" s="1">
        <f t="shared" si="30"/>
        <v>5400</v>
      </c>
      <c r="O128" s="1">
        <f t="shared" si="26"/>
        <v>1750</v>
      </c>
      <c r="P128" s="1">
        <f t="shared" si="27"/>
        <v>1750</v>
      </c>
      <c r="Q128" s="1">
        <v>0</v>
      </c>
      <c r="R128" s="5">
        <f t="shared" si="28"/>
        <v>47</v>
      </c>
      <c r="S128" s="5">
        <f t="shared" si="31"/>
        <v>24</v>
      </c>
      <c r="T128" s="5">
        <v>90</v>
      </c>
      <c r="U128" s="29" t="s">
        <v>817</v>
      </c>
      <c r="V128" s="29" t="s">
        <v>817</v>
      </c>
      <c r="W128" s="5"/>
      <c r="X128" s="5"/>
      <c r="Y128" s="5"/>
      <c r="Z128" s="5"/>
      <c r="AA128" s="5"/>
    </row>
    <row r="129" s="1" customFormat="1" hidden="1" customHeight="1" spans="1:27">
      <c r="A129" s="5"/>
      <c r="B129" s="5"/>
      <c r="C129" s="1" t="s">
        <v>818</v>
      </c>
      <c r="D129" s="1" t="s">
        <v>819</v>
      </c>
      <c r="E129" s="1">
        <v>4</v>
      </c>
      <c r="F129" s="1" t="s">
        <v>820</v>
      </c>
      <c r="G129" s="33" t="s">
        <v>821</v>
      </c>
      <c r="H129" s="29" t="s">
        <v>821</v>
      </c>
      <c r="I129" s="34" t="s">
        <v>822</v>
      </c>
      <c r="J129" s="1">
        <v>0</v>
      </c>
      <c r="L129" s="1">
        <v>0</v>
      </c>
      <c r="M129" s="1">
        <f t="shared" si="29"/>
        <v>4600</v>
      </c>
      <c r="N129" s="1">
        <f t="shared" si="30"/>
        <v>5700</v>
      </c>
      <c r="O129" s="1">
        <f t="shared" si="26"/>
        <v>1800</v>
      </c>
      <c r="P129" s="1">
        <f t="shared" si="27"/>
        <v>1800</v>
      </c>
      <c r="Q129" s="1">
        <v>0</v>
      </c>
      <c r="R129" s="5">
        <f t="shared" si="28"/>
        <v>48</v>
      </c>
      <c r="S129" s="5">
        <f t="shared" si="31"/>
        <v>27</v>
      </c>
      <c r="T129" s="5">
        <v>90</v>
      </c>
      <c r="U129" s="29" t="s">
        <v>823</v>
      </c>
      <c r="V129" s="29" t="s">
        <v>823</v>
      </c>
      <c r="W129" s="5"/>
      <c r="X129" s="5"/>
      <c r="Y129" s="5"/>
      <c r="Z129" s="5"/>
      <c r="AA129" s="5"/>
    </row>
    <row r="130" s="1" customFormat="1" hidden="1" customHeight="1" spans="1:27">
      <c r="A130" s="5"/>
      <c r="B130" s="5"/>
      <c r="C130" s="1" t="s">
        <v>824</v>
      </c>
      <c r="D130" s="1" t="s">
        <v>825</v>
      </c>
      <c r="E130" s="1">
        <v>4</v>
      </c>
      <c r="F130" s="1" t="s">
        <v>826</v>
      </c>
      <c r="G130" s="33" t="s">
        <v>827</v>
      </c>
      <c r="H130" s="29" t="s">
        <v>827</v>
      </c>
      <c r="I130" s="34" t="s">
        <v>828</v>
      </c>
      <c r="J130" s="1">
        <v>0</v>
      </c>
      <c r="L130" s="1">
        <v>0</v>
      </c>
      <c r="M130" s="1">
        <f t="shared" si="29"/>
        <v>4800</v>
      </c>
      <c r="N130" s="1">
        <f t="shared" si="30"/>
        <v>6000</v>
      </c>
      <c r="O130" s="1">
        <f t="shared" si="26"/>
        <v>1850</v>
      </c>
      <c r="P130" s="1">
        <f t="shared" si="27"/>
        <v>1850</v>
      </c>
      <c r="Q130" s="1">
        <v>0</v>
      </c>
      <c r="R130" s="5">
        <f t="shared" si="28"/>
        <v>49</v>
      </c>
      <c r="S130" s="5">
        <f t="shared" si="31"/>
        <v>30</v>
      </c>
      <c r="T130" s="5">
        <v>90</v>
      </c>
      <c r="U130" s="29" t="s">
        <v>829</v>
      </c>
      <c r="V130" s="29" t="s">
        <v>829</v>
      </c>
      <c r="W130" s="5"/>
      <c r="X130" s="5"/>
      <c r="Y130" s="5"/>
      <c r="Z130" s="5"/>
      <c r="AA130" s="5"/>
    </row>
    <row r="131" hidden="1" customHeight="1" spans="1:27">
      <c r="C131" s="1" t="s">
        <v>830</v>
      </c>
      <c r="D131" s="1" t="s">
        <v>831</v>
      </c>
      <c r="E131" s="1">
        <v>4</v>
      </c>
      <c r="F131" s="1" t="s">
        <v>832</v>
      </c>
      <c r="G131" s="33" t="s">
        <v>833</v>
      </c>
      <c r="H131" s="29" t="s">
        <v>833</v>
      </c>
      <c r="I131" s="34" t="s">
        <v>834</v>
      </c>
      <c r="J131" s="1">
        <v>0</v>
      </c>
      <c r="K131" s="1"/>
      <c r="L131" s="1">
        <v>0</v>
      </c>
      <c r="M131" s="1">
        <f t="shared" ref="M131:M136" si="32">M130+300</f>
        <v>5100</v>
      </c>
      <c r="N131" s="1">
        <f t="shared" ref="N131:N140" si="33">N130+400</f>
        <v>6400</v>
      </c>
      <c r="O131" s="1">
        <f t="shared" ref="O131:O135" si="34">O130+100</f>
        <v>1950</v>
      </c>
      <c r="P131" s="1">
        <f t="shared" ref="P131:P135" si="35">P130+100</f>
        <v>1950</v>
      </c>
      <c r="Q131" s="1">
        <v>0</v>
      </c>
      <c r="R131" s="5">
        <f t="shared" ref="R131:R145" si="36">R130+2</f>
        <v>51</v>
      </c>
      <c r="S131" s="5">
        <f t="shared" ref="S131:S180" si="37">S130+4</f>
        <v>34</v>
      </c>
      <c r="T131" s="5">
        <v>92</v>
      </c>
      <c r="U131" s="29" t="s">
        <v>835</v>
      </c>
      <c r="V131" s="29" t="s">
        <v>835</v>
      </c>
    </row>
    <row r="132" hidden="1" customHeight="1" spans="1:27">
      <c r="C132" s="1" t="s">
        <v>836</v>
      </c>
      <c r="D132" s="1" t="s">
        <v>837</v>
      </c>
      <c r="E132" s="1">
        <v>4</v>
      </c>
      <c r="F132" s="1" t="s">
        <v>838</v>
      </c>
      <c r="G132" s="33" t="s">
        <v>839</v>
      </c>
      <c r="H132" s="29" t="s">
        <v>839</v>
      </c>
      <c r="I132" s="34" t="s">
        <v>840</v>
      </c>
      <c r="J132" s="1">
        <v>0</v>
      </c>
      <c r="K132" s="1"/>
      <c r="L132" s="1">
        <v>0</v>
      </c>
      <c r="M132" s="1">
        <f t="shared" si="32"/>
        <v>5400</v>
      </c>
      <c r="N132" s="1">
        <f t="shared" si="33"/>
        <v>6800</v>
      </c>
      <c r="O132" s="1">
        <f t="shared" si="34"/>
        <v>2050</v>
      </c>
      <c r="P132" s="1">
        <f t="shared" si="35"/>
        <v>2050</v>
      </c>
      <c r="Q132" s="1">
        <v>0</v>
      </c>
      <c r="R132" s="5">
        <f t="shared" si="36"/>
        <v>53</v>
      </c>
      <c r="S132" s="5">
        <f t="shared" si="37"/>
        <v>38</v>
      </c>
      <c r="T132" s="5">
        <v>94</v>
      </c>
      <c r="U132" s="29" t="s">
        <v>841</v>
      </c>
      <c r="V132" s="29" t="s">
        <v>841</v>
      </c>
    </row>
    <row r="133" hidden="1" customHeight="1" spans="1:27">
      <c r="C133" s="1" t="s">
        <v>842</v>
      </c>
      <c r="D133" s="1" t="s">
        <v>843</v>
      </c>
      <c r="E133" s="1">
        <v>4</v>
      </c>
      <c r="F133" s="1" t="s">
        <v>844</v>
      </c>
      <c r="G133" s="33" t="s">
        <v>845</v>
      </c>
      <c r="H133" s="29" t="s">
        <v>845</v>
      </c>
      <c r="I133" s="34" t="s">
        <v>846</v>
      </c>
      <c r="J133" s="1">
        <v>0</v>
      </c>
      <c r="K133" s="1"/>
      <c r="L133" s="1">
        <v>0</v>
      </c>
      <c r="M133" s="1">
        <f t="shared" si="32"/>
        <v>5700</v>
      </c>
      <c r="N133" s="1">
        <f t="shared" si="33"/>
        <v>7200</v>
      </c>
      <c r="O133" s="1">
        <f t="shared" si="34"/>
        <v>2150</v>
      </c>
      <c r="P133" s="1">
        <f t="shared" si="35"/>
        <v>2150</v>
      </c>
      <c r="Q133" s="1">
        <v>0</v>
      </c>
      <c r="R133" s="5">
        <f t="shared" si="36"/>
        <v>55</v>
      </c>
      <c r="S133" s="5">
        <f t="shared" si="37"/>
        <v>42</v>
      </c>
      <c r="T133" s="5">
        <v>96</v>
      </c>
      <c r="U133" s="29" t="s">
        <v>847</v>
      </c>
      <c r="V133" s="29" t="s">
        <v>847</v>
      </c>
    </row>
    <row r="134" hidden="1" customHeight="1" spans="1:27">
      <c r="C134" s="1" t="s">
        <v>848</v>
      </c>
      <c r="D134" s="1" t="s">
        <v>849</v>
      </c>
      <c r="E134" s="1">
        <v>4</v>
      </c>
      <c r="F134" s="1" t="s">
        <v>850</v>
      </c>
      <c r="G134" s="33" t="s">
        <v>851</v>
      </c>
      <c r="H134" s="29" t="s">
        <v>851</v>
      </c>
      <c r="I134" s="34" t="s">
        <v>852</v>
      </c>
      <c r="J134" s="1">
        <v>0</v>
      </c>
      <c r="K134" s="1"/>
      <c r="L134" s="1">
        <v>0</v>
      </c>
      <c r="M134" s="1">
        <f t="shared" si="32"/>
        <v>6000</v>
      </c>
      <c r="N134" s="1">
        <f t="shared" si="33"/>
        <v>7600</v>
      </c>
      <c r="O134" s="1">
        <f t="shared" si="34"/>
        <v>2250</v>
      </c>
      <c r="P134" s="1">
        <f t="shared" si="35"/>
        <v>2250</v>
      </c>
      <c r="Q134" s="1">
        <v>0</v>
      </c>
      <c r="R134" s="5">
        <f t="shared" si="36"/>
        <v>57</v>
      </c>
      <c r="S134" s="5">
        <f t="shared" si="37"/>
        <v>46</v>
      </c>
      <c r="T134" s="5">
        <v>98</v>
      </c>
      <c r="U134" s="29" t="s">
        <v>853</v>
      </c>
      <c r="V134" s="29" t="s">
        <v>853</v>
      </c>
    </row>
    <row r="135" hidden="1" customHeight="1" spans="1:27">
      <c r="C135" s="1" t="s">
        <v>854</v>
      </c>
      <c r="D135" s="1" t="s">
        <v>855</v>
      </c>
      <c r="E135" s="1">
        <v>4</v>
      </c>
      <c r="F135" s="1" t="s">
        <v>856</v>
      </c>
      <c r="G135" s="33" t="s">
        <v>857</v>
      </c>
      <c r="H135" s="29" t="s">
        <v>857</v>
      </c>
      <c r="I135" s="34" t="s">
        <v>858</v>
      </c>
      <c r="J135" s="1">
        <v>0</v>
      </c>
      <c r="K135" s="1"/>
      <c r="L135" s="1">
        <v>0</v>
      </c>
      <c r="M135" s="1">
        <f t="shared" si="32"/>
        <v>6300</v>
      </c>
      <c r="N135" s="1">
        <f t="shared" si="33"/>
        <v>8000</v>
      </c>
      <c r="O135" s="1">
        <f t="shared" si="34"/>
        <v>2350</v>
      </c>
      <c r="P135" s="1">
        <f t="shared" si="35"/>
        <v>2350</v>
      </c>
      <c r="Q135" s="1">
        <v>0</v>
      </c>
      <c r="R135" s="5">
        <f t="shared" si="36"/>
        <v>59</v>
      </c>
      <c r="S135" s="5">
        <f t="shared" si="37"/>
        <v>50</v>
      </c>
      <c r="T135" s="5">
        <v>99</v>
      </c>
      <c r="U135" s="29" t="s">
        <v>859</v>
      </c>
      <c r="V135" s="29" t="s">
        <v>859</v>
      </c>
    </row>
    <row r="136" hidden="1" customHeight="1" spans="1:27">
      <c r="C136" s="1" t="s">
        <v>860</v>
      </c>
      <c r="D136" s="1" t="s">
        <v>861</v>
      </c>
      <c r="E136" s="1">
        <v>4</v>
      </c>
      <c r="F136" s="1" t="s">
        <v>862</v>
      </c>
      <c r="G136" s="33" t="s">
        <v>863</v>
      </c>
      <c r="H136" s="29" t="s">
        <v>863</v>
      </c>
      <c r="I136" s="34" t="s">
        <v>864</v>
      </c>
      <c r="J136" s="1">
        <v>0</v>
      </c>
      <c r="K136" s="1"/>
      <c r="L136" s="1">
        <v>0</v>
      </c>
      <c r="M136" s="1">
        <f t="shared" ref="M136:M145" si="38">M135+500</f>
        <v>6800</v>
      </c>
      <c r="N136" s="1">
        <f t="shared" ref="N136:N145" si="39">N135+500</f>
        <v>8500</v>
      </c>
      <c r="O136" s="1">
        <f t="shared" ref="O136:O145" si="40">O135+200</f>
        <v>2550</v>
      </c>
      <c r="P136" s="1">
        <f t="shared" ref="P136:P145" si="41">P135+200</f>
        <v>2550</v>
      </c>
      <c r="Q136" s="1">
        <v>0</v>
      </c>
      <c r="R136" s="5">
        <f t="shared" si="36"/>
        <v>61</v>
      </c>
      <c r="S136" s="5">
        <f t="shared" si="37"/>
        <v>54</v>
      </c>
      <c r="T136" s="5">
        <v>99.2</v>
      </c>
      <c r="U136" s="29" t="s">
        <v>865</v>
      </c>
      <c r="V136" s="29" t="s">
        <v>865</v>
      </c>
    </row>
    <row r="137" hidden="1" customHeight="1" spans="1:27">
      <c r="C137" s="1" t="s">
        <v>866</v>
      </c>
      <c r="D137" s="1" t="s">
        <v>867</v>
      </c>
      <c r="E137" s="1">
        <v>4</v>
      </c>
      <c r="F137" s="1" t="s">
        <v>868</v>
      </c>
      <c r="G137" s="33" t="s">
        <v>869</v>
      </c>
      <c r="H137" s="29" t="s">
        <v>869</v>
      </c>
      <c r="I137" s="34" t="s">
        <v>870</v>
      </c>
      <c r="J137" s="1">
        <v>0</v>
      </c>
      <c r="K137" s="1"/>
      <c r="L137" s="1">
        <v>0</v>
      </c>
      <c r="M137" s="1">
        <f t="shared" si="38"/>
        <v>7300</v>
      </c>
      <c r="N137" s="1">
        <f t="shared" si="39"/>
        <v>9000</v>
      </c>
      <c r="O137" s="1">
        <f t="shared" si="40"/>
        <v>2750</v>
      </c>
      <c r="P137" s="1">
        <f t="shared" si="41"/>
        <v>2750</v>
      </c>
      <c r="Q137" s="1">
        <v>0</v>
      </c>
      <c r="R137" s="5">
        <f t="shared" si="36"/>
        <v>63</v>
      </c>
      <c r="S137" s="5">
        <f t="shared" si="37"/>
        <v>58</v>
      </c>
      <c r="T137" s="5">
        <v>99.4</v>
      </c>
      <c r="U137" s="29" t="s">
        <v>871</v>
      </c>
      <c r="V137" s="29" t="s">
        <v>871</v>
      </c>
    </row>
    <row r="138" hidden="1" customHeight="1" spans="1:27">
      <c r="C138" s="1" t="s">
        <v>872</v>
      </c>
      <c r="D138" s="1" t="s">
        <v>873</v>
      </c>
      <c r="E138" s="1">
        <v>4</v>
      </c>
      <c r="F138" s="1" t="s">
        <v>874</v>
      </c>
      <c r="G138" s="33" t="s">
        <v>875</v>
      </c>
      <c r="H138" s="29" t="s">
        <v>875</v>
      </c>
      <c r="I138" s="34" t="s">
        <v>876</v>
      </c>
      <c r="J138" s="1">
        <v>0</v>
      </c>
      <c r="K138" s="1"/>
      <c r="L138" s="1">
        <v>0</v>
      </c>
      <c r="M138" s="1">
        <f t="shared" si="38"/>
        <v>7800</v>
      </c>
      <c r="N138" s="1">
        <f t="shared" si="39"/>
        <v>9500</v>
      </c>
      <c r="O138" s="1">
        <f t="shared" si="40"/>
        <v>2950</v>
      </c>
      <c r="P138" s="1">
        <f t="shared" si="41"/>
        <v>2950</v>
      </c>
      <c r="Q138" s="1">
        <v>0</v>
      </c>
      <c r="R138" s="5">
        <f t="shared" si="36"/>
        <v>65</v>
      </c>
      <c r="S138" s="5">
        <f t="shared" si="37"/>
        <v>62</v>
      </c>
      <c r="T138" s="5">
        <v>99.6</v>
      </c>
      <c r="U138" s="29" t="s">
        <v>877</v>
      </c>
      <c r="V138" s="29" t="s">
        <v>877</v>
      </c>
    </row>
    <row r="139" hidden="1" customHeight="1" spans="1:27">
      <c r="C139" s="1" t="s">
        <v>878</v>
      </c>
      <c r="D139" s="1" t="s">
        <v>879</v>
      </c>
      <c r="E139" s="1">
        <v>4</v>
      </c>
      <c r="F139" s="1" t="s">
        <v>880</v>
      </c>
      <c r="G139" s="33" t="s">
        <v>881</v>
      </c>
      <c r="H139" s="29" t="s">
        <v>881</v>
      </c>
      <c r="I139" s="34" t="s">
        <v>882</v>
      </c>
      <c r="J139" s="1">
        <v>0</v>
      </c>
      <c r="K139" s="1"/>
      <c r="L139" s="1">
        <v>0</v>
      </c>
      <c r="M139" s="1">
        <f t="shared" si="38"/>
        <v>8300</v>
      </c>
      <c r="N139" s="1">
        <f t="shared" si="39"/>
        <v>10000</v>
      </c>
      <c r="O139" s="1">
        <f t="shared" si="40"/>
        <v>3150</v>
      </c>
      <c r="P139" s="1">
        <f t="shared" si="41"/>
        <v>3150</v>
      </c>
      <c r="Q139" s="1">
        <v>0</v>
      </c>
      <c r="R139" s="5">
        <f t="shared" si="36"/>
        <v>67</v>
      </c>
      <c r="S139" s="5">
        <f t="shared" si="37"/>
        <v>66</v>
      </c>
      <c r="T139" s="5">
        <v>99.8</v>
      </c>
      <c r="U139" s="29" t="s">
        <v>883</v>
      </c>
      <c r="V139" s="29" t="s">
        <v>883</v>
      </c>
    </row>
    <row r="140" hidden="1" customHeight="1" spans="1:27">
      <c r="C140" s="1" t="s">
        <v>884</v>
      </c>
      <c r="D140" s="1" t="s">
        <v>885</v>
      </c>
      <c r="E140" s="1">
        <v>4</v>
      </c>
      <c r="F140" s="1" t="s">
        <v>886</v>
      </c>
      <c r="G140" s="33" t="s">
        <v>887</v>
      </c>
      <c r="H140" s="29" t="s">
        <v>887</v>
      </c>
      <c r="I140" s="34" t="s">
        <v>888</v>
      </c>
      <c r="J140" s="1">
        <v>0</v>
      </c>
      <c r="K140" s="1"/>
      <c r="L140" s="1">
        <v>0</v>
      </c>
      <c r="M140" s="1">
        <f t="shared" si="38"/>
        <v>8800</v>
      </c>
      <c r="N140" s="1">
        <f t="shared" si="39"/>
        <v>10500</v>
      </c>
      <c r="O140" s="1">
        <f t="shared" si="40"/>
        <v>3350</v>
      </c>
      <c r="P140" s="1">
        <f t="shared" si="41"/>
        <v>3350</v>
      </c>
      <c r="Q140" s="1">
        <v>0</v>
      </c>
      <c r="R140" s="5">
        <f t="shared" si="36"/>
        <v>69</v>
      </c>
      <c r="S140" s="5">
        <f t="shared" si="37"/>
        <v>70</v>
      </c>
      <c r="T140" s="5">
        <v>99.9</v>
      </c>
      <c r="U140" s="29" t="s">
        <v>889</v>
      </c>
      <c r="V140" s="29" t="s">
        <v>889</v>
      </c>
    </row>
    <row r="141" s="1" customFormat="1" hidden="1" customHeight="1" spans="1:27">
      <c r="A141" s="5"/>
      <c r="B141" s="5"/>
      <c r="C141" s="1" t="s">
        <v>890</v>
      </c>
      <c r="D141" s="1" t="s">
        <v>891</v>
      </c>
      <c r="E141" s="1">
        <v>4</v>
      </c>
      <c r="F141" s="1" t="s">
        <v>892</v>
      </c>
      <c r="G141" s="33" t="s">
        <v>893</v>
      </c>
      <c r="H141" s="29" t="s">
        <v>893</v>
      </c>
      <c r="I141" s="34" t="s">
        <v>894</v>
      </c>
      <c r="J141" s="1">
        <v>0</v>
      </c>
      <c r="L141" s="1">
        <v>0</v>
      </c>
      <c r="M141" s="1">
        <f t="shared" ref="M141:M204" si="42">M140+600</f>
        <v>9400</v>
      </c>
      <c r="N141" s="1">
        <f t="shared" ref="N141:N204" si="43">N140+600</f>
        <v>11100</v>
      </c>
      <c r="O141" s="1">
        <f t="shared" ref="O141:O180" si="44">O140+250</f>
        <v>3600</v>
      </c>
      <c r="P141" s="1">
        <f t="shared" ref="P141:P180" si="45">P140+250</f>
        <v>3600</v>
      </c>
      <c r="Q141" s="1">
        <v>0</v>
      </c>
      <c r="R141" s="5">
        <f t="shared" si="36"/>
        <v>71</v>
      </c>
      <c r="S141" s="5">
        <f t="shared" si="37"/>
        <v>74</v>
      </c>
      <c r="T141" s="5">
        <v>99.92</v>
      </c>
      <c r="U141" s="29" t="s">
        <v>895</v>
      </c>
      <c r="V141" s="29" t="s">
        <v>895</v>
      </c>
      <c r="W141" s="5"/>
      <c r="X141" s="5"/>
      <c r="Y141" s="5"/>
      <c r="Z141" s="5"/>
      <c r="AA141" s="5"/>
    </row>
    <row r="142" s="1" customFormat="1" hidden="1" customHeight="1" spans="1:27">
      <c r="A142" s="5"/>
      <c r="B142" s="5"/>
      <c r="C142" s="1" t="s">
        <v>896</v>
      </c>
      <c r="D142" s="1" t="s">
        <v>897</v>
      </c>
      <c r="E142" s="1">
        <v>4</v>
      </c>
      <c r="F142" s="1" t="s">
        <v>898</v>
      </c>
      <c r="G142" s="33" t="s">
        <v>899</v>
      </c>
      <c r="H142" s="29" t="s">
        <v>899</v>
      </c>
      <c r="I142" s="34" t="s">
        <v>900</v>
      </c>
      <c r="J142" s="1">
        <v>0</v>
      </c>
      <c r="L142" s="1">
        <v>0</v>
      </c>
      <c r="M142" s="1">
        <f t="shared" si="42"/>
        <v>10000</v>
      </c>
      <c r="N142" s="1">
        <f t="shared" si="43"/>
        <v>11700</v>
      </c>
      <c r="O142" s="1">
        <f t="shared" si="44"/>
        <v>3850</v>
      </c>
      <c r="P142" s="1">
        <f t="shared" si="45"/>
        <v>3850</v>
      </c>
      <c r="Q142" s="1">
        <v>0</v>
      </c>
      <c r="R142" s="5">
        <f t="shared" si="36"/>
        <v>73</v>
      </c>
      <c r="S142" s="5">
        <f t="shared" si="37"/>
        <v>78</v>
      </c>
      <c r="T142" s="5">
        <v>99.94</v>
      </c>
      <c r="U142" s="29" t="s">
        <v>901</v>
      </c>
      <c r="V142" s="29" t="s">
        <v>901</v>
      </c>
      <c r="W142" s="5"/>
      <c r="X142" s="5"/>
      <c r="Y142" s="5"/>
      <c r="Z142" s="5"/>
      <c r="AA142" s="5"/>
    </row>
    <row r="143" s="1" customFormat="1" hidden="1" customHeight="1" spans="1:27">
      <c r="A143" s="5"/>
      <c r="B143" s="5"/>
      <c r="C143" s="1" t="s">
        <v>902</v>
      </c>
      <c r="D143" s="1" t="s">
        <v>903</v>
      </c>
      <c r="E143" s="1">
        <v>4</v>
      </c>
      <c r="F143" s="1" t="s">
        <v>904</v>
      </c>
      <c r="G143" s="33" t="s">
        <v>905</v>
      </c>
      <c r="H143" s="29" t="s">
        <v>905</v>
      </c>
      <c r="I143" s="34" t="s">
        <v>906</v>
      </c>
      <c r="J143" s="1">
        <v>0</v>
      </c>
      <c r="L143" s="1">
        <v>0</v>
      </c>
      <c r="M143" s="1">
        <f t="shared" si="42"/>
        <v>10600</v>
      </c>
      <c r="N143" s="1">
        <f t="shared" si="43"/>
        <v>12300</v>
      </c>
      <c r="O143" s="1">
        <f t="shared" si="44"/>
        <v>4100</v>
      </c>
      <c r="P143" s="1">
        <f t="shared" si="45"/>
        <v>4100</v>
      </c>
      <c r="Q143" s="1">
        <v>0</v>
      </c>
      <c r="R143" s="5">
        <f t="shared" si="36"/>
        <v>75</v>
      </c>
      <c r="S143" s="5">
        <f t="shared" si="37"/>
        <v>82</v>
      </c>
      <c r="T143" s="5">
        <v>99.96</v>
      </c>
      <c r="U143" s="29" t="s">
        <v>907</v>
      </c>
      <c r="V143" s="29" t="s">
        <v>907</v>
      </c>
      <c r="W143" s="5"/>
      <c r="X143" s="5"/>
      <c r="Y143" s="5"/>
      <c r="Z143" s="5"/>
      <c r="AA143" s="5"/>
    </row>
    <row r="144" s="1" customFormat="1" hidden="1" customHeight="1" spans="1:27">
      <c r="A144" s="5"/>
      <c r="B144" s="5"/>
      <c r="C144" s="1" t="s">
        <v>908</v>
      </c>
      <c r="D144" s="1" t="s">
        <v>909</v>
      </c>
      <c r="E144" s="1">
        <v>4</v>
      </c>
      <c r="F144" s="1" t="s">
        <v>910</v>
      </c>
      <c r="G144" s="33" t="s">
        <v>911</v>
      </c>
      <c r="H144" s="29" t="s">
        <v>911</v>
      </c>
      <c r="I144" s="34" t="s">
        <v>912</v>
      </c>
      <c r="J144" s="1">
        <v>0</v>
      </c>
      <c r="L144" s="1">
        <v>0</v>
      </c>
      <c r="M144" s="1">
        <f t="shared" si="42"/>
        <v>11200</v>
      </c>
      <c r="N144" s="1">
        <f t="shared" si="43"/>
        <v>12900</v>
      </c>
      <c r="O144" s="1">
        <f t="shared" si="44"/>
        <v>4350</v>
      </c>
      <c r="P144" s="1">
        <f t="shared" si="45"/>
        <v>4350</v>
      </c>
      <c r="Q144" s="1">
        <v>0</v>
      </c>
      <c r="R144" s="5">
        <f t="shared" si="36"/>
        <v>77</v>
      </c>
      <c r="S144" s="5">
        <f t="shared" si="37"/>
        <v>86</v>
      </c>
      <c r="T144" s="5">
        <v>99.98</v>
      </c>
      <c r="U144" s="29" t="s">
        <v>913</v>
      </c>
      <c r="V144" s="29" t="s">
        <v>913</v>
      </c>
      <c r="W144" s="5"/>
      <c r="X144" s="5"/>
      <c r="Y144" s="5"/>
      <c r="Z144" s="5"/>
      <c r="AA144" s="5"/>
    </row>
    <row r="145" s="1" customFormat="1" hidden="1" customHeight="1" spans="1:27">
      <c r="A145" s="5"/>
      <c r="B145" s="5"/>
      <c r="C145" s="1" t="s">
        <v>914</v>
      </c>
      <c r="D145" s="1" t="s">
        <v>915</v>
      </c>
      <c r="E145" s="1">
        <v>4</v>
      </c>
      <c r="F145" s="1" t="s">
        <v>916</v>
      </c>
      <c r="G145" s="20" t="s">
        <v>917</v>
      </c>
      <c r="H145" s="20" t="s">
        <v>917</v>
      </c>
      <c r="I145" s="21" t="s">
        <v>918</v>
      </c>
      <c r="J145" s="1">
        <v>0</v>
      </c>
      <c r="L145" s="1">
        <v>0</v>
      </c>
      <c r="M145" s="1">
        <f t="shared" si="42"/>
        <v>11800</v>
      </c>
      <c r="N145" s="1">
        <f t="shared" si="43"/>
        <v>13500</v>
      </c>
      <c r="O145" s="1">
        <f t="shared" si="44"/>
        <v>4600</v>
      </c>
      <c r="P145" s="1">
        <f t="shared" si="45"/>
        <v>4600</v>
      </c>
      <c r="Q145" s="1">
        <v>0</v>
      </c>
      <c r="R145" s="5">
        <f t="shared" si="36"/>
        <v>79</v>
      </c>
      <c r="S145" s="5">
        <f t="shared" si="37"/>
        <v>90</v>
      </c>
      <c r="T145" s="5">
        <v>99.99</v>
      </c>
      <c r="U145" s="29" t="s">
        <v>919</v>
      </c>
      <c r="V145" s="29" t="s">
        <v>919</v>
      </c>
      <c r="W145" s="5"/>
      <c r="X145" s="5"/>
      <c r="Y145" s="5"/>
      <c r="Z145" s="5"/>
      <c r="AA145" s="5"/>
    </row>
    <row r="146" s="3" customFormat="1" hidden="1" customHeight="1" spans="1:27">
      <c r="A146" s="22"/>
      <c r="B146" s="22"/>
      <c r="C146" s="3" t="s">
        <v>920</v>
      </c>
      <c r="D146" s="3" t="s">
        <v>921</v>
      </c>
      <c r="E146" s="3">
        <v>5</v>
      </c>
      <c r="F146" s="3" t="s">
        <v>922</v>
      </c>
      <c r="G146" s="23" t="s">
        <v>923</v>
      </c>
      <c r="H146" s="3" t="s">
        <v>924</v>
      </c>
      <c r="I146" s="24" t="s">
        <v>925</v>
      </c>
      <c r="J146" s="3">
        <v>10</v>
      </c>
      <c r="K146" s="1"/>
      <c r="L146" s="3" t="s">
        <v>926</v>
      </c>
      <c r="M146" s="3">
        <f t="shared" si="42"/>
        <v>12400</v>
      </c>
      <c r="N146" s="3">
        <f t="shared" si="43"/>
        <v>14100</v>
      </c>
      <c r="O146" s="3">
        <f t="shared" si="44"/>
        <v>4850</v>
      </c>
      <c r="P146" s="3">
        <f t="shared" si="45"/>
        <v>4850</v>
      </c>
      <c r="Q146" s="1">
        <v>0</v>
      </c>
      <c r="R146" s="22">
        <f t="shared" ref="R146:R160" si="46">R145+3</f>
        <v>82</v>
      </c>
      <c r="S146" s="22">
        <v>150</v>
      </c>
      <c r="T146" s="22">
        <v>99.99</v>
      </c>
      <c r="U146" s="35" t="s">
        <v>927</v>
      </c>
      <c r="V146" s="35" t="s">
        <v>927</v>
      </c>
      <c r="Y146" s="22"/>
      <c r="Z146" s="22"/>
      <c r="AA146" s="22"/>
    </row>
    <row r="147" s="1" customFormat="1" hidden="1" customHeight="1" spans="1:27">
      <c r="A147" s="5"/>
      <c r="B147" s="5"/>
      <c r="C147" s="1" t="s">
        <v>928</v>
      </c>
      <c r="D147" s="1" t="s">
        <v>929</v>
      </c>
      <c r="E147" s="1">
        <v>5</v>
      </c>
      <c r="F147" s="1" t="s">
        <v>930</v>
      </c>
      <c r="G147" s="20" t="s">
        <v>931</v>
      </c>
      <c r="H147" s="20" t="s">
        <v>932</v>
      </c>
      <c r="I147" s="21" t="s">
        <v>933</v>
      </c>
      <c r="J147" s="1">
        <f t="shared" ref="J147:J155" si="47">J146*5</f>
        <v>50</v>
      </c>
      <c r="L147" s="1" t="s">
        <v>934</v>
      </c>
      <c r="M147" s="1">
        <f t="shared" si="42"/>
        <v>13000</v>
      </c>
      <c r="N147" s="1">
        <f t="shared" si="43"/>
        <v>14700</v>
      </c>
      <c r="O147" s="1">
        <f t="shared" si="44"/>
        <v>5100</v>
      </c>
      <c r="P147" s="1">
        <f t="shared" si="45"/>
        <v>5100</v>
      </c>
      <c r="Q147" s="1">
        <v>0</v>
      </c>
      <c r="R147" s="5">
        <f t="shared" si="46"/>
        <v>85</v>
      </c>
      <c r="S147" s="5">
        <f t="shared" si="37"/>
        <v>154</v>
      </c>
      <c r="T147" s="5">
        <v>99.99</v>
      </c>
      <c r="U147" s="29" t="s">
        <v>935</v>
      </c>
      <c r="V147" s="29" t="s">
        <v>935</v>
      </c>
      <c r="Y147" s="5"/>
      <c r="Z147" s="5"/>
      <c r="AA147" s="5"/>
    </row>
    <row r="148" s="1" customFormat="1" hidden="1" customHeight="1" spans="1:27">
      <c r="A148" s="5"/>
      <c r="B148" s="5"/>
      <c r="C148" s="1" t="s">
        <v>936</v>
      </c>
      <c r="D148" s="1" t="s">
        <v>937</v>
      </c>
      <c r="E148" s="1">
        <v>5</v>
      </c>
      <c r="F148" s="1" t="s">
        <v>938</v>
      </c>
      <c r="G148" s="20" t="s">
        <v>939</v>
      </c>
      <c r="H148" s="20" t="s">
        <v>940</v>
      </c>
      <c r="I148" s="21" t="s">
        <v>941</v>
      </c>
      <c r="J148" s="1">
        <f t="shared" si="47"/>
        <v>250</v>
      </c>
      <c r="L148" s="1" t="s">
        <v>942</v>
      </c>
      <c r="M148" s="1">
        <f t="shared" si="42"/>
        <v>13600</v>
      </c>
      <c r="N148" s="1">
        <f t="shared" si="43"/>
        <v>15300</v>
      </c>
      <c r="O148" s="1">
        <f t="shared" si="44"/>
        <v>5350</v>
      </c>
      <c r="P148" s="1">
        <f t="shared" si="45"/>
        <v>5350</v>
      </c>
      <c r="Q148" s="1">
        <v>0</v>
      </c>
      <c r="R148" s="5">
        <f t="shared" si="46"/>
        <v>88</v>
      </c>
      <c r="S148" s="5">
        <f t="shared" si="37"/>
        <v>158</v>
      </c>
      <c r="T148" s="5">
        <v>99.99</v>
      </c>
      <c r="U148" s="29" t="s">
        <v>943</v>
      </c>
      <c r="V148" s="29" t="s">
        <v>943</v>
      </c>
      <c r="Y148" s="5"/>
      <c r="Z148" s="5"/>
      <c r="AA148" s="5"/>
    </row>
    <row r="149" s="1" customFormat="1" hidden="1" customHeight="1" spans="1:27">
      <c r="A149" s="5"/>
      <c r="B149" s="5"/>
      <c r="C149" s="1" t="s">
        <v>944</v>
      </c>
      <c r="D149" s="1" t="s">
        <v>945</v>
      </c>
      <c r="E149" s="1">
        <v>5</v>
      </c>
      <c r="F149" s="1" t="s">
        <v>946</v>
      </c>
      <c r="G149" s="20" t="s">
        <v>947</v>
      </c>
      <c r="H149" s="20" t="s">
        <v>948</v>
      </c>
      <c r="I149" s="21" t="s">
        <v>949</v>
      </c>
      <c r="J149" s="1">
        <f t="shared" si="47"/>
        <v>1250</v>
      </c>
      <c r="L149" s="1" t="s">
        <v>950</v>
      </c>
      <c r="M149" s="1">
        <f t="shared" si="42"/>
        <v>14200</v>
      </c>
      <c r="N149" s="1">
        <f t="shared" si="43"/>
        <v>15900</v>
      </c>
      <c r="O149" s="1">
        <f t="shared" si="44"/>
        <v>5600</v>
      </c>
      <c r="P149" s="1">
        <f t="shared" si="45"/>
        <v>5600</v>
      </c>
      <c r="Q149" s="1">
        <v>0</v>
      </c>
      <c r="R149" s="5">
        <f t="shared" si="46"/>
        <v>91</v>
      </c>
      <c r="S149" s="5">
        <f t="shared" si="37"/>
        <v>162</v>
      </c>
      <c r="T149" s="5">
        <v>99.99</v>
      </c>
      <c r="U149" s="29" t="s">
        <v>951</v>
      </c>
      <c r="V149" s="29" t="s">
        <v>951</v>
      </c>
      <c r="Y149" s="5"/>
      <c r="Z149" s="5"/>
      <c r="AA149" s="5"/>
    </row>
    <row r="150" s="1" customFormat="1" hidden="1" customHeight="1" spans="1:27">
      <c r="A150" s="5"/>
      <c r="B150" s="5"/>
      <c r="C150" s="1" t="s">
        <v>952</v>
      </c>
      <c r="D150" s="1" t="s">
        <v>953</v>
      </c>
      <c r="E150" s="1">
        <v>5</v>
      </c>
      <c r="F150" s="1" t="s">
        <v>954</v>
      </c>
      <c r="G150" s="20" t="s">
        <v>955</v>
      </c>
      <c r="H150" s="20" t="s">
        <v>956</v>
      </c>
      <c r="I150" s="21" t="s">
        <v>957</v>
      </c>
      <c r="J150" s="1">
        <f t="shared" si="47"/>
        <v>6250</v>
      </c>
      <c r="L150" s="1" t="s">
        <v>958</v>
      </c>
      <c r="M150" s="1">
        <f t="shared" si="42"/>
        <v>14800</v>
      </c>
      <c r="N150" s="1">
        <f t="shared" si="43"/>
        <v>16500</v>
      </c>
      <c r="O150" s="1">
        <f t="shared" si="44"/>
        <v>5850</v>
      </c>
      <c r="P150" s="1">
        <f t="shared" si="45"/>
        <v>5850</v>
      </c>
      <c r="Q150" s="1">
        <v>0</v>
      </c>
      <c r="R150" s="5">
        <f t="shared" si="46"/>
        <v>94</v>
      </c>
      <c r="S150" s="5">
        <f t="shared" si="37"/>
        <v>166</v>
      </c>
      <c r="T150" s="5">
        <v>99.99</v>
      </c>
      <c r="U150" s="29" t="s">
        <v>959</v>
      </c>
      <c r="V150" s="29" t="s">
        <v>959</v>
      </c>
      <c r="Y150" s="5"/>
      <c r="Z150" s="5"/>
      <c r="AA150" s="5"/>
    </row>
    <row r="151" s="1" customFormat="1" hidden="1" customHeight="1" spans="1:27">
      <c r="A151" s="5"/>
      <c r="B151" s="5"/>
      <c r="C151" s="1" t="s">
        <v>960</v>
      </c>
      <c r="D151" s="1" t="s">
        <v>961</v>
      </c>
      <c r="E151" s="1">
        <v>5</v>
      </c>
      <c r="F151" s="1" t="s">
        <v>962</v>
      </c>
      <c r="G151" s="1" t="s">
        <v>963</v>
      </c>
      <c r="H151" s="20" t="s">
        <v>964</v>
      </c>
      <c r="I151" s="1" t="s">
        <v>965</v>
      </c>
      <c r="J151" s="1" t="s">
        <v>966</v>
      </c>
      <c r="L151" s="1" t="s">
        <v>967</v>
      </c>
      <c r="M151" s="1">
        <f t="shared" si="42"/>
        <v>15400</v>
      </c>
      <c r="N151" s="1">
        <f t="shared" si="43"/>
        <v>17100</v>
      </c>
      <c r="O151" s="1">
        <f t="shared" si="44"/>
        <v>6100</v>
      </c>
      <c r="P151" s="1">
        <f t="shared" si="45"/>
        <v>6100</v>
      </c>
      <c r="Q151" s="1">
        <v>0</v>
      </c>
      <c r="R151" s="5">
        <f t="shared" si="46"/>
        <v>97</v>
      </c>
      <c r="S151" s="5">
        <f t="shared" si="37"/>
        <v>170</v>
      </c>
      <c r="T151" s="5">
        <v>99.99</v>
      </c>
      <c r="U151" s="29" t="s">
        <v>968</v>
      </c>
      <c r="V151" s="29" t="s">
        <v>968</v>
      </c>
      <c r="W151" s="5"/>
      <c r="X151" s="5"/>
      <c r="Y151" s="5"/>
      <c r="Z151" s="5"/>
      <c r="AA151" s="5"/>
    </row>
    <row r="152" s="1" customFormat="1" hidden="1" customHeight="1" spans="1:27">
      <c r="A152" s="5"/>
      <c r="B152" s="5"/>
      <c r="C152" s="1" t="s">
        <v>969</v>
      </c>
      <c r="D152" s="1" t="s">
        <v>970</v>
      </c>
      <c r="E152" s="1">
        <v>5</v>
      </c>
      <c r="F152" s="1" t="s">
        <v>971</v>
      </c>
      <c r="G152" s="1" t="s">
        <v>972</v>
      </c>
      <c r="H152" s="20" t="s">
        <v>973</v>
      </c>
      <c r="I152" s="1" t="s">
        <v>974</v>
      </c>
      <c r="J152" s="1" t="s">
        <v>975</v>
      </c>
      <c r="L152" s="1" t="s">
        <v>976</v>
      </c>
      <c r="M152" s="1">
        <f t="shared" si="42"/>
        <v>16000</v>
      </c>
      <c r="N152" s="1">
        <f t="shared" si="43"/>
        <v>17700</v>
      </c>
      <c r="O152" s="1">
        <f t="shared" si="44"/>
        <v>6350</v>
      </c>
      <c r="P152" s="1">
        <f t="shared" si="45"/>
        <v>6350</v>
      </c>
      <c r="Q152" s="1">
        <v>0</v>
      </c>
      <c r="R152" s="5">
        <f t="shared" si="46"/>
        <v>100</v>
      </c>
      <c r="S152" s="5">
        <f t="shared" si="37"/>
        <v>174</v>
      </c>
      <c r="T152" s="5">
        <v>99.99</v>
      </c>
      <c r="U152" s="29" t="s">
        <v>977</v>
      </c>
      <c r="V152" s="29" t="s">
        <v>977</v>
      </c>
      <c r="W152" s="5"/>
      <c r="X152" s="5"/>
      <c r="Y152" s="5"/>
      <c r="Z152" s="5"/>
      <c r="AA152" s="5"/>
    </row>
    <row r="153" s="1" customFormat="1" hidden="1" customHeight="1" spans="1:27">
      <c r="A153" s="5"/>
      <c r="B153" s="5"/>
      <c r="C153" s="1" t="s">
        <v>978</v>
      </c>
      <c r="D153" s="1" t="s">
        <v>979</v>
      </c>
      <c r="E153" s="1">
        <v>5</v>
      </c>
      <c r="F153" s="1" t="s">
        <v>980</v>
      </c>
      <c r="G153" s="1" t="s">
        <v>981</v>
      </c>
      <c r="H153" s="20" t="s">
        <v>982</v>
      </c>
      <c r="I153" s="1" t="s">
        <v>983</v>
      </c>
      <c r="J153" s="1" t="s">
        <v>984</v>
      </c>
      <c r="L153" s="1" t="s">
        <v>985</v>
      </c>
      <c r="M153" s="1">
        <f t="shared" si="42"/>
        <v>16600</v>
      </c>
      <c r="N153" s="1">
        <f t="shared" si="43"/>
        <v>18300</v>
      </c>
      <c r="O153" s="1">
        <f t="shared" si="44"/>
        <v>6600</v>
      </c>
      <c r="P153" s="1">
        <f t="shared" si="45"/>
        <v>6600</v>
      </c>
      <c r="Q153" s="1">
        <v>0</v>
      </c>
      <c r="R153" s="5">
        <f t="shared" si="46"/>
        <v>103</v>
      </c>
      <c r="S153" s="5">
        <f t="shared" si="37"/>
        <v>178</v>
      </c>
      <c r="T153" s="5">
        <v>99.99</v>
      </c>
      <c r="U153" s="29" t="s">
        <v>986</v>
      </c>
      <c r="V153" s="29" t="s">
        <v>986</v>
      </c>
      <c r="W153" s="5"/>
      <c r="X153" s="5"/>
      <c r="Y153" s="5"/>
      <c r="Z153" s="5"/>
      <c r="AA153" s="5"/>
    </row>
    <row r="154" s="1" customFormat="1" hidden="1" customHeight="1" spans="1:27">
      <c r="A154" s="5"/>
      <c r="B154" s="5"/>
      <c r="C154" s="1" t="s">
        <v>987</v>
      </c>
      <c r="D154" s="1" t="s">
        <v>988</v>
      </c>
      <c r="E154" s="1">
        <v>5</v>
      </c>
      <c r="F154" s="1" t="s">
        <v>989</v>
      </c>
      <c r="G154" s="1" t="s">
        <v>990</v>
      </c>
      <c r="H154" s="20" t="s">
        <v>991</v>
      </c>
      <c r="I154" s="1" t="s">
        <v>992</v>
      </c>
      <c r="J154" s="1" t="s">
        <v>993</v>
      </c>
      <c r="L154" s="1" t="s">
        <v>994</v>
      </c>
      <c r="M154" s="1">
        <f t="shared" si="42"/>
        <v>17200</v>
      </c>
      <c r="N154" s="1">
        <f t="shared" si="43"/>
        <v>18900</v>
      </c>
      <c r="O154" s="1">
        <f t="shared" si="44"/>
        <v>6850</v>
      </c>
      <c r="P154" s="1">
        <f t="shared" si="45"/>
        <v>6850</v>
      </c>
      <c r="Q154" s="1">
        <v>0</v>
      </c>
      <c r="R154" s="5">
        <f t="shared" si="46"/>
        <v>106</v>
      </c>
      <c r="S154" s="5">
        <f t="shared" si="37"/>
        <v>182</v>
      </c>
      <c r="T154" s="5">
        <v>99.99</v>
      </c>
      <c r="U154" s="29" t="s">
        <v>995</v>
      </c>
      <c r="V154" s="29" t="s">
        <v>995</v>
      </c>
      <c r="W154" s="5"/>
      <c r="X154" s="5"/>
      <c r="Y154" s="5"/>
      <c r="Z154" s="5"/>
      <c r="AA154" s="5"/>
    </row>
    <row r="155" s="1" customFormat="1" hidden="1" customHeight="1" spans="1:27">
      <c r="A155" s="5"/>
      <c r="B155" s="5"/>
      <c r="C155" s="1" t="s">
        <v>996</v>
      </c>
      <c r="D155" s="1" t="s">
        <v>997</v>
      </c>
      <c r="E155" s="1">
        <v>5</v>
      </c>
      <c r="F155" s="1" t="s">
        <v>998</v>
      </c>
      <c r="G155" s="1" t="s">
        <v>999</v>
      </c>
      <c r="H155" s="20" t="s">
        <v>1000</v>
      </c>
      <c r="I155" s="1" t="s">
        <v>1001</v>
      </c>
      <c r="J155" s="1" t="s">
        <v>1002</v>
      </c>
      <c r="L155" s="1" t="s">
        <v>1003</v>
      </c>
      <c r="M155" s="1">
        <f t="shared" si="42"/>
        <v>17800</v>
      </c>
      <c r="N155" s="1">
        <f t="shared" si="43"/>
        <v>19500</v>
      </c>
      <c r="O155" s="1">
        <f t="shared" si="44"/>
        <v>7100</v>
      </c>
      <c r="P155" s="1">
        <f t="shared" si="45"/>
        <v>7100</v>
      </c>
      <c r="Q155" s="1">
        <v>0</v>
      </c>
      <c r="R155" s="5">
        <f t="shared" si="46"/>
        <v>109</v>
      </c>
      <c r="S155" s="5">
        <f t="shared" si="37"/>
        <v>186</v>
      </c>
      <c r="T155" s="5">
        <v>99.99</v>
      </c>
      <c r="U155" s="29" t="s">
        <v>1004</v>
      </c>
      <c r="V155" s="29" t="s">
        <v>1004</v>
      </c>
      <c r="W155" s="5"/>
      <c r="X155" s="5"/>
      <c r="Y155" s="5"/>
      <c r="Z155" s="5"/>
      <c r="AA155" s="5"/>
    </row>
    <row r="156" s="1" customFormat="1" hidden="1" customHeight="1" spans="1:27">
      <c r="A156" s="5"/>
      <c r="B156" s="5"/>
      <c r="C156" s="1" t="s">
        <v>1005</v>
      </c>
      <c r="D156" s="1" t="s">
        <v>1006</v>
      </c>
      <c r="E156" s="1">
        <v>5</v>
      </c>
      <c r="F156" s="1" t="s">
        <v>1007</v>
      </c>
      <c r="G156" s="1" t="s">
        <v>1008</v>
      </c>
      <c r="H156" s="20" t="s">
        <v>1009</v>
      </c>
      <c r="I156" s="1" t="s">
        <v>1010</v>
      </c>
      <c r="J156" s="1" t="s">
        <v>1011</v>
      </c>
      <c r="L156" s="1" t="s">
        <v>1012</v>
      </c>
      <c r="M156" s="1">
        <f t="shared" si="42"/>
        <v>18400</v>
      </c>
      <c r="N156" s="1">
        <f t="shared" si="43"/>
        <v>20100</v>
      </c>
      <c r="O156" s="1">
        <f t="shared" si="44"/>
        <v>7350</v>
      </c>
      <c r="P156" s="1">
        <f t="shared" si="45"/>
        <v>7350</v>
      </c>
      <c r="Q156" s="1">
        <v>0</v>
      </c>
      <c r="R156" s="5">
        <f t="shared" si="46"/>
        <v>112</v>
      </c>
      <c r="S156" s="5">
        <f t="shared" si="37"/>
        <v>190</v>
      </c>
      <c r="T156" s="5">
        <v>99.99</v>
      </c>
      <c r="U156" s="29" t="s">
        <v>1013</v>
      </c>
      <c r="V156" s="29" t="s">
        <v>1013</v>
      </c>
      <c r="W156" s="5"/>
      <c r="X156" s="5"/>
      <c r="Y156" s="5"/>
      <c r="Z156" s="5"/>
      <c r="AA156" s="5"/>
    </row>
    <row r="157" s="1" customFormat="1" hidden="1" customHeight="1" spans="1:27">
      <c r="A157" s="5"/>
      <c r="B157" s="5"/>
      <c r="C157" s="1" t="s">
        <v>1014</v>
      </c>
      <c r="D157" s="1" t="s">
        <v>1015</v>
      </c>
      <c r="E157" s="1">
        <v>5</v>
      </c>
      <c r="F157" s="1" t="s">
        <v>1016</v>
      </c>
      <c r="G157" s="1" t="s">
        <v>1017</v>
      </c>
      <c r="H157" s="20" t="s">
        <v>1018</v>
      </c>
      <c r="I157" s="1" t="s">
        <v>1019</v>
      </c>
      <c r="J157" s="1" t="s">
        <v>1020</v>
      </c>
      <c r="L157" s="1" t="s">
        <v>1021</v>
      </c>
      <c r="M157" s="1">
        <f t="shared" si="42"/>
        <v>19000</v>
      </c>
      <c r="N157" s="1">
        <f t="shared" si="43"/>
        <v>20700</v>
      </c>
      <c r="O157" s="1">
        <f t="shared" si="44"/>
        <v>7600</v>
      </c>
      <c r="P157" s="1">
        <f t="shared" si="45"/>
        <v>7600</v>
      </c>
      <c r="Q157" s="1">
        <v>0</v>
      </c>
      <c r="R157" s="5">
        <f t="shared" si="46"/>
        <v>115</v>
      </c>
      <c r="S157" s="5">
        <f t="shared" si="37"/>
        <v>194</v>
      </c>
      <c r="T157" s="5">
        <v>99.99</v>
      </c>
      <c r="U157" s="29" t="s">
        <v>1022</v>
      </c>
      <c r="V157" s="29" t="s">
        <v>1022</v>
      </c>
      <c r="W157" s="5"/>
      <c r="X157" s="5"/>
      <c r="Y157" s="5"/>
      <c r="Z157" s="5"/>
      <c r="AA157" s="5"/>
    </row>
    <row r="158" s="1" customFormat="1" hidden="1" customHeight="1" spans="1:27">
      <c r="A158" s="5"/>
      <c r="B158" s="5"/>
      <c r="C158" s="1" t="s">
        <v>1023</v>
      </c>
      <c r="D158" s="1" t="s">
        <v>1024</v>
      </c>
      <c r="E158" s="1">
        <v>5</v>
      </c>
      <c r="F158" s="1" t="s">
        <v>1025</v>
      </c>
      <c r="G158" s="1" t="s">
        <v>1026</v>
      </c>
      <c r="H158" s="20" t="s">
        <v>1027</v>
      </c>
      <c r="I158" s="1" t="s">
        <v>1028</v>
      </c>
      <c r="J158" s="1" t="s">
        <v>1029</v>
      </c>
      <c r="L158" s="1" t="s">
        <v>1030</v>
      </c>
      <c r="M158" s="1">
        <f t="shared" si="42"/>
        <v>19600</v>
      </c>
      <c r="N158" s="1">
        <f t="shared" si="43"/>
        <v>21300</v>
      </c>
      <c r="O158" s="1">
        <f t="shared" si="44"/>
        <v>7850</v>
      </c>
      <c r="P158" s="1">
        <f t="shared" si="45"/>
        <v>7850</v>
      </c>
      <c r="Q158" s="1">
        <v>0</v>
      </c>
      <c r="R158" s="5">
        <f t="shared" si="46"/>
        <v>118</v>
      </c>
      <c r="S158" s="5">
        <f t="shared" si="37"/>
        <v>198</v>
      </c>
      <c r="T158" s="5">
        <v>99.99</v>
      </c>
      <c r="U158" s="29" t="s">
        <v>1031</v>
      </c>
      <c r="V158" s="29" t="s">
        <v>1031</v>
      </c>
      <c r="W158" s="5"/>
      <c r="X158" s="5"/>
      <c r="Y158" s="5"/>
      <c r="Z158" s="5"/>
      <c r="AA158" s="5"/>
    </row>
    <row r="159" s="1" customFormat="1" hidden="1" customHeight="1" spans="1:27">
      <c r="A159" s="5"/>
      <c r="B159" s="5"/>
      <c r="C159" s="1" t="s">
        <v>1032</v>
      </c>
      <c r="D159" s="1" t="s">
        <v>1033</v>
      </c>
      <c r="E159" s="1">
        <v>5</v>
      </c>
      <c r="F159" s="1" t="s">
        <v>1034</v>
      </c>
      <c r="G159" s="1" t="s">
        <v>1035</v>
      </c>
      <c r="H159" s="20" t="s">
        <v>1036</v>
      </c>
      <c r="I159" s="1" t="s">
        <v>1037</v>
      </c>
      <c r="J159" s="1" t="s">
        <v>1038</v>
      </c>
      <c r="L159" s="1" t="s">
        <v>1039</v>
      </c>
      <c r="M159" s="1">
        <f t="shared" si="42"/>
        <v>20200</v>
      </c>
      <c r="N159" s="1">
        <f t="shared" si="43"/>
        <v>21900</v>
      </c>
      <c r="O159" s="1">
        <f t="shared" si="44"/>
        <v>8100</v>
      </c>
      <c r="P159" s="1">
        <f t="shared" si="45"/>
        <v>8100</v>
      </c>
      <c r="Q159" s="1">
        <v>0</v>
      </c>
      <c r="R159" s="5">
        <f t="shared" si="46"/>
        <v>121</v>
      </c>
      <c r="S159" s="5">
        <f t="shared" si="37"/>
        <v>202</v>
      </c>
      <c r="T159" s="5">
        <v>99.99</v>
      </c>
      <c r="U159" s="29" t="s">
        <v>1040</v>
      </c>
      <c r="V159" s="29" t="s">
        <v>1040</v>
      </c>
      <c r="W159" s="5"/>
      <c r="X159" s="5"/>
      <c r="Y159" s="5"/>
      <c r="Z159" s="5"/>
      <c r="AA159" s="5"/>
    </row>
    <row r="160" s="1" customFormat="1" hidden="1" customHeight="1" spans="1:27">
      <c r="A160" s="5"/>
      <c r="B160" s="5"/>
      <c r="C160" s="1" t="s">
        <v>1041</v>
      </c>
      <c r="D160" s="1" t="s">
        <v>1042</v>
      </c>
      <c r="E160" s="1">
        <v>5</v>
      </c>
      <c r="F160" s="1" t="s">
        <v>1043</v>
      </c>
      <c r="G160" s="1" t="s">
        <v>1044</v>
      </c>
      <c r="H160" s="20" t="s">
        <v>1045</v>
      </c>
      <c r="I160" s="1" t="s">
        <v>1046</v>
      </c>
      <c r="J160" s="1" t="s">
        <v>1047</v>
      </c>
      <c r="L160" s="1" t="s">
        <v>1048</v>
      </c>
      <c r="M160" s="1">
        <f t="shared" si="42"/>
        <v>20800</v>
      </c>
      <c r="N160" s="1">
        <f t="shared" si="43"/>
        <v>22500</v>
      </c>
      <c r="O160" s="1">
        <f t="shared" si="44"/>
        <v>8350</v>
      </c>
      <c r="P160" s="1">
        <f t="shared" si="45"/>
        <v>8350</v>
      </c>
      <c r="Q160" s="1">
        <v>0</v>
      </c>
      <c r="R160" s="5">
        <f t="shared" si="46"/>
        <v>124</v>
      </c>
      <c r="S160" s="5">
        <f t="shared" si="37"/>
        <v>206</v>
      </c>
      <c r="T160" s="5">
        <v>99.99</v>
      </c>
      <c r="U160" s="29" t="s">
        <v>1049</v>
      </c>
      <c r="V160" s="29" t="s">
        <v>1049</v>
      </c>
      <c r="W160" s="5"/>
      <c r="X160" s="5"/>
      <c r="Y160" s="5"/>
      <c r="Z160" s="5"/>
      <c r="AA160" s="5"/>
    </row>
    <row r="161" s="1" customFormat="1" hidden="1" customHeight="1" spans="1:27">
      <c r="A161" s="5"/>
      <c r="B161" s="5"/>
      <c r="C161" s="1" t="s">
        <v>1050</v>
      </c>
      <c r="D161" s="1" t="s">
        <v>1051</v>
      </c>
      <c r="E161" s="1">
        <v>5</v>
      </c>
      <c r="F161" s="1" t="s">
        <v>1052</v>
      </c>
      <c r="G161" s="1" t="s">
        <v>1053</v>
      </c>
      <c r="H161" s="20" t="s">
        <v>1054</v>
      </c>
      <c r="I161" s="1" t="s">
        <v>1055</v>
      </c>
      <c r="J161" s="1" t="s">
        <v>1056</v>
      </c>
      <c r="L161" s="1" t="s">
        <v>1057</v>
      </c>
      <c r="M161" s="1">
        <f t="shared" si="42"/>
        <v>21400</v>
      </c>
      <c r="N161" s="1">
        <f t="shared" si="43"/>
        <v>23100</v>
      </c>
      <c r="O161" s="1">
        <f t="shared" si="44"/>
        <v>8600</v>
      </c>
      <c r="P161" s="1">
        <f t="shared" si="45"/>
        <v>8600</v>
      </c>
      <c r="Q161" s="1">
        <v>0</v>
      </c>
      <c r="R161" s="5">
        <f>R160+4</f>
        <v>128</v>
      </c>
      <c r="S161" s="5">
        <f>S160+5</f>
        <v>211</v>
      </c>
      <c r="T161" s="5">
        <v>99.99</v>
      </c>
      <c r="U161" s="29" t="s">
        <v>1058</v>
      </c>
      <c r="V161" s="29" t="s">
        <v>1058</v>
      </c>
      <c r="W161" s="5"/>
      <c r="X161" s="5"/>
      <c r="Y161" s="5"/>
      <c r="Z161" s="5"/>
      <c r="AA161" s="5"/>
    </row>
    <row r="162" s="1" customFormat="1" hidden="1" customHeight="1" spans="1:27">
      <c r="A162" s="5"/>
      <c r="B162" s="5"/>
      <c r="C162" s="1" t="s">
        <v>1059</v>
      </c>
      <c r="D162" s="1" t="s">
        <v>1060</v>
      </c>
      <c r="E162" s="1">
        <v>5</v>
      </c>
      <c r="F162" s="1" t="s">
        <v>1061</v>
      </c>
      <c r="G162" s="1" t="s">
        <v>1062</v>
      </c>
      <c r="H162" s="20" t="s">
        <v>1063</v>
      </c>
      <c r="I162" s="1" t="s">
        <v>1064</v>
      </c>
      <c r="J162" s="1" t="s">
        <v>1065</v>
      </c>
      <c r="L162" s="1" t="s">
        <v>1066</v>
      </c>
      <c r="M162" s="1">
        <f t="shared" si="42"/>
        <v>22000</v>
      </c>
      <c r="N162" s="1">
        <f t="shared" si="43"/>
        <v>23700</v>
      </c>
      <c r="O162" s="1">
        <f t="shared" si="44"/>
        <v>8850</v>
      </c>
      <c r="P162" s="1">
        <f t="shared" si="45"/>
        <v>8850</v>
      </c>
      <c r="Q162" s="1">
        <v>0</v>
      </c>
      <c r="R162" s="5">
        <f>R161+4</f>
        <v>132</v>
      </c>
      <c r="S162" s="5">
        <f>S161+5</f>
        <v>216</v>
      </c>
      <c r="T162" s="5">
        <v>99.99</v>
      </c>
      <c r="U162" s="29" t="s">
        <v>1067</v>
      </c>
      <c r="V162" s="29" t="s">
        <v>1067</v>
      </c>
      <c r="W162" s="5"/>
      <c r="X162" s="5"/>
      <c r="Y162" s="5"/>
      <c r="Z162" s="5"/>
      <c r="AA162" s="5"/>
    </row>
    <row r="163" s="1" customFormat="1" hidden="1" customHeight="1" spans="1:27">
      <c r="A163" s="5"/>
      <c r="B163" s="5"/>
      <c r="C163" s="1" t="s">
        <v>1068</v>
      </c>
      <c r="D163" s="1" t="s">
        <v>1069</v>
      </c>
      <c r="E163" s="1">
        <v>5</v>
      </c>
      <c r="F163" s="1" t="s">
        <v>1070</v>
      </c>
      <c r="G163" s="1" t="s">
        <v>1071</v>
      </c>
      <c r="H163" s="20" t="s">
        <v>1072</v>
      </c>
      <c r="I163" s="1" t="s">
        <v>1073</v>
      </c>
      <c r="J163" s="1" t="s">
        <v>1074</v>
      </c>
      <c r="L163" s="1" t="s">
        <v>1075</v>
      </c>
      <c r="M163" s="1">
        <f t="shared" si="42"/>
        <v>22600</v>
      </c>
      <c r="N163" s="1">
        <f t="shared" si="43"/>
        <v>24300</v>
      </c>
      <c r="O163" s="1">
        <f t="shared" si="44"/>
        <v>9100</v>
      </c>
      <c r="P163" s="1">
        <f t="shared" si="45"/>
        <v>9100</v>
      </c>
      <c r="Q163" s="1">
        <v>0</v>
      </c>
      <c r="R163" s="5">
        <f>R162+4</f>
        <v>136</v>
      </c>
      <c r="S163" s="5">
        <f>S162+5</f>
        <v>221</v>
      </c>
      <c r="T163" s="5">
        <v>99.99</v>
      </c>
      <c r="U163" s="29" t="s">
        <v>1076</v>
      </c>
      <c r="V163" s="29" t="s">
        <v>1076</v>
      </c>
      <c r="W163" s="5"/>
      <c r="X163" s="5"/>
      <c r="Y163" s="5"/>
      <c r="Z163" s="5"/>
      <c r="AA163" s="5"/>
    </row>
    <row r="164" s="15" customFormat="1" hidden="1" customHeight="1" spans="1:27">
      <c r="A164" s="25"/>
      <c r="B164" s="25"/>
      <c r="C164" s="15" t="s">
        <v>1077</v>
      </c>
      <c r="D164" s="15" t="s">
        <v>1078</v>
      </c>
      <c r="E164" s="1">
        <v>5</v>
      </c>
      <c r="F164" s="15" t="s">
        <v>1079</v>
      </c>
      <c r="G164" s="15" t="s">
        <v>1080</v>
      </c>
      <c r="H164" s="15" t="s">
        <v>1081</v>
      </c>
      <c r="I164" s="15" t="s">
        <v>1082</v>
      </c>
      <c r="J164" s="15" t="s">
        <v>1083</v>
      </c>
      <c r="K164" s="1"/>
      <c r="L164" s="15" t="s">
        <v>1084</v>
      </c>
      <c r="M164" s="15">
        <f t="shared" si="42"/>
        <v>23200</v>
      </c>
      <c r="N164" s="15">
        <f t="shared" si="43"/>
        <v>24900</v>
      </c>
      <c r="O164" s="15">
        <f t="shared" si="44"/>
        <v>9350</v>
      </c>
      <c r="P164" s="15">
        <f t="shared" si="45"/>
        <v>9350</v>
      </c>
      <c r="Q164" s="1">
        <v>0</v>
      </c>
      <c r="R164" s="25">
        <f>R163+4</f>
        <v>140</v>
      </c>
      <c r="S164" s="25">
        <f>S163+5</f>
        <v>226</v>
      </c>
      <c r="T164" s="25">
        <v>99.99</v>
      </c>
      <c r="U164" s="36" t="s">
        <v>1085</v>
      </c>
      <c r="V164" s="36" t="s">
        <v>1085</v>
      </c>
      <c r="W164" s="25"/>
      <c r="X164" s="25"/>
      <c r="Y164" s="25"/>
      <c r="Z164" s="25"/>
      <c r="AA164" s="25"/>
    </row>
    <row r="165" s="9" customFormat="1" hidden="1" customHeight="1" spans="1:27">
      <c r="A165" s="12"/>
      <c r="B165" s="12"/>
      <c r="C165" s="9" t="s">
        <v>1086</v>
      </c>
      <c r="D165" s="9" t="s">
        <v>1087</v>
      </c>
      <c r="E165" s="1">
        <v>5</v>
      </c>
      <c r="F165" s="9" t="s">
        <v>1088</v>
      </c>
      <c r="G165" s="37" t="s">
        <v>1089</v>
      </c>
      <c r="H165" s="9" t="s">
        <v>1090</v>
      </c>
      <c r="I165" s="9" t="s">
        <v>1091</v>
      </c>
      <c r="J165" s="9" t="s">
        <v>1092</v>
      </c>
      <c r="K165" s="1"/>
      <c r="L165" s="9" t="s">
        <v>1093</v>
      </c>
      <c r="M165" s="9">
        <f t="shared" si="42"/>
        <v>23800</v>
      </c>
      <c r="N165" s="9">
        <f t="shared" si="43"/>
        <v>25500</v>
      </c>
      <c r="O165" s="9">
        <f t="shared" si="44"/>
        <v>9600</v>
      </c>
      <c r="P165" s="9">
        <f t="shared" si="45"/>
        <v>9600</v>
      </c>
      <c r="Q165" s="1">
        <v>0</v>
      </c>
      <c r="R165" s="12">
        <f>R164+4</f>
        <v>144</v>
      </c>
      <c r="S165" s="12">
        <f>S164+5</f>
        <v>231</v>
      </c>
      <c r="T165" s="12">
        <v>99.99</v>
      </c>
      <c r="U165" s="38" t="s">
        <v>1094</v>
      </c>
      <c r="V165" s="38" t="s">
        <v>1094</v>
      </c>
      <c r="W165" s="12"/>
      <c r="X165" s="12"/>
      <c r="Y165" s="12"/>
      <c r="Z165" s="12"/>
      <c r="AA165" s="12"/>
    </row>
    <row r="166" hidden="1" customHeight="1" spans="1:27">
      <c r="C166" s="1" t="s">
        <v>1095</v>
      </c>
      <c r="D166" s="1" t="s">
        <v>1096</v>
      </c>
      <c r="E166" s="1">
        <v>5</v>
      </c>
      <c r="F166" s="1" t="s">
        <v>1097</v>
      </c>
      <c r="G166" s="39" t="s">
        <v>1098</v>
      </c>
      <c r="H166" s="39" t="s">
        <v>1099</v>
      </c>
      <c r="I166" s="39" t="s">
        <v>1100</v>
      </c>
      <c r="J166" s="39" t="s">
        <v>1101</v>
      </c>
      <c r="K166" s="1"/>
      <c r="L166" s="39" t="s">
        <v>1102</v>
      </c>
      <c r="M166" s="1">
        <f t="shared" si="42"/>
        <v>24400</v>
      </c>
      <c r="N166" s="1">
        <f t="shared" si="43"/>
        <v>26100</v>
      </c>
      <c r="O166" s="1">
        <f t="shared" ref="O166:O170" si="48">O165+300</f>
        <v>9900</v>
      </c>
      <c r="P166" s="1">
        <f t="shared" ref="P166:P170" si="49">P165+300</f>
        <v>9900</v>
      </c>
      <c r="Q166" s="1">
        <v>0</v>
      </c>
      <c r="R166" s="5">
        <f>R165+5</f>
        <v>149</v>
      </c>
      <c r="S166" s="5">
        <f>S165+6</f>
        <v>237</v>
      </c>
      <c r="T166" s="5">
        <v>99.99</v>
      </c>
      <c r="U166" s="29" t="s">
        <v>1103</v>
      </c>
      <c r="V166" s="29" t="s">
        <v>1103</v>
      </c>
    </row>
    <row r="167" hidden="1" customHeight="1" spans="1:27">
      <c r="C167" s="1" t="s">
        <v>1104</v>
      </c>
      <c r="D167" s="1" t="s">
        <v>1105</v>
      </c>
      <c r="E167" s="1">
        <v>5</v>
      </c>
      <c r="F167" s="1" t="s">
        <v>1106</v>
      </c>
      <c r="G167" s="39" t="s">
        <v>1107</v>
      </c>
      <c r="H167" s="39" t="s">
        <v>1108</v>
      </c>
      <c r="I167" s="39" t="s">
        <v>1109</v>
      </c>
      <c r="J167" s="39" t="s">
        <v>1110</v>
      </c>
      <c r="K167" s="1"/>
      <c r="L167" s="39" t="s">
        <v>1111</v>
      </c>
      <c r="M167" s="1">
        <f t="shared" si="42"/>
        <v>25000</v>
      </c>
      <c r="N167" s="1">
        <f t="shared" si="43"/>
        <v>26700</v>
      </c>
      <c r="O167" s="1">
        <f t="shared" si="48"/>
        <v>10200</v>
      </c>
      <c r="P167" s="1">
        <f t="shared" si="49"/>
        <v>10200</v>
      </c>
      <c r="Q167" s="1">
        <v>0</v>
      </c>
      <c r="R167" s="5">
        <f>R166+5</f>
        <v>154</v>
      </c>
      <c r="S167" s="5">
        <f>S166+6</f>
        <v>243</v>
      </c>
      <c r="T167" s="5">
        <v>99.99</v>
      </c>
      <c r="U167" s="29" t="s">
        <v>1112</v>
      </c>
      <c r="V167" s="29" t="s">
        <v>1112</v>
      </c>
    </row>
    <row r="168" hidden="1" customHeight="1" spans="1:27">
      <c r="C168" s="1" t="s">
        <v>1113</v>
      </c>
      <c r="D168" s="1" t="s">
        <v>1114</v>
      </c>
      <c r="E168" s="1">
        <v>5</v>
      </c>
      <c r="F168" s="1" t="s">
        <v>1115</v>
      </c>
      <c r="G168" s="39" t="s">
        <v>1116</v>
      </c>
      <c r="H168" s="39" t="s">
        <v>1117</v>
      </c>
      <c r="I168" s="39" t="s">
        <v>1118</v>
      </c>
      <c r="J168" s="39" t="s">
        <v>1119</v>
      </c>
      <c r="K168" s="1"/>
      <c r="L168" s="39" t="s">
        <v>1120</v>
      </c>
      <c r="M168" s="1">
        <f t="shared" si="42"/>
        <v>25600</v>
      </c>
      <c r="N168" s="1">
        <f t="shared" si="43"/>
        <v>27300</v>
      </c>
      <c r="O168" s="1">
        <f t="shared" si="48"/>
        <v>10500</v>
      </c>
      <c r="P168" s="1">
        <f t="shared" si="49"/>
        <v>10500</v>
      </c>
      <c r="Q168" s="1">
        <v>0</v>
      </c>
      <c r="R168" s="5">
        <f>R167+5</f>
        <v>159</v>
      </c>
      <c r="S168" s="5">
        <f>S167+6</f>
        <v>249</v>
      </c>
      <c r="T168" s="5">
        <v>99.99</v>
      </c>
      <c r="U168" s="29" t="s">
        <v>1121</v>
      </c>
      <c r="V168" s="29" t="s">
        <v>1121</v>
      </c>
    </row>
    <row r="169" hidden="1" customHeight="1" spans="1:27">
      <c r="C169" s="1" t="s">
        <v>1122</v>
      </c>
      <c r="D169" s="1" t="s">
        <v>1123</v>
      </c>
      <c r="E169" s="1">
        <v>5</v>
      </c>
      <c r="F169" s="1" t="s">
        <v>1124</v>
      </c>
      <c r="G169" s="39" t="s">
        <v>1125</v>
      </c>
      <c r="H169" s="39" t="s">
        <v>1126</v>
      </c>
      <c r="I169" s="39" t="s">
        <v>1127</v>
      </c>
      <c r="J169" s="39" t="s">
        <v>1128</v>
      </c>
      <c r="K169" s="1"/>
      <c r="L169" s="39" t="s">
        <v>1129</v>
      </c>
      <c r="M169" s="1">
        <f t="shared" si="42"/>
        <v>26200</v>
      </c>
      <c r="N169" s="1">
        <f t="shared" si="43"/>
        <v>27900</v>
      </c>
      <c r="O169" s="1">
        <f t="shared" si="48"/>
        <v>10800</v>
      </c>
      <c r="P169" s="1">
        <f t="shared" si="49"/>
        <v>10800</v>
      </c>
      <c r="Q169" s="1">
        <v>0</v>
      </c>
      <c r="R169" s="5">
        <f>R168+5</f>
        <v>164</v>
      </c>
      <c r="S169" s="5">
        <f>S168+6</f>
        <v>255</v>
      </c>
      <c r="T169" s="5">
        <v>99.99</v>
      </c>
      <c r="U169" s="29" t="s">
        <v>1130</v>
      </c>
      <c r="V169" s="29" t="s">
        <v>1130</v>
      </c>
    </row>
    <row r="170" hidden="1" customHeight="1" spans="1:27">
      <c r="C170" s="1" t="s">
        <v>1131</v>
      </c>
      <c r="D170" s="1" t="s">
        <v>1132</v>
      </c>
      <c r="E170" s="1">
        <v>5</v>
      </c>
      <c r="F170" s="1" t="s">
        <v>1133</v>
      </c>
      <c r="G170" s="39" t="s">
        <v>1134</v>
      </c>
      <c r="H170" s="39" t="s">
        <v>1135</v>
      </c>
      <c r="I170" s="39" t="s">
        <v>1136</v>
      </c>
      <c r="J170" s="39" t="s">
        <v>1137</v>
      </c>
      <c r="K170" s="1"/>
      <c r="L170" s="39" t="s">
        <v>1138</v>
      </c>
      <c r="M170" s="1">
        <f t="shared" si="42"/>
        <v>26800</v>
      </c>
      <c r="N170" s="1">
        <f t="shared" si="43"/>
        <v>28500</v>
      </c>
      <c r="O170" s="1">
        <f t="shared" si="48"/>
        <v>11100</v>
      </c>
      <c r="P170" s="1">
        <f t="shared" si="49"/>
        <v>11100</v>
      </c>
      <c r="Q170" s="1">
        <v>0</v>
      </c>
      <c r="R170" s="5">
        <f>R169+5</f>
        <v>169</v>
      </c>
      <c r="S170" s="5">
        <f>S169+6</f>
        <v>261</v>
      </c>
      <c r="T170" s="5">
        <v>99.99</v>
      </c>
      <c r="U170" s="29" t="s">
        <v>1139</v>
      </c>
      <c r="V170" s="29" t="s">
        <v>1139</v>
      </c>
    </row>
    <row r="171" hidden="1" customHeight="1" spans="1:27">
      <c r="C171" s="1" t="s">
        <v>1140</v>
      </c>
      <c r="D171" s="1" t="s">
        <v>1141</v>
      </c>
      <c r="E171" s="1">
        <v>5</v>
      </c>
      <c r="F171" s="1" t="s">
        <v>1142</v>
      </c>
      <c r="G171" s="39" t="s">
        <v>1143</v>
      </c>
      <c r="H171" s="39" t="s">
        <v>1144</v>
      </c>
      <c r="I171" s="39" t="s">
        <v>1145</v>
      </c>
      <c r="J171" s="39" t="s">
        <v>1146</v>
      </c>
      <c r="K171" s="1"/>
      <c r="L171" s="39" t="s">
        <v>1147</v>
      </c>
      <c r="M171" s="1">
        <f t="shared" si="42"/>
        <v>27400</v>
      </c>
      <c r="N171" s="1">
        <f t="shared" si="43"/>
        <v>29100</v>
      </c>
      <c r="O171" s="1">
        <f t="shared" ref="O171:O175" si="50">O170+400</f>
        <v>11500</v>
      </c>
      <c r="P171" s="1">
        <f t="shared" ref="P171:P175" si="51">P170+400</f>
        <v>11500</v>
      </c>
      <c r="Q171" s="1">
        <v>0</v>
      </c>
      <c r="R171" s="5">
        <f t="shared" ref="R171:R175" si="52">R170+6</f>
        <v>175</v>
      </c>
      <c r="S171" s="5">
        <f t="shared" ref="S171:S175" si="53">S170+7</f>
        <v>268</v>
      </c>
      <c r="T171" s="5">
        <v>99.99</v>
      </c>
      <c r="U171" s="29" t="s">
        <v>1148</v>
      </c>
      <c r="V171" s="29" t="s">
        <v>1148</v>
      </c>
    </row>
    <row r="172" hidden="1" customHeight="1" spans="1:27">
      <c r="C172" s="1" t="s">
        <v>1149</v>
      </c>
      <c r="D172" s="1" t="s">
        <v>1150</v>
      </c>
      <c r="E172" s="1">
        <v>5</v>
      </c>
      <c r="F172" s="1" t="s">
        <v>1151</v>
      </c>
      <c r="G172" s="39" t="s">
        <v>1152</v>
      </c>
      <c r="H172" s="39" t="s">
        <v>1153</v>
      </c>
      <c r="I172" s="39" t="s">
        <v>1154</v>
      </c>
      <c r="J172" s="39" t="s">
        <v>1155</v>
      </c>
      <c r="K172" s="1"/>
      <c r="L172" s="39" t="s">
        <v>1156</v>
      </c>
      <c r="M172" s="1">
        <f t="shared" si="42"/>
        <v>28000</v>
      </c>
      <c r="N172" s="1">
        <f t="shared" si="43"/>
        <v>29700</v>
      </c>
      <c r="O172" s="1">
        <f t="shared" si="50"/>
        <v>11900</v>
      </c>
      <c r="P172" s="1">
        <f t="shared" si="51"/>
        <v>11900</v>
      </c>
      <c r="Q172" s="1">
        <v>0</v>
      </c>
      <c r="R172" s="5">
        <f t="shared" si="52"/>
        <v>181</v>
      </c>
      <c r="S172" s="5">
        <f t="shared" si="53"/>
        <v>275</v>
      </c>
      <c r="T172" s="5">
        <v>99.99</v>
      </c>
      <c r="U172" s="29" t="s">
        <v>1157</v>
      </c>
      <c r="V172" s="29" t="s">
        <v>1157</v>
      </c>
    </row>
    <row r="173" hidden="1" customHeight="1" spans="1:27">
      <c r="C173" s="1" t="s">
        <v>1158</v>
      </c>
      <c r="D173" s="1" t="s">
        <v>1159</v>
      </c>
      <c r="E173" s="1">
        <v>5</v>
      </c>
      <c r="F173" s="1" t="s">
        <v>1160</v>
      </c>
      <c r="G173" s="39" t="s">
        <v>1161</v>
      </c>
      <c r="H173" s="39" t="s">
        <v>1162</v>
      </c>
      <c r="I173" s="39" t="s">
        <v>1163</v>
      </c>
      <c r="J173" s="39" t="s">
        <v>1164</v>
      </c>
      <c r="K173" s="1"/>
      <c r="L173" s="39" t="s">
        <v>1165</v>
      </c>
      <c r="M173" s="1">
        <f t="shared" si="42"/>
        <v>28600</v>
      </c>
      <c r="N173" s="1">
        <f t="shared" si="43"/>
        <v>30300</v>
      </c>
      <c r="O173" s="1">
        <f t="shared" si="50"/>
        <v>12300</v>
      </c>
      <c r="P173" s="1">
        <f t="shared" si="51"/>
        <v>12300</v>
      </c>
      <c r="Q173" s="1">
        <v>0</v>
      </c>
      <c r="R173" s="5">
        <f t="shared" si="52"/>
        <v>187</v>
      </c>
      <c r="S173" s="5">
        <f t="shared" si="53"/>
        <v>282</v>
      </c>
      <c r="T173" s="5">
        <v>99.99</v>
      </c>
      <c r="U173" s="29" t="s">
        <v>1166</v>
      </c>
      <c r="V173" s="29" t="s">
        <v>1166</v>
      </c>
    </row>
    <row r="174" hidden="1" customHeight="1" spans="1:27">
      <c r="C174" s="1" t="s">
        <v>1167</v>
      </c>
      <c r="D174" s="1" t="s">
        <v>1168</v>
      </c>
      <c r="E174" s="1">
        <v>5</v>
      </c>
      <c r="F174" s="1" t="s">
        <v>1169</v>
      </c>
      <c r="G174" s="39" t="s">
        <v>1170</v>
      </c>
      <c r="H174" s="39" t="s">
        <v>1171</v>
      </c>
      <c r="I174" s="39" t="s">
        <v>1172</v>
      </c>
      <c r="J174" s="39" t="s">
        <v>1173</v>
      </c>
      <c r="K174" s="1"/>
      <c r="L174" s="39" t="s">
        <v>1174</v>
      </c>
      <c r="M174" s="1">
        <f t="shared" si="42"/>
        <v>29200</v>
      </c>
      <c r="N174" s="1">
        <f t="shared" si="43"/>
        <v>30900</v>
      </c>
      <c r="O174" s="1">
        <f t="shared" si="50"/>
        <v>12700</v>
      </c>
      <c r="P174" s="1">
        <f t="shared" si="51"/>
        <v>12700</v>
      </c>
      <c r="Q174" s="1">
        <v>0</v>
      </c>
      <c r="R174" s="5">
        <f t="shared" si="52"/>
        <v>193</v>
      </c>
      <c r="S174" s="5">
        <f t="shared" si="53"/>
        <v>289</v>
      </c>
      <c r="T174" s="5">
        <v>99.99</v>
      </c>
      <c r="U174" s="29" t="s">
        <v>1175</v>
      </c>
      <c r="V174" s="29" t="s">
        <v>1175</v>
      </c>
    </row>
    <row r="175" hidden="1" customHeight="1" spans="1:27">
      <c r="C175" s="1" t="s">
        <v>1176</v>
      </c>
      <c r="D175" s="1" t="s">
        <v>1177</v>
      </c>
      <c r="E175" s="1">
        <v>5</v>
      </c>
      <c r="F175" s="1" t="s">
        <v>1178</v>
      </c>
      <c r="G175" s="39" t="s">
        <v>1179</v>
      </c>
      <c r="H175" s="39" t="s">
        <v>1180</v>
      </c>
      <c r="I175" s="39" t="s">
        <v>1181</v>
      </c>
      <c r="J175" s="39" t="s">
        <v>1182</v>
      </c>
      <c r="K175" s="1"/>
      <c r="L175" s="39" t="s">
        <v>1183</v>
      </c>
      <c r="M175" s="1">
        <f t="shared" si="42"/>
        <v>29800</v>
      </c>
      <c r="N175" s="1">
        <f t="shared" si="43"/>
        <v>31500</v>
      </c>
      <c r="O175" s="1">
        <f t="shared" si="50"/>
        <v>13100</v>
      </c>
      <c r="P175" s="1">
        <f t="shared" si="51"/>
        <v>13100</v>
      </c>
      <c r="Q175" s="1">
        <v>0</v>
      </c>
      <c r="R175" s="5">
        <f t="shared" si="52"/>
        <v>199</v>
      </c>
      <c r="S175" s="5">
        <f t="shared" si="53"/>
        <v>296</v>
      </c>
      <c r="T175" s="5">
        <v>99.99</v>
      </c>
      <c r="U175" s="29" t="s">
        <v>1184</v>
      </c>
      <c r="V175" s="29" t="s">
        <v>1184</v>
      </c>
    </row>
    <row r="176" s="1" customFormat="1" hidden="1" customHeight="1" spans="1:27">
      <c r="A176" s="5"/>
      <c r="B176" s="5"/>
      <c r="C176" s="1" t="s">
        <v>1185</v>
      </c>
      <c r="D176" s="1" t="s">
        <v>1186</v>
      </c>
      <c r="E176" s="1">
        <v>5</v>
      </c>
      <c r="F176" s="1" t="s">
        <v>1187</v>
      </c>
      <c r="G176" s="39" t="s">
        <v>1188</v>
      </c>
      <c r="H176" s="39" t="s">
        <v>1189</v>
      </c>
      <c r="I176" s="39" t="s">
        <v>1190</v>
      </c>
      <c r="J176" s="39" t="s">
        <v>1191</v>
      </c>
      <c r="L176" s="39" t="s">
        <v>1192</v>
      </c>
      <c r="M176" s="1">
        <f t="shared" si="42"/>
        <v>30400</v>
      </c>
      <c r="N176" s="1">
        <f t="shared" si="43"/>
        <v>32100</v>
      </c>
      <c r="O176" s="1">
        <f t="shared" ref="O176:O180" si="54">O175+500</f>
        <v>13600</v>
      </c>
      <c r="P176" s="1">
        <f t="shared" ref="P176:P180" si="55">P175+500</f>
        <v>13600</v>
      </c>
      <c r="Q176" s="1">
        <v>0</v>
      </c>
      <c r="R176" s="5">
        <f t="shared" ref="R176:R180" si="56">R175+7</f>
        <v>206</v>
      </c>
      <c r="S176" s="5">
        <f t="shared" ref="S176:S180" si="57">S175+8</f>
        <v>304</v>
      </c>
      <c r="T176" s="5">
        <v>99.99</v>
      </c>
      <c r="U176" s="29" t="s">
        <v>1193</v>
      </c>
      <c r="V176" s="29" t="s">
        <v>1193</v>
      </c>
      <c r="W176" s="5"/>
      <c r="X176" s="5"/>
      <c r="Y176" s="5"/>
      <c r="Z176" s="5"/>
      <c r="AA176" s="5"/>
    </row>
    <row r="177" s="1" customFormat="1" hidden="1" customHeight="1" spans="1:27">
      <c r="A177" s="5"/>
      <c r="B177" s="5"/>
      <c r="C177" s="1" t="s">
        <v>1194</v>
      </c>
      <c r="D177" s="1" t="s">
        <v>1195</v>
      </c>
      <c r="E177" s="1">
        <v>5</v>
      </c>
      <c r="F177" s="1" t="s">
        <v>1196</v>
      </c>
      <c r="G177" s="39" t="s">
        <v>1197</v>
      </c>
      <c r="H177" s="39" t="s">
        <v>1198</v>
      </c>
      <c r="I177" s="39" t="s">
        <v>1199</v>
      </c>
      <c r="J177" s="39" t="s">
        <v>1200</v>
      </c>
      <c r="L177" s="39" t="s">
        <v>1201</v>
      </c>
      <c r="M177" s="1">
        <f t="shared" si="42"/>
        <v>31000</v>
      </c>
      <c r="N177" s="1">
        <f t="shared" si="43"/>
        <v>32700</v>
      </c>
      <c r="O177" s="1">
        <f t="shared" si="54"/>
        <v>14100</v>
      </c>
      <c r="P177" s="1">
        <f t="shared" si="55"/>
        <v>14100</v>
      </c>
      <c r="Q177" s="1">
        <v>0</v>
      </c>
      <c r="R177" s="5">
        <f t="shared" si="56"/>
        <v>213</v>
      </c>
      <c r="S177" s="5">
        <f t="shared" si="57"/>
        <v>312</v>
      </c>
      <c r="T177" s="5">
        <v>99.99</v>
      </c>
      <c r="U177" s="29" t="s">
        <v>1202</v>
      </c>
      <c r="V177" s="29" t="s">
        <v>1202</v>
      </c>
      <c r="W177" s="5"/>
      <c r="X177" s="5"/>
      <c r="Y177" s="5"/>
      <c r="Z177" s="5"/>
      <c r="AA177" s="5"/>
    </row>
    <row r="178" s="1" customFormat="1" hidden="1" customHeight="1" spans="1:27">
      <c r="A178" s="5"/>
      <c r="B178" s="5"/>
      <c r="C178" s="1" t="s">
        <v>1203</v>
      </c>
      <c r="D178" s="1" t="s">
        <v>1204</v>
      </c>
      <c r="E178" s="1">
        <v>5</v>
      </c>
      <c r="F178" s="1" t="s">
        <v>1205</v>
      </c>
      <c r="G178" s="39" t="s">
        <v>1206</v>
      </c>
      <c r="H178" s="39" t="s">
        <v>1207</v>
      </c>
      <c r="I178" s="39" t="s">
        <v>1208</v>
      </c>
      <c r="J178" s="39" t="s">
        <v>1209</v>
      </c>
      <c r="L178" s="39" t="s">
        <v>1210</v>
      </c>
      <c r="M178" s="1">
        <f t="shared" si="42"/>
        <v>31600</v>
      </c>
      <c r="N178" s="1">
        <f t="shared" si="43"/>
        <v>33300</v>
      </c>
      <c r="O178" s="1">
        <f t="shared" si="54"/>
        <v>14600</v>
      </c>
      <c r="P178" s="1">
        <f t="shared" si="55"/>
        <v>14600</v>
      </c>
      <c r="Q178" s="1">
        <v>0</v>
      </c>
      <c r="R178" s="5">
        <f t="shared" si="56"/>
        <v>220</v>
      </c>
      <c r="S178" s="5">
        <f t="shared" si="57"/>
        <v>320</v>
      </c>
      <c r="T178" s="5">
        <v>99.99</v>
      </c>
      <c r="U178" s="29" t="s">
        <v>1211</v>
      </c>
      <c r="V178" s="29" t="s">
        <v>1211</v>
      </c>
      <c r="W178" s="5"/>
      <c r="X178" s="5"/>
      <c r="Y178" s="5"/>
      <c r="Z178" s="5"/>
      <c r="AA178" s="5"/>
    </row>
    <row r="179" s="1" customFormat="1" hidden="1" customHeight="1" spans="1:27">
      <c r="A179" s="5"/>
      <c r="B179" s="5"/>
      <c r="C179" s="1" t="s">
        <v>1212</v>
      </c>
      <c r="D179" s="1" t="s">
        <v>1213</v>
      </c>
      <c r="E179" s="1">
        <v>5</v>
      </c>
      <c r="F179" s="1" t="s">
        <v>1214</v>
      </c>
      <c r="G179" s="39" t="s">
        <v>1215</v>
      </c>
      <c r="H179" s="39" t="s">
        <v>1216</v>
      </c>
      <c r="I179" s="39" t="s">
        <v>1217</v>
      </c>
      <c r="J179" s="39" t="s">
        <v>1218</v>
      </c>
      <c r="L179" s="39" t="s">
        <v>1219</v>
      </c>
      <c r="M179" s="1">
        <f t="shared" si="42"/>
        <v>32200</v>
      </c>
      <c r="N179" s="1">
        <f t="shared" si="43"/>
        <v>33900</v>
      </c>
      <c r="O179" s="1">
        <f t="shared" si="54"/>
        <v>15100</v>
      </c>
      <c r="P179" s="1">
        <f t="shared" si="55"/>
        <v>15100</v>
      </c>
      <c r="Q179" s="1">
        <v>0</v>
      </c>
      <c r="R179" s="5">
        <f t="shared" si="56"/>
        <v>227</v>
      </c>
      <c r="S179" s="5">
        <f t="shared" si="57"/>
        <v>328</v>
      </c>
      <c r="T179" s="5">
        <v>99.99</v>
      </c>
      <c r="U179" s="29" t="s">
        <v>1220</v>
      </c>
      <c r="V179" s="29" t="s">
        <v>1220</v>
      </c>
      <c r="W179" s="5"/>
      <c r="X179" s="5"/>
      <c r="Y179" s="5"/>
      <c r="Z179" s="5"/>
      <c r="AA179" s="5"/>
    </row>
    <row r="180" s="1" customFormat="1" hidden="1" customHeight="1" spans="1:27">
      <c r="A180" s="5"/>
      <c r="B180" s="5"/>
      <c r="C180" s="1" t="s">
        <v>1221</v>
      </c>
      <c r="D180" s="1" t="s">
        <v>1222</v>
      </c>
      <c r="E180" s="1">
        <v>5</v>
      </c>
      <c r="F180" s="1" t="s">
        <v>1223</v>
      </c>
      <c r="G180" s="39" t="s">
        <v>1224</v>
      </c>
      <c r="H180" s="39" t="s">
        <v>1225</v>
      </c>
      <c r="I180" s="39" t="s">
        <v>1226</v>
      </c>
      <c r="J180" s="39" t="s">
        <v>1227</v>
      </c>
      <c r="L180" s="39" t="s">
        <v>1228</v>
      </c>
      <c r="M180" s="1">
        <f t="shared" si="42"/>
        <v>32800</v>
      </c>
      <c r="N180" s="1">
        <f t="shared" si="43"/>
        <v>34500</v>
      </c>
      <c r="O180" s="1">
        <f t="shared" si="54"/>
        <v>15600</v>
      </c>
      <c r="P180" s="1">
        <f t="shared" si="55"/>
        <v>15600</v>
      </c>
      <c r="Q180" s="1">
        <v>0</v>
      </c>
      <c r="R180" s="5">
        <f t="shared" si="56"/>
        <v>234</v>
      </c>
      <c r="S180" s="5">
        <f t="shared" si="57"/>
        <v>336</v>
      </c>
      <c r="T180" s="5">
        <v>99.99</v>
      </c>
      <c r="U180" s="29" t="s">
        <v>1229</v>
      </c>
      <c r="V180" s="29" t="s">
        <v>1229</v>
      </c>
      <c r="W180" s="5"/>
      <c r="X180" s="5"/>
      <c r="Y180" s="5"/>
      <c r="Z180" s="5"/>
      <c r="AA180" s="5"/>
    </row>
    <row r="181" s="3" customFormat="1" customHeight="1" spans="1:27">
      <c r="A181" s="22"/>
      <c r="B181" s="22"/>
      <c r="C181" s="3">
        <v>10176</v>
      </c>
      <c r="D181" s="3">
        <v>1175</v>
      </c>
      <c r="E181" s="3">
        <v>6</v>
      </c>
      <c r="F181" s="3" t="s">
        <v>1230</v>
      </c>
      <c r="G181" s="40" t="s">
        <v>1231</v>
      </c>
      <c r="H181" s="40" t="s">
        <v>1232</v>
      </c>
      <c r="I181" s="40" t="s">
        <v>1233</v>
      </c>
      <c r="J181" s="40" t="s">
        <v>1234</v>
      </c>
      <c r="K181" s="35" t="s">
        <v>1235</v>
      </c>
      <c r="L181" s="40" t="s">
        <v>1236</v>
      </c>
      <c r="M181" s="3">
        <v>43000</v>
      </c>
      <c r="N181" s="3">
        <v>43000</v>
      </c>
      <c r="O181" s="3">
        <v>22000</v>
      </c>
      <c r="P181" s="3">
        <v>22000</v>
      </c>
      <c r="Q181" s="3">
        <v>50</v>
      </c>
      <c r="R181" s="22">
        <f t="shared" ref="R181:R190" si="58">R180+9</f>
        <v>243</v>
      </c>
      <c r="S181" s="22">
        <f>S180+10</f>
        <v>346</v>
      </c>
      <c r="T181" s="22">
        <v>99.99</v>
      </c>
      <c r="U181" s="35" t="s">
        <v>1237</v>
      </c>
      <c r="V181" s="35" t="s">
        <v>1237</v>
      </c>
      <c r="Y181" s="22"/>
      <c r="Z181" s="22"/>
      <c r="AA181" s="22"/>
    </row>
    <row r="182" s="2" customFormat="1" customHeight="1" spans="1:27">
      <c r="A182" s="16"/>
      <c r="B182" s="16"/>
      <c r="C182" s="2">
        <v>10177</v>
      </c>
      <c r="D182" s="2">
        <v>1176</v>
      </c>
      <c r="E182" s="2">
        <v>6</v>
      </c>
      <c r="F182" s="2" t="s">
        <v>1238</v>
      </c>
      <c r="G182" s="39" t="s">
        <v>1239</v>
      </c>
      <c r="H182" s="39" t="s">
        <v>1240</v>
      </c>
      <c r="I182" s="39" t="s">
        <v>1241</v>
      </c>
      <c r="J182" s="39" t="s">
        <v>1242</v>
      </c>
      <c r="K182" s="41" t="s">
        <v>1243</v>
      </c>
      <c r="L182" s="39" t="s">
        <v>1244</v>
      </c>
      <c r="M182" s="2">
        <f t="shared" ref="M182:M185" si="59">M181+1000</f>
        <v>44000</v>
      </c>
      <c r="N182" s="2">
        <f t="shared" ref="N182:N185" si="60">N181+1000</f>
        <v>44000</v>
      </c>
      <c r="O182" s="2">
        <f t="shared" ref="O182:O185" si="61">O181+500</f>
        <v>22500</v>
      </c>
      <c r="P182" s="2">
        <f t="shared" ref="P182:P185" si="62">P181+500</f>
        <v>22500</v>
      </c>
      <c r="Q182" s="2">
        <f t="shared" ref="Q182:Q215" si="63">Q181+3</f>
        <v>53</v>
      </c>
      <c r="R182" s="16">
        <f t="shared" si="58"/>
        <v>252</v>
      </c>
      <c r="S182" s="5">
        <f>S181+10</f>
        <v>356</v>
      </c>
      <c r="T182" s="16">
        <v>99.99</v>
      </c>
      <c r="U182" s="41" t="s">
        <v>1245</v>
      </c>
      <c r="V182" s="41" t="s">
        <v>1245</v>
      </c>
      <c r="Y182" s="16"/>
      <c r="Z182" s="16"/>
      <c r="AA182" s="16"/>
    </row>
    <row r="183" s="2" customFormat="1" customHeight="1" spans="1:27">
      <c r="A183" s="16"/>
      <c r="B183" s="16"/>
      <c r="C183" s="2">
        <v>10178</v>
      </c>
      <c r="D183" s="2">
        <v>1177</v>
      </c>
      <c r="E183" s="2">
        <v>6</v>
      </c>
      <c r="F183" s="2" t="s">
        <v>1246</v>
      </c>
      <c r="G183" s="39" t="s">
        <v>1247</v>
      </c>
      <c r="H183" s="39" t="s">
        <v>1248</v>
      </c>
      <c r="I183" s="39" t="s">
        <v>1249</v>
      </c>
      <c r="J183" s="39" t="s">
        <v>1250</v>
      </c>
      <c r="K183" s="41" t="s">
        <v>1251</v>
      </c>
      <c r="L183" s="39" t="s">
        <v>1252</v>
      </c>
      <c r="M183" s="2">
        <f t="shared" si="59"/>
        <v>45000</v>
      </c>
      <c r="N183" s="2">
        <f t="shared" si="60"/>
        <v>45000</v>
      </c>
      <c r="O183" s="2">
        <f t="shared" si="61"/>
        <v>23000</v>
      </c>
      <c r="P183" s="2">
        <f t="shared" si="62"/>
        <v>23000</v>
      </c>
      <c r="Q183" s="2">
        <f t="shared" si="63"/>
        <v>56</v>
      </c>
      <c r="R183" s="16">
        <f t="shared" si="58"/>
        <v>261</v>
      </c>
      <c r="S183" s="5">
        <f>S182+10</f>
        <v>366</v>
      </c>
      <c r="T183" s="16">
        <v>99.99</v>
      </c>
      <c r="U183" s="41" t="s">
        <v>1253</v>
      </c>
      <c r="V183" s="41" t="s">
        <v>1253</v>
      </c>
      <c r="Y183" s="16"/>
      <c r="Z183" s="16"/>
      <c r="AA183" s="16"/>
    </row>
    <row r="184" s="2" customFormat="1" customHeight="1" spans="1:27">
      <c r="A184" s="16"/>
      <c r="B184" s="16"/>
      <c r="C184" s="2">
        <v>10179</v>
      </c>
      <c r="D184" s="2">
        <v>1178</v>
      </c>
      <c r="E184" s="2">
        <v>6</v>
      </c>
      <c r="F184" s="2" t="s">
        <v>1254</v>
      </c>
      <c r="G184" s="39" t="s">
        <v>1255</v>
      </c>
      <c r="H184" s="39" t="s">
        <v>1256</v>
      </c>
      <c r="I184" s="39" t="s">
        <v>1257</v>
      </c>
      <c r="J184" s="39" t="s">
        <v>1258</v>
      </c>
      <c r="K184" s="41" t="s">
        <v>1259</v>
      </c>
      <c r="L184" s="39" t="s">
        <v>1260</v>
      </c>
      <c r="M184" s="2">
        <f t="shared" si="59"/>
        <v>46000</v>
      </c>
      <c r="N184" s="2">
        <f t="shared" si="60"/>
        <v>46000</v>
      </c>
      <c r="O184" s="2">
        <f t="shared" si="61"/>
        <v>23500</v>
      </c>
      <c r="P184" s="2">
        <f t="shared" si="62"/>
        <v>23500</v>
      </c>
      <c r="Q184" s="2">
        <f t="shared" si="63"/>
        <v>59</v>
      </c>
      <c r="R184" s="16">
        <f t="shared" si="58"/>
        <v>270</v>
      </c>
      <c r="S184" s="5">
        <f>S183+10</f>
        <v>376</v>
      </c>
      <c r="T184" s="16">
        <v>99.99</v>
      </c>
      <c r="U184" s="41" t="s">
        <v>1261</v>
      </c>
      <c r="V184" s="41" t="s">
        <v>1261</v>
      </c>
      <c r="Y184" s="16"/>
      <c r="Z184" s="16"/>
      <c r="AA184" s="16"/>
    </row>
    <row r="185" s="2" customFormat="1" customHeight="1" spans="1:27">
      <c r="A185" s="16"/>
      <c r="B185" s="16"/>
      <c r="C185" s="2">
        <v>10180</v>
      </c>
      <c r="D185" s="2">
        <v>1179</v>
      </c>
      <c r="E185" s="2">
        <v>6</v>
      </c>
      <c r="F185" s="2" t="s">
        <v>1262</v>
      </c>
      <c r="G185" s="39" t="s">
        <v>1263</v>
      </c>
      <c r="H185" s="39" t="s">
        <v>1264</v>
      </c>
      <c r="I185" s="39" t="s">
        <v>1265</v>
      </c>
      <c r="J185" s="39" t="s">
        <v>1266</v>
      </c>
      <c r="K185" s="41" t="s">
        <v>1267</v>
      </c>
      <c r="L185" s="39" t="s">
        <v>1268</v>
      </c>
      <c r="M185" s="2">
        <f t="shared" si="59"/>
        <v>47000</v>
      </c>
      <c r="N185" s="2">
        <f t="shared" si="60"/>
        <v>47000</v>
      </c>
      <c r="O185" s="2">
        <f t="shared" si="61"/>
        <v>24000</v>
      </c>
      <c r="P185" s="2">
        <f t="shared" si="62"/>
        <v>24000</v>
      </c>
      <c r="Q185" s="2">
        <f t="shared" si="63"/>
        <v>62</v>
      </c>
      <c r="R185" s="16">
        <f t="shared" si="58"/>
        <v>279</v>
      </c>
      <c r="S185" s="5">
        <f>S184+10</f>
        <v>386</v>
      </c>
      <c r="T185" s="16">
        <v>99.99</v>
      </c>
      <c r="U185" s="41" t="s">
        <v>1269</v>
      </c>
      <c r="V185" s="41" t="s">
        <v>1269</v>
      </c>
      <c r="Y185" s="16"/>
      <c r="Z185" s="16"/>
      <c r="AA185" s="16"/>
    </row>
    <row r="186" s="8" customFormat="1" customHeight="1" spans="1:27">
      <c r="A186" s="7"/>
      <c r="B186" s="7"/>
      <c r="C186" s="8">
        <v>10181</v>
      </c>
      <c r="D186" s="8">
        <v>1180</v>
      </c>
      <c r="E186" s="8">
        <v>6</v>
      </c>
      <c r="F186" s="8" t="s">
        <v>1270</v>
      </c>
      <c r="G186" s="39" t="s">
        <v>1271</v>
      </c>
      <c r="H186" s="37" t="s">
        <v>1272</v>
      </c>
      <c r="I186" s="37" t="s">
        <v>1273</v>
      </c>
      <c r="J186" s="37" t="s">
        <v>1274</v>
      </c>
      <c r="K186" s="41" t="s">
        <v>1275</v>
      </c>
      <c r="L186" s="37" t="s">
        <v>1276</v>
      </c>
      <c r="M186" s="8">
        <f t="shared" si="42"/>
        <v>47600</v>
      </c>
      <c r="N186" s="8">
        <f t="shared" si="43"/>
        <v>47600</v>
      </c>
      <c r="O186" s="8">
        <f t="shared" ref="O181:O200" si="64">O185+250</f>
        <v>24250</v>
      </c>
      <c r="P186" s="8">
        <f t="shared" ref="P181:P200" si="65">P185+250</f>
        <v>24250</v>
      </c>
      <c r="Q186" s="8">
        <f t="shared" si="63"/>
        <v>65</v>
      </c>
      <c r="R186" s="7">
        <f t="shared" ref="R186:R200" si="66">R185+10</f>
        <v>289</v>
      </c>
      <c r="S186" s="7">
        <f t="shared" ref="S186:S190" si="67">S185+12</f>
        <v>398</v>
      </c>
      <c r="T186" s="7">
        <v>99.99</v>
      </c>
      <c r="U186" s="42" t="s">
        <v>1277</v>
      </c>
      <c r="V186" s="42" t="s">
        <v>1277</v>
      </c>
      <c r="W186" s="7"/>
      <c r="X186" s="7"/>
      <c r="Y186" s="7"/>
      <c r="Z186" s="7"/>
      <c r="AA186" s="7"/>
    </row>
    <row r="187" s="9" customFormat="1" customHeight="1" spans="1:27">
      <c r="A187" s="12"/>
      <c r="B187" s="12"/>
      <c r="C187" s="9">
        <v>10182</v>
      </c>
      <c r="D187" s="9">
        <v>1181</v>
      </c>
      <c r="E187" s="9">
        <v>6</v>
      </c>
      <c r="F187" s="9" t="s">
        <v>1278</v>
      </c>
      <c r="G187" s="39" t="s">
        <v>1279</v>
      </c>
      <c r="H187" s="37" t="s">
        <v>1280</v>
      </c>
      <c r="I187" s="37" t="s">
        <v>1281</v>
      </c>
      <c r="J187" s="37" t="s">
        <v>1282</v>
      </c>
      <c r="K187" s="41" t="s">
        <v>1283</v>
      </c>
      <c r="L187" s="37" t="s">
        <v>1284</v>
      </c>
      <c r="M187" s="9">
        <f t="shared" si="42"/>
        <v>48200</v>
      </c>
      <c r="N187" s="9">
        <f t="shared" si="43"/>
        <v>48200</v>
      </c>
      <c r="O187" s="9">
        <f t="shared" si="64"/>
        <v>24500</v>
      </c>
      <c r="P187" s="9">
        <f t="shared" si="65"/>
        <v>24500</v>
      </c>
      <c r="Q187" s="9">
        <f t="shared" si="63"/>
        <v>68</v>
      </c>
      <c r="R187" s="12">
        <f t="shared" si="66"/>
        <v>299</v>
      </c>
      <c r="S187" s="12">
        <f t="shared" si="67"/>
        <v>410</v>
      </c>
      <c r="T187" s="12">
        <v>99.99</v>
      </c>
      <c r="U187" s="38" t="s">
        <v>1285</v>
      </c>
      <c r="V187" s="38" t="s">
        <v>1285</v>
      </c>
      <c r="W187" s="12"/>
      <c r="X187" s="12"/>
      <c r="Y187" s="12"/>
      <c r="Z187" s="12"/>
      <c r="AA187" s="12"/>
    </row>
    <row r="188" s="9" customFormat="1" customHeight="1" spans="1:27">
      <c r="A188" s="12"/>
      <c r="B188" s="12"/>
      <c r="C188" s="9">
        <v>10183</v>
      </c>
      <c r="D188" s="9">
        <v>1182</v>
      </c>
      <c r="E188" s="9">
        <v>6</v>
      </c>
      <c r="F188" s="9" t="s">
        <v>1286</v>
      </c>
      <c r="G188" s="39" t="s">
        <v>1232</v>
      </c>
      <c r="H188" s="37" t="s">
        <v>1287</v>
      </c>
      <c r="I188" s="37" t="s">
        <v>1288</v>
      </c>
      <c r="J188" s="37" t="s">
        <v>1289</v>
      </c>
      <c r="K188" s="41" t="s">
        <v>1290</v>
      </c>
      <c r="L188" s="37" t="s">
        <v>1255</v>
      </c>
      <c r="M188" s="9">
        <f t="shared" si="42"/>
        <v>48800</v>
      </c>
      <c r="N188" s="9">
        <f t="shared" si="43"/>
        <v>48800</v>
      </c>
      <c r="O188" s="9">
        <f t="shared" si="64"/>
        <v>24750</v>
      </c>
      <c r="P188" s="9">
        <f t="shared" si="65"/>
        <v>24750</v>
      </c>
      <c r="Q188" s="9">
        <f t="shared" si="63"/>
        <v>71</v>
      </c>
      <c r="R188" s="12">
        <f t="shared" si="66"/>
        <v>309</v>
      </c>
      <c r="S188" s="12">
        <f t="shared" si="67"/>
        <v>422</v>
      </c>
      <c r="T188" s="12">
        <v>99.99</v>
      </c>
      <c r="U188" s="38" t="s">
        <v>1291</v>
      </c>
      <c r="V188" s="38" t="s">
        <v>1291</v>
      </c>
      <c r="W188" s="12"/>
      <c r="X188" s="12"/>
      <c r="Y188" s="12"/>
      <c r="Z188" s="12"/>
      <c r="AA188" s="12"/>
    </row>
    <row r="189" s="9" customFormat="1" customHeight="1" spans="1:27">
      <c r="A189" s="12"/>
      <c r="B189" s="12"/>
      <c r="C189" s="9">
        <v>10184</v>
      </c>
      <c r="D189" s="9">
        <v>1183</v>
      </c>
      <c r="E189" s="9">
        <v>6</v>
      </c>
      <c r="F189" s="9" t="s">
        <v>1292</v>
      </c>
      <c r="G189" s="39" t="s">
        <v>1293</v>
      </c>
      <c r="H189" s="37" t="s">
        <v>1294</v>
      </c>
      <c r="I189" s="37" t="s">
        <v>1295</v>
      </c>
      <c r="J189" s="37" t="s">
        <v>1296</v>
      </c>
      <c r="K189" s="41" t="s">
        <v>1297</v>
      </c>
      <c r="L189" s="37" t="s">
        <v>1298</v>
      </c>
      <c r="M189" s="9">
        <f t="shared" si="42"/>
        <v>49400</v>
      </c>
      <c r="N189" s="9">
        <f t="shared" si="43"/>
        <v>49400</v>
      </c>
      <c r="O189" s="9">
        <f t="shared" si="64"/>
        <v>25000</v>
      </c>
      <c r="P189" s="9">
        <f t="shared" si="65"/>
        <v>25000</v>
      </c>
      <c r="Q189" s="9">
        <f t="shared" si="63"/>
        <v>74</v>
      </c>
      <c r="R189" s="12">
        <f t="shared" si="66"/>
        <v>319</v>
      </c>
      <c r="S189" s="12">
        <f t="shared" si="67"/>
        <v>434</v>
      </c>
      <c r="T189" s="12">
        <v>99.99</v>
      </c>
      <c r="U189" s="38" t="s">
        <v>1299</v>
      </c>
      <c r="V189" s="38" t="s">
        <v>1299</v>
      </c>
      <c r="W189" s="12"/>
      <c r="X189" s="12"/>
      <c r="Y189" s="12"/>
      <c r="Z189" s="12"/>
      <c r="AA189" s="12"/>
    </row>
    <row r="190" s="9" customFormat="1" customHeight="1" spans="1:27">
      <c r="A190" s="12"/>
      <c r="B190" s="12"/>
      <c r="C190" s="9">
        <v>10185</v>
      </c>
      <c r="D190" s="9">
        <v>1184</v>
      </c>
      <c r="E190" s="9">
        <v>6</v>
      </c>
      <c r="F190" s="9" t="s">
        <v>1300</v>
      </c>
      <c r="G190" s="39" t="s">
        <v>1301</v>
      </c>
      <c r="H190" s="37" t="s">
        <v>1302</v>
      </c>
      <c r="I190" s="37" t="s">
        <v>1303</v>
      </c>
      <c r="J190" s="37" t="s">
        <v>1304</v>
      </c>
      <c r="K190" s="41" t="s">
        <v>1305</v>
      </c>
      <c r="L190" s="37" t="s">
        <v>1306</v>
      </c>
      <c r="M190" s="9">
        <f t="shared" si="42"/>
        <v>50000</v>
      </c>
      <c r="N190" s="9">
        <f t="shared" si="43"/>
        <v>50000</v>
      </c>
      <c r="O190" s="9">
        <f t="shared" si="64"/>
        <v>25250</v>
      </c>
      <c r="P190" s="9">
        <f t="shared" si="65"/>
        <v>25250</v>
      </c>
      <c r="Q190" s="9">
        <f t="shared" si="63"/>
        <v>77</v>
      </c>
      <c r="R190" s="12">
        <f t="shared" si="66"/>
        <v>329</v>
      </c>
      <c r="S190" s="12">
        <f t="shared" si="67"/>
        <v>446</v>
      </c>
      <c r="T190" s="12">
        <v>99.99</v>
      </c>
      <c r="U190" s="38" t="s">
        <v>1307</v>
      </c>
      <c r="V190" s="38" t="s">
        <v>1307</v>
      </c>
      <c r="W190" s="12"/>
      <c r="X190" s="12"/>
      <c r="Y190" s="12"/>
      <c r="Z190" s="12"/>
      <c r="AA190" s="12"/>
    </row>
    <row r="191" s="8" customFormat="1" customHeight="1" spans="1:27">
      <c r="A191" s="7"/>
      <c r="B191" s="7"/>
      <c r="C191" s="8">
        <v>10186</v>
      </c>
      <c r="D191" s="8">
        <v>1185</v>
      </c>
      <c r="E191" s="8">
        <v>6</v>
      </c>
      <c r="F191" s="8" t="s">
        <v>1308</v>
      </c>
      <c r="G191" s="39" t="s">
        <v>1248</v>
      </c>
      <c r="H191" s="37" t="s">
        <v>1302</v>
      </c>
      <c r="I191" s="37" t="s">
        <v>1309</v>
      </c>
      <c r="J191" s="37" t="s">
        <v>1183</v>
      </c>
      <c r="K191" s="41" t="s">
        <v>1310</v>
      </c>
      <c r="L191" s="37" t="s">
        <v>1311</v>
      </c>
      <c r="M191" s="8">
        <f t="shared" si="42"/>
        <v>50600</v>
      </c>
      <c r="N191" s="8">
        <f t="shared" si="43"/>
        <v>50600</v>
      </c>
      <c r="O191" s="8">
        <f t="shared" si="64"/>
        <v>25500</v>
      </c>
      <c r="P191" s="8">
        <f t="shared" si="65"/>
        <v>25500</v>
      </c>
      <c r="Q191" s="8">
        <f t="shared" si="63"/>
        <v>80</v>
      </c>
      <c r="R191" s="7">
        <f t="shared" si="66"/>
        <v>339</v>
      </c>
      <c r="S191" s="7">
        <f t="shared" ref="S191:S200" si="68">S190+10</f>
        <v>456</v>
      </c>
      <c r="T191" s="7">
        <v>99.99</v>
      </c>
      <c r="U191" s="42" t="s">
        <v>1312</v>
      </c>
      <c r="V191" s="42" t="s">
        <v>1312</v>
      </c>
      <c r="W191" s="7"/>
      <c r="X191" s="7"/>
      <c r="Y191" s="7"/>
      <c r="Z191" s="7"/>
      <c r="AA191" s="7"/>
    </row>
    <row r="192" s="9" customFormat="1" customHeight="1" spans="1:27">
      <c r="A192" s="12"/>
      <c r="B192" s="12"/>
      <c r="C192" s="9">
        <v>10187</v>
      </c>
      <c r="D192" s="9">
        <v>1186</v>
      </c>
      <c r="E192" s="9">
        <v>6</v>
      </c>
      <c r="F192" s="9" t="s">
        <v>1313</v>
      </c>
      <c r="G192" s="39" t="s">
        <v>1314</v>
      </c>
      <c r="H192" s="37" t="s">
        <v>1302</v>
      </c>
      <c r="I192" s="37" t="s">
        <v>1315</v>
      </c>
      <c r="J192" s="37" t="s">
        <v>1316</v>
      </c>
      <c r="K192" s="41" t="s">
        <v>1317</v>
      </c>
      <c r="L192" s="37" t="s">
        <v>1279</v>
      </c>
      <c r="M192" s="9">
        <f t="shared" si="42"/>
        <v>51200</v>
      </c>
      <c r="N192" s="9">
        <f t="shared" si="43"/>
        <v>51200</v>
      </c>
      <c r="O192" s="9">
        <f t="shared" si="64"/>
        <v>25750</v>
      </c>
      <c r="P192" s="9">
        <f t="shared" si="65"/>
        <v>25750</v>
      </c>
      <c r="Q192" s="9">
        <f t="shared" si="63"/>
        <v>83</v>
      </c>
      <c r="R192" s="12">
        <f t="shared" si="66"/>
        <v>349</v>
      </c>
      <c r="S192" s="12">
        <f t="shared" si="68"/>
        <v>466</v>
      </c>
      <c r="T192" s="12">
        <v>99.99</v>
      </c>
      <c r="U192" s="38" t="s">
        <v>1318</v>
      </c>
      <c r="V192" s="38" t="s">
        <v>1318</v>
      </c>
      <c r="W192" s="12"/>
      <c r="X192" s="12"/>
      <c r="Y192" s="12"/>
      <c r="Z192" s="12"/>
      <c r="AA192" s="12"/>
    </row>
    <row r="193" s="9" customFormat="1" customHeight="1" spans="1:27">
      <c r="A193" s="12"/>
      <c r="B193" s="12"/>
      <c r="C193" s="9">
        <v>10188</v>
      </c>
      <c r="D193" s="9">
        <v>1187</v>
      </c>
      <c r="E193" s="9">
        <v>6</v>
      </c>
      <c r="F193" s="9" t="s">
        <v>1319</v>
      </c>
      <c r="G193" s="39" t="s">
        <v>1256</v>
      </c>
      <c r="H193" s="37" t="s">
        <v>1302</v>
      </c>
      <c r="I193" s="37" t="s">
        <v>1320</v>
      </c>
      <c r="J193" s="37" t="s">
        <v>1321</v>
      </c>
      <c r="K193" s="41" t="s">
        <v>1322</v>
      </c>
      <c r="L193" s="37" t="s">
        <v>1323</v>
      </c>
      <c r="M193" s="9">
        <f t="shared" si="42"/>
        <v>51800</v>
      </c>
      <c r="N193" s="9">
        <f t="shared" si="43"/>
        <v>51800</v>
      </c>
      <c r="O193" s="9">
        <f t="shared" si="64"/>
        <v>26000</v>
      </c>
      <c r="P193" s="9">
        <f t="shared" si="65"/>
        <v>26000</v>
      </c>
      <c r="Q193" s="9">
        <f t="shared" si="63"/>
        <v>86</v>
      </c>
      <c r="R193" s="12">
        <f t="shared" si="66"/>
        <v>359</v>
      </c>
      <c r="S193" s="12">
        <f t="shared" si="68"/>
        <v>476</v>
      </c>
      <c r="T193" s="12">
        <v>99.99</v>
      </c>
      <c r="U193" s="38" t="s">
        <v>432</v>
      </c>
      <c r="V193" s="38" t="s">
        <v>432</v>
      </c>
      <c r="W193" s="12"/>
      <c r="X193" s="12"/>
      <c r="Y193" s="12"/>
      <c r="Z193" s="12"/>
      <c r="AA193" s="12"/>
    </row>
    <row r="194" s="9" customFormat="1" customHeight="1" spans="1:27">
      <c r="A194" s="12"/>
      <c r="B194" s="12"/>
      <c r="C194" s="9">
        <v>10189</v>
      </c>
      <c r="D194" s="9">
        <v>1188</v>
      </c>
      <c r="E194" s="9">
        <v>6</v>
      </c>
      <c r="F194" s="9" t="s">
        <v>1324</v>
      </c>
      <c r="G194" s="39" t="s">
        <v>1154</v>
      </c>
      <c r="H194" s="37" t="s">
        <v>1302</v>
      </c>
      <c r="I194" s="37" t="s">
        <v>1325</v>
      </c>
      <c r="J194" s="37" t="s">
        <v>1326</v>
      </c>
      <c r="K194" s="41" t="s">
        <v>1327</v>
      </c>
      <c r="L194" s="37" t="s">
        <v>1328</v>
      </c>
      <c r="M194" s="9">
        <f t="shared" si="42"/>
        <v>52400</v>
      </c>
      <c r="N194" s="9">
        <f t="shared" si="43"/>
        <v>52400</v>
      </c>
      <c r="O194" s="9">
        <f t="shared" si="64"/>
        <v>26250</v>
      </c>
      <c r="P194" s="9">
        <f t="shared" si="65"/>
        <v>26250</v>
      </c>
      <c r="Q194" s="9">
        <f t="shared" si="63"/>
        <v>89</v>
      </c>
      <c r="R194" s="12">
        <f t="shared" si="66"/>
        <v>369</v>
      </c>
      <c r="S194" s="12">
        <f t="shared" si="68"/>
        <v>486</v>
      </c>
      <c r="T194" s="12">
        <v>99.99</v>
      </c>
      <c r="U194" s="38" t="s">
        <v>1329</v>
      </c>
      <c r="V194" s="38" t="s">
        <v>1329</v>
      </c>
      <c r="W194" s="12"/>
      <c r="X194" s="12"/>
      <c r="Y194" s="12"/>
      <c r="Z194" s="12"/>
      <c r="AA194" s="12"/>
    </row>
    <row r="195" s="9" customFormat="1" customHeight="1" spans="1:27">
      <c r="A195" s="12"/>
      <c r="B195" s="12"/>
      <c r="C195" s="9">
        <v>10190</v>
      </c>
      <c r="D195" s="9">
        <v>1189</v>
      </c>
      <c r="E195" s="9">
        <v>6</v>
      </c>
      <c r="F195" s="9" t="s">
        <v>1330</v>
      </c>
      <c r="G195" s="39" t="s">
        <v>1264</v>
      </c>
      <c r="H195" s="37" t="s">
        <v>1302</v>
      </c>
      <c r="I195" s="37" t="s">
        <v>1331</v>
      </c>
      <c r="J195" s="37" t="s">
        <v>1332</v>
      </c>
      <c r="K195" s="41" t="s">
        <v>1333</v>
      </c>
      <c r="L195" s="37" t="s">
        <v>1293</v>
      </c>
      <c r="M195" s="9">
        <f t="shared" si="42"/>
        <v>53000</v>
      </c>
      <c r="N195" s="9">
        <f t="shared" si="43"/>
        <v>53000</v>
      </c>
      <c r="O195" s="9">
        <f t="shared" si="64"/>
        <v>26500</v>
      </c>
      <c r="P195" s="9">
        <f t="shared" si="65"/>
        <v>26500</v>
      </c>
      <c r="Q195" s="9">
        <f t="shared" si="63"/>
        <v>92</v>
      </c>
      <c r="R195" s="12">
        <f t="shared" si="66"/>
        <v>379</v>
      </c>
      <c r="S195" s="12">
        <f t="shared" si="68"/>
        <v>496</v>
      </c>
      <c r="T195" s="12">
        <v>99.99</v>
      </c>
      <c r="U195" s="38" t="s">
        <v>1334</v>
      </c>
      <c r="V195" s="38" t="s">
        <v>1334</v>
      </c>
      <c r="W195" s="12"/>
      <c r="X195" s="12"/>
      <c r="Y195" s="12"/>
      <c r="Z195" s="12"/>
      <c r="AA195" s="12"/>
    </row>
    <row r="196" s="8" customFormat="1" customHeight="1" spans="1:27">
      <c r="A196" s="7"/>
      <c r="B196" s="7"/>
      <c r="C196" s="8">
        <v>10191</v>
      </c>
      <c r="D196" s="8">
        <v>1190</v>
      </c>
      <c r="E196" s="8">
        <v>6</v>
      </c>
      <c r="F196" s="8" t="s">
        <v>1335</v>
      </c>
      <c r="G196" s="39" t="s">
        <v>1336</v>
      </c>
      <c r="H196" s="37" t="s">
        <v>1302</v>
      </c>
      <c r="I196" s="37" t="s">
        <v>1337</v>
      </c>
      <c r="J196" s="37" t="s">
        <v>1338</v>
      </c>
      <c r="K196" s="41" t="s">
        <v>1339</v>
      </c>
      <c r="L196" s="37" t="s">
        <v>1301</v>
      </c>
      <c r="M196" s="8">
        <f t="shared" si="42"/>
        <v>53600</v>
      </c>
      <c r="N196" s="8">
        <f t="shared" si="43"/>
        <v>53600</v>
      </c>
      <c r="O196" s="8">
        <f t="shared" si="64"/>
        <v>26750</v>
      </c>
      <c r="P196" s="8">
        <f t="shared" si="65"/>
        <v>26750</v>
      </c>
      <c r="Q196" s="8">
        <f t="shared" si="63"/>
        <v>95</v>
      </c>
      <c r="R196" s="7">
        <f t="shared" si="66"/>
        <v>389</v>
      </c>
      <c r="S196" s="7">
        <f t="shared" si="68"/>
        <v>506</v>
      </c>
      <c r="T196" s="7">
        <v>99.99</v>
      </c>
      <c r="U196" s="42" t="s">
        <v>1340</v>
      </c>
      <c r="V196" s="42" t="s">
        <v>1340</v>
      </c>
      <c r="W196" s="7"/>
      <c r="X196" s="7"/>
      <c r="Y196" s="7"/>
      <c r="Z196" s="7"/>
      <c r="AA196" s="7"/>
    </row>
    <row r="197" s="9" customFormat="1" customHeight="1" spans="1:27">
      <c r="A197" s="12"/>
      <c r="B197" s="12"/>
      <c r="C197" s="9">
        <v>10192</v>
      </c>
      <c r="D197" s="9">
        <v>1191</v>
      </c>
      <c r="E197" s="9">
        <v>6</v>
      </c>
      <c r="F197" s="9" t="s">
        <v>1341</v>
      </c>
      <c r="G197" s="39" t="s">
        <v>1342</v>
      </c>
      <c r="H197" s="37" t="s">
        <v>1302</v>
      </c>
      <c r="I197" s="37" t="s">
        <v>1343</v>
      </c>
      <c r="J197" s="37" t="s">
        <v>1344</v>
      </c>
      <c r="K197" s="41" t="s">
        <v>1345</v>
      </c>
      <c r="L197" s="37" t="s">
        <v>1248</v>
      </c>
      <c r="M197" s="9">
        <f t="shared" si="42"/>
        <v>54200</v>
      </c>
      <c r="N197" s="9">
        <f t="shared" si="43"/>
        <v>54200</v>
      </c>
      <c r="O197" s="9">
        <f t="shared" si="64"/>
        <v>27000</v>
      </c>
      <c r="P197" s="9">
        <f t="shared" si="65"/>
        <v>27000</v>
      </c>
      <c r="Q197" s="9">
        <f t="shared" si="63"/>
        <v>98</v>
      </c>
      <c r="R197" s="12">
        <f t="shared" si="66"/>
        <v>399</v>
      </c>
      <c r="S197" s="12">
        <f t="shared" si="68"/>
        <v>516</v>
      </c>
      <c r="T197" s="12">
        <v>99.99</v>
      </c>
      <c r="U197" s="38" t="s">
        <v>1346</v>
      </c>
      <c r="V197" s="38" t="s">
        <v>1346</v>
      </c>
      <c r="W197" s="12"/>
      <c r="X197" s="12"/>
      <c r="Y197" s="12"/>
      <c r="Z197" s="12"/>
      <c r="AA197" s="12"/>
    </row>
    <row r="198" s="9" customFormat="1" customHeight="1" spans="1:27">
      <c r="A198" s="12"/>
      <c r="B198" s="12"/>
      <c r="C198" s="9">
        <v>10193</v>
      </c>
      <c r="D198" s="9">
        <v>1192</v>
      </c>
      <c r="E198" s="9">
        <v>6</v>
      </c>
      <c r="F198" s="9" t="s">
        <v>1347</v>
      </c>
      <c r="G198" s="39" t="s">
        <v>1280</v>
      </c>
      <c r="H198" s="37" t="s">
        <v>1302</v>
      </c>
      <c r="I198" s="37" t="s">
        <v>1348</v>
      </c>
      <c r="J198" s="37" t="s">
        <v>1349</v>
      </c>
      <c r="K198" s="41" t="s">
        <v>1350</v>
      </c>
      <c r="L198" s="37" t="s">
        <v>1314</v>
      </c>
      <c r="M198" s="9">
        <f t="shared" si="42"/>
        <v>54800</v>
      </c>
      <c r="N198" s="9">
        <f t="shared" si="43"/>
        <v>54800</v>
      </c>
      <c r="O198" s="9">
        <f t="shared" si="64"/>
        <v>27250</v>
      </c>
      <c r="P198" s="9">
        <f t="shared" si="65"/>
        <v>27250</v>
      </c>
      <c r="Q198" s="9">
        <f t="shared" si="63"/>
        <v>101</v>
      </c>
      <c r="R198" s="12">
        <f t="shared" si="66"/>
        <v>409</v>
      </c>
      <c r="S198" s="12">
        <f t="shared" si="68"/>
        <v>526</v>
      </c>
      <c r="T198" s="12">
        <v>99.99</v>
      </c>
      <c r="U198" s="38" t="s">
        <v>1351</v>
      </c>
      <c r="V198" s="38" t="s">
        <v>1351</v>
      </c>
      <c r="W198" s="12"/>
      <c r="X198" s="12"/>
      <c r="Y198" s="12"/>
      <c r="Z198" s="12"/>
      <c r="AA198" s="12"/>
    </row>
    <row r="199" s="9" customFormat="1" customHeight="1" spans="1:27">
      <c r="A199" s="12"/>
      <c r="B199" s="12"/>
      <c r="C199" s="9">
        <v>10194</v>
      </c>
      <c r="D199" s="9">
        <v>1193</v>
      </c>
      <c r="E199" s="9">
        <v>6</v>
      </c>
      <c r="F199" s="9" t="s">
        <v>1352</v>
      </c>
      <c r="G199" s="39" t="s">
        <v>1353</v>
      </c>
      <c r="H199" s="37" t="s">
        <v>1302</v>
      </c>
      <c r="I199" s="37" t="s">
        <v>1354</v>
      </c>
      <c r="J199" s="37" t="s">
        <v>1355</v>
      </c>
      <c r="K199" s="41" t="s">
        <v>1356</v>
      </c>
      <c r="L199" s="37" t="s">
        <v>1256</v>
      </c>
      <c r="M199" s="9">
        <f t="shared" si="42"/>
        <v>55400</v>
      </c>
      <c r="N199" s="9">
        <f t="shared" si="43"/>
        <v>55400</v>
      </c>
      <c r="O199" s="9">
        <f t="shared" si="64"/>
        <v>27500</v>
      </c>
      <c r="P199" s="9">
        <f t="shared" si="65"/>
        <v>27500</v>
      </c>
      <c r="Q199" s="9">
        <f t="shared" si="63"/>
        <v>104</v>
      </c>
      <c r="R199" s="12">
        <f t="shared" si="66"/>
        <v>419</v>
      </c>
      <c r="S199" s="12">
        <f t="shared" si="68"/>
        <v>536</v>
      </c>
      <c r="T199" s="12">
        <v>99.99</v>
      </c>
      <c r="U199" s="38" t="s">
        <v>1357</v>
      </c>
      <c r="V199" s="38" t="s">
        <v>1357</v>
      </c>
      <c r="W199" s="12"/>
      <c r="X199" s="12"/>
      <c r="Y199" s="12"/>
      <c r="Z199" s="12"/>
      <c r="AA199" s="12"/>
    </row>
    <row r="200" s="9" customFormat="1" customHeight="1" spans="1:27">
      <c r="A200" s="12"/>
      <c r="B200" s="12"/>
      <c r="C200" s="9">
        <v>10195</v>
      </c>
      <c r="D200" s="9">
        <v>1194</v>
      </c>
      <c r="E200" s="9">
        <v>6</v>
      </c>
      <c r="F200" s="9" t="s">
        <v>1358</v>
      </c>
      <c r="G200" s="39" t="s">
        <v>1359</v>
      </c>
      <c r="H200" s="37" t="s">
        <v>1302</v>
      </c>
      <c r="I200" s="37" t="s">
        <v>1360</v>
      </c>
      <c r="J200" s="37" t="s">
        <v>1236</v>
      </c>
      <c r="K200" s="41" t="s">
        <v>1361</v>
      </c>
      <c r="L200" s="37" t="s">
        <v>1154</v>
      </c>
      <c r="M200" s="9">
        <f t="shared" si="42"/>
        <v>56000</v>
      </c>
      <c r="N200" s="9">
        <f t="shared" si="43"/>
        <v>56000</v>
      </c>
      <c r="O200" s="9">
        <f t="shared" si="64"/>
        <v>27750</v>
      </c>
      <c r="P200" s="9">
        <f t="shared" si="65"/>
        <v>27750</v>
      </c>
      <c r="Q200" s="9">
        <f t="shared" si="63"/>
        <v>107</v>
      </c>
      <c r="R200" s="12">
        <f t="shared" si="66"/>
        <v>429</v>
      </c>
      <c r="S200" s="12">
        <f t="shared" si="68"/>
        <v>546</v>
      </c>
      <c r="T200" s="12">
        <v>99.99</v>
      </c>
      <c r="U200" s="38" t="s">
        <v>1362</v>
      </c>
      <c r="V200" s="38" t="s">
        <v>1362</v>
      </c>
      <c r="W200" s="12"/>
      <c r="X200" s="12"/>
      <c r="Y200" s="12"/>
      <c r="Z200" s="12"/>
      <c r="AA200" s="12"/>
    </row>
    <row r="201" s="7" customFormat="1" customHeight="1" spans="1:27">
      <c r="C201" s="8">
        <v>10196</v>
      </c>
      <c r="D201" s="8">
        <v>1195</v>
      </c>
      <c r="E201" s="8">
        <v>6</v>
      </c>
      <c r="F201" s="8" t="s">
        <v>1363</v>
      </c>
      <c r="G201" s="37" t="s">
        <v>1364</v>
      </c>
      <c r="H201" s="37" t="s">
        <v>1302</v>
      </c>
      <c r="I201" s="37" t="s">
        <v>1365</v>
      </c>
      <c r="J201" s="37" t="s">
        <v>1366</v>
      </c>
      <c r="K201" s="41" t="s">
        <v>1242</v>
      </c>
      <c r="L201" s="37" t="s">
        <v>1264</v>
      </c>
      <c r="M201" s="8">
        <f t="shared" ref="M201:P201" si="69">M200+5000</f>
        <v>61000</v>
      </c>
      <c r="N201" s="8">
        <f t="shared" si="69"/>
        <v>61000</v>
      </c>
      <c r="O201" s="8">
        <f t="shared" si="69"/>
        <v>32750</v>
      </c>
      <c r="P201" s="8">
        <f t="shared" si="69"/>
        <v>32750</v>
      </c>
      <c r="Q201" s="8">
        <f t="shared" ref="Q201:Q215" si="70">Q200+6</f>
        <v>113</v>
      </c>
      <c r="R201" s="7">
        <f t="shared" ref="R201:R215" si="71">R200+15</f>
        <v>444</v>
      </c>
      <c r="S201" s="7">
        <f t="shared" ref="S201:S215" si="72">S200+15</f>
        <v>561</v>
      </c>
      <c r="T201" s="7">
        <v>99.99</v>
      </c>
      <c r="U201" s="42" t="s">
        <v>1367</v>
      </c>
      <c r="V201" s="42" t="s">
        <v>1367</v>
      </c>
      <c r="W201" s="8"/>
      <c r="X201" s="8"/>
    </row>
    <row r="202" s="12" customFormat="1" customHeight="1" spans="1:27">
      <c r="C202" s="9">
        <v>10197</v>
      </c>
      <c r="D202" s="9">
        <v>1196</v>
      </c>
      <c r="E202" s="9">
        <v>6</v>
      </c>
      <c r="F202" s="9" t="s">
        <v>1368</v>
      </c>
      <c r="G202" s="37" t="s">
        <v>1369</v>
      </c>
      <c r="H202" s="37" t="s">
        <v>1302</v>
      </c>
      <c r="I202" s="37" t="s">
        <v>1370</v>
      </c>
      <c r="J202" s="37" t="s">
        <v>1371</v>
      </c>
      <c r="K202" s="41" t="s">
        <v>1372</v>
      </c>
      <c r="L202" s="37" t="s">
        <v>1336</v>
      </c>
      <c r="M202" s="9">
        <f t="shared" ref="M202:P202" si="73">M201+5000</f>
        <v>66000</v>
      </c>
      <c r="N202" s="9">
        <f t="shared" si="73"/>
        <v>66000</v>
      </c>
      <c r="O202" s="9">
        <f t="shared" si="73"/>
        <v>37750</v>
      </c>
      <c r="P202" s="9">
        <f t="shared" si="73"/>
        <v>37750</v>
      </c>
      <c r="Q202" s="9">
        <f t="shared" si="70"/>
        <v>119</v>
      </c>
      <c r="R202" s="7">
        <f t="shared" si="71"/>
        <v>459</v>
      </c>
      <c r="S202" s="12">
        <f t="shared" si="72"/>
        <v>576</v>
      </c>
      <c r="T202" s="12">
        <v>99.99</v>
      </c>
      <c r="U202" s="38" t="s">
        <v>1373</v>
      </c>
      <c r="V202" s="38" t="s">
        <v>1373</v>
      </c>
      <c r="W202" s="9"/>
      <c r="X202" s="9"/>
    </row>
    <row r="203" s="12" customFormat="1" customHeight="1" spans="1:27">
      <c r="C203" s="9">
        <v>10198</v>
      </c>
      <c r="D203" s="9">
        <v>1197</v>
      </c>
      <c r="E203" s="9">
        <v>6</v>
      </c>
      <c r="F203" s="9" t="s">
        <v>1374</v>
      </c>
      <c r="G203" s="37" t="s">
        <v>1375</v>
      </c>
      <c r="H203" s="37" t="s">
        <v>1302</v>
      </c>
      <c r="I203" s="37" t="s">
        <v>1376</v>
      </c>
      <c r="J203" s="37" t="s">
        <v>1377</v>
      </c>
      <c r="K203" s="41" t="s">
        <v>1266</v>
      </c>
      <c r="L203" s="37" t="s">
        <v>1342</v>
      </c>
      <c r="M203" s="9">
        <f t="shared" ref="M203:P203" si="74">M202+5000</f>
        <v>71000</v>
      </c>
      <c r="N203" s="9">
        <f t="shared" si="74"/>
        <v>71000</v>
      </c>
      <c r="O203" s="9">
        <f t="shared" si="74"/>
        <v>42750</v>
      </c>
      <c r="P203" s="9">
        <f t="shared" si="74"/>
        <v>42750</v>
      </c>
      <c r="Q203" s="9">
        <f t="shared" si="70"/>
        <v>125</v>
      </c>
      <c r="R203" s="7">
        <f t="shared" si="71"/>
        <v>474</v>
      </c>
      <c r="S203" s="12">
        <f t="shared" si="72"/>
        <v>591</v>
      </c>
      <c r="T203" s="12">
        <v>99.99</v>
      </c>
      <c r="U203" s="38" t="s">
        <v>1378</v>
      </c>
      <c r="V203" s="38" t="s">
        <v>1378</v>
      </c>
      <c r="W203" s="9"/>
      <c r="X203" s="9"/>
    </row>
    <row r="204" s="12" customFormat="1" customHeight="1" spans="1:27">
      <c r="C204" s="9">
        <v>10199</v>
      </c>
      <c r="D204" s="9">
        <v>1198</v>
      </c>
      <c r="E204" s="9">
        <v>6</v>
      </c>
      <c r="F204" s="9" t="s">
        <v>1379</v>
      </c>
      <c r="G204" s="37" t="s">
        <v>1380</v>
      </c>
      <c r="H204" s="37" t="s">
        <v>1302</v>
      </c>
      <c r="I204" s="37" t="s">
        <v>1381</v>
      </c>
      <c r="J204" s="37" t="s">
        <v>1244</v>
      </c>
      <c r="K204" s="41" t="s">
        <v>1382</v>
      </c>
      <c r="L204" s="37" t="s">
        <v>1280</v>
      </c>
      <c r="M204" s="9">
        <f t="shared" ref="M204:P204" si="75">M203+5000</f>
        <v>76000</v>
      </c>
      <c r="N204" s="9">
        <f t="shared" si="75"/>
        <v>76000</v>
      </c>
      <c r="O204" s="9">
        <f t="shared" si="75"/>
        <v>47750</v>
      </c>
      <c r="P204" s="9">
        <f t="shared" si="75"/>
        <v>47750</v>
      </c>
      <c r="Q204" s="9">
        <f t="shared" si="70"/>
        <v>131</v>
      </c>
      <c r="R204" s="7">
        <f t="shared" si="71"/>
        <v>489</v>
      </c>
      <c r="S204" s="12">
        <f t="shared" si="72"/>
        <v>606</v>
      </c>
      <c r="T204" s="12">
        <v>99.99</v>
      </c>
      <c r="U204" s="38" t="s">
        <v>1383</v>
      </c>
      <c r="V204" s="38" t="s">
        <v>1383</v>
      </c>
      <c r="W204" s="9"/>
      <c r="X204" s="9"/>
    </row>
    <row r="205" s="12" customFormat="1" customHeight="1" spans="1:27">
      <c r="C205" s="9">
        <v>10200</v>
      </c>
      <c r="D205" s="9">
        <v>1199</v>
      </c>
      <c r="E205" s="9">
        <v>6</v>
      </c>
      <c r="F205" s="9" t="s">
        <v>1384</v>
      </c>
      <c r="G205" s="37" t="s">
        <v>1385</v>
      </c>
      <c r="H205" s="37" t="s">
        <v>1302</v>
      </c>
      <c r="I205" s="37" t="s">
        <v>1386</v>
      </c>
      <c r="J205" s="37" t="s">
        <v>1387</v>
      </c>
      <c r="K205" s="41" t="s">
        <v>1289</v>
      </c>
      <c r="L205" s="37" t="s">
        <v>1353</v>
      </c>
      <c r="M205" s="9">
        <f>M204+5000</f>
        <v>81000</v>
      </c>
      <c r="N205" s="9">
        <f>N204+5000</f>
        <v>81000</v>
      </c>
      <c r="O205" s="9">
        <f>O204+5000</f>
        <v>52750</v>
      </c>
      <c r="P205" s="9">
        <f>P204+5000</f>
        <v>52750</v>
      </c>
      <c r="Q205" s="9">
        <f t="shared" si="70"/>
        <v>137</v>
      </c>
      <c r="R205" s="7">
        <f t="shared" si="71"/>
        <v>504</v>
      </c>
      <c r="S205" s="12">
        <f t="shared" si="72"/>
        <v>621</v>
      </c>
      <c r="T205" s="12">
        <v>99.99</v>
      </c>
      <c r="U205" s="38" t="s">
        <v>1388</v>
      </c>
      <c r="V205" s="38" t="s">
        <v>1388</v>
      </c>
      <c r="W205" s="9"/>
      <c r="X205" s="9"/>
    </row>
    <row r="206" s="7" customFormat="1" customHeight="1" spans="1:27">
      <c r="C206" s="8">
        <v>10201</v>
      </c>
      <c r="D206" s="8">
        <v>1200</v>
      </c>
      <c r="E206" s="8">
        <v>6</v>
      </c>
      <c r="F206" s="8" t="s">
        <v>1389</v>
      </c>
      <c r="G206" s="37" t="s">
        <v>1249</v>
      </c>
      <c r="H206" s="37" t="s">
        <v>1302</v>
      </c>
      <c r="I206" s="37" t="s">
        <v>1390</v>
      </c>
      <c r="J206" s="37" t="s">
        <v>1391</v>
      </c>
      <c r="K206" s="41" t="s">
        <v>1392</v>
      </c>
      <c r="L206" s="37" t="s">
        <v>1359</v>
      </c>
      <c r="M206" s="8">
        <f t="shared" ref="M206:M210" si="76">M205+10000</f>
        <v>91000</v>
      </c>
      <c r="N206" s="8">
        <f t="shared" ref="N206:N210" si="77">N205+10000</f>
        <v>91000</v>
      </c>
      <c r="O206" s="8">
        <f t="shared" ref="O206:O210" si="78">O205+10000</f>
        <v>62750</v>
      </c>
      <c r="P206" s="8">
        <f t="shared" ref="P206:P210" si="79">P205+10000</f>
        <v>62750</v>
      </c>
      <c r="Q206" s="8">
        <f t="shared" si="70"/>
        <v>143</v>
      </c>
      <c r="R206" s="7">
        <f t="shared" si="71"/>
        <v>519</v>
      </c>
      <c r="S206" s="7">
        <f t="shared" si="72"/>
        <v>636</v>
      </c>
      <c r="T206" s="7">
        <v>99.99</v>
      </c>
      <c r="U206" s="42" t="s">
        <v>1393</v>
      </c>
      <c r="V206" s="42" t="s">
        <v>1393</v>
      </c>
      <c r="W206" s="8"/>
      <c r="X206" s="8"/>
    </row>
    <row r="207" s="12" customFormat="1" customHeight="1" spans="1:27">
      <c r="C207" s="9">
        <v>10202</v>
      </c>
      <c r="D207" s="9">
        <v>1201</v>
      </c>
      <c r="E207" s="9">
        <v>6</v>
      </c>
      <c r="F207" s="9" t="s">
        <v>1394</v>
      </c>
      <c r="G207" s="37" t="s">
        <v>1395</v>
      </c>
      <c r="H207" s="37" t="s">
        <v>1302</v>
      </c>
      <c r="I207" s="37" t="s">
        <v>1396</v>
      </c>
      <c r="J207" s="37" t="s">
        <v>1397</v>
      </c>
      <c r="K207" s="41" t="s">
        <v>1183</v>
      </c>
      <c r="L207" s="37" t="s">
        <v>1294</v>
      </c>
      <c r="M207" s="9">
        <f t="shared" si="76"/>
        <v>101000</v>
      </c>
      <c r="N207" s="9">
        <f t="shared" si="77"/>
        <v>101000</v>
      </c>
      <c r="O207" s="9">
        <f t="shared" si="78"/>
        <v>72750</v>
      </c>
      <c r="P207" s="9">
        <f t="shared" si="79"/>
        <v>72750</v>
      </c>
      <c r="Q207" s="8">
        <f t="shared" si="70"/>
        <v>149</v>
      </c>
      <c r="R207" s="7">
        <f t="shared" si="71"/>
        <v>534</v>
      </c>
      <c r="S207" s="12">
        <f t="shared" si="72"/>
        <v>651</v>
      </c>
      <c r="T207" s="12">
        <v>99.99</v>
      </c>
      <c r="U207" s="38" t="s">
        <v>1398</v>
      </c>
      <c r="V207" s="38" t="s">
        <v>1398</v>
      </c>
      <c r="W207" s="9"/>
      <c r="X207" s="9"/>
    </row>
    <row r="208" s="12" customFormat="1" customHeight="1" spans="1:27">
      <c r="C208" s="9">
        <v>10203</v>
      </c>
      <c r="D208" s="9">
        <v>1202</v>
      </c>
      <c r="E208" s="9">
        <v>6</v>
      </c>
      <c r="F208" s="9" t="s">
        <v>1399</v>
      </c>
      <c r="G208" s="37" t="s">
        <v>1257</v>
      </c>
      <c r="H208" s="37" t="s">
        <v>1302</v>
      </c>
      <c r="I208" s="37" t="s">
        <v>1400</v>
      </c>
      <c r="J208" s="37" t="s">
        <v>1252</v>
      </c>
      <c r="K208" s="41" t="s">
        <v>1401</v>
      </c>
      <c r="L208" s="37" t="s">
        <v>1233</v>
      </c>
      <c r="M208" s="9">
        <f t="shared" si="76"/>
        <v>111000</v>
      </c>
      <c r="N208" s="9">
        <f t="shared" si="77"/>
        <v>111000</v>
      </c>
      <c r="O208" s="9">
        <f t="shared" si="78"/>
        <v>82750</v>
      </c>
      <c r="P208" s="9">
        <f t="shared" si="79"/>
        <v>82750</v>
      </c>
      <c r="Q208" s="8">
        <f t="shared" si="70"/>
        <v>155</v>
      </c>
      <c r="R208" s="7">
        <f t="shared" si="71"/>
        <v>549</v>
      </c>
      <c r="S208" s="12">
        <f t="shared" si="72"/>
        <v>666</v>
      </c>
      <c r="T208" s="12">
        <v>99.99</v>
      </c>
      <c r="U208" s="38" t="s">
        <v>1402</v>
      </c>
      <c r="V208" s="38" t="s">
        <v>1402</v>
      </c>
      <c r="W208" s="9"/>
      <c r="X208" s="9"/>
    </row>
    <row r="209" s="12" customFormat="1" customHeight="1" spans="1:28">
      <c r="C209" s="9">
        <v>10204</v>
      </c>
      <c r="D209" s="9">
        <v>1203</v>
      </c>
      <c r="E209" s="9">
        <v>6</v>
      </c>
      <c r="F209" s="9" t="s">
        <v>1403</v>
      </c>
      <c r="G209" s="37" t="s">
        <v>1404</v>
      </c>
      <c r="H209" s="37" t="s">
        <v>1302</v>
      </c>
      <c r="I209" s="37" t="s">
        <v>1405</v>
      </c>
      <c r="J209" s="37" t="s">
        <v>1406</v>
      </c>
      <c r="K209" s="41" t="s">
        <v>1326</v>
      </c>
      <c r="L209" s="37" t="s">
        <v>1407</v>
      </c>
      <c r="M209" s="9">
        <f t="shared" si="76"/>
        <v>121000</v>
      </c>
      <c r="N209" s="9">
        <f t="shared" si="77"/>
        <v>121000</v>
      </c>
      <c r="O209" s="9">
        <f t="shared" si="78"/>
        <v>92750</v>
      </c>
      <c r="P209" s="9">
        <f t="shared" si="79"/>
        <v>92750</v>
      </c>
      <c r="Q209" s="8">
        <f t="shared" si="70"/>
        <v>161</v>
      </c>
      <c r="R209" s="7">
        <f t="shared" si="71"/>
        <v>564</v>
      </c>
      <c r="S209" s="12">
        <f t="shared" si="72"/>
        <v>681</v>
      </c>
      <c r="T209" s="12">
        <v>99.99</v>
      </c>
      <c r="U209" s="38" t="s">
        <v>1408</v>
      </c>
      <c r="V209" s="38" t="s">
        <v>1408</v>
      </c>
      <c r="W209" s="9"/>
      <c r="X209" s="9"/>
    </row>
    <row r="210" s="12" customFormat="1" customHeight="1" spans="1:28">
      <c r="C210" s="9">
        <v>10205</v>
      </c>
      <c r="D210" s="9">
        <v>1204</v>
      </c>
      <c r="E210" s="9">
        <v>6</v>
      </c>
      <c r="F210" s="9" t="s">
        <v>1409</v>
      </c>
      <c r="G210" s="37" t="s">
        <v>1410</v>
      </c>
      <c r="H210" s="37" t="s">
        <v>1302</v>
      </c>
      <c r="I210" s="37" t="s">
        <v>1411</v>
      </c>
      <c r="J210" s="37" t="s">
        <v>1412</v>
      </c>
      <c r="K210" s="41" t="s">
        <v>1338</v>
      </c>
      <c r="L210" s="37" t="s">
        <v>1241</v>
      </c>
      <c r="M210" s="9">
        <f t="shared" si="76"/>
        <v>131000</v>
      </c>
      <c r="N210" s="9">
        <f t="shared" si="77"/>
        <v>131000</v>
      </c>
      <c r="O210" s="9">
        <f t="shared" si="78"/>
        <v>102750</v>
      </c>
      <c r="P210" s="9">
        <f t="shared" si="79"/>
        <v>102750</v>
      </c>
      <c r="Q210" s="8">
        <f t="shared" si="70"/>
        <v>167</v>
      </c>
      <c r="R210" s="7">
        <f t="shared" si="71"/>
        <v>579</v>
      </c>
      <c r="S210" s="12">
        <f t="shared" si="72"/>
        <v>696</v>
      </c>
      <c r="T210" s="12">
        <v>99.99</v>
      </c>
      <c r="U210" s="38" t="s">
        <v>1413</v>
      </c>
      <c r="V210" s="38" t="s">
        <v>1413</v>
      </c>
      <c r="W210" s="9"/>
      <c r="X210" s="9"/>
    </row>
    <row r="211" s="9" customFormat="1" customHeight="1" spans="1:28">
      <c r="A211" s="12"/>
      <c r="B211" s="12"/>
      <c r="C211" s="9">
        <v>10206</v>
      </c>
      <c r="D211" s="9">
        <v>1205</v>
      </c>
      <c r="E211" s="9">
        <v>6</v>
      </c>
      <c r="F211" s="9" t="s">
        <v>1414</v>
      </c>
      <c r="G211" s="37" t="s">
        <v>1273</v>
      </c>
      <c r="H211" s="37" t="s">
        <v>1302</v>
      </c>
      <c r="I211" s="37" t="s">
        <v>1415</v>
      </c>
      <c r="J211" s="37" t="s">
        <v>1416</v>
      </c>
      <c r="K211" s="41" t="s">
        <v>1355</v>
      </c>
      <c r="L211" s="37" t="s">
        <v>1417</v>
      </c>
      <c r="M211" s="9">
        <f t="shared" ref="M211:M215" si="80">M210+20000</f>
        <v>151000</v>
      </c>
      <c r="N211" s="9">
        <f t="shared" ref="N211:N215" si="81">N210+20000</f>
        <v>151000</v>
      </c>
      <c r="O211" s="9">
        <f t="shared" ref="O211:O215" si="82">O210+20000</f>
        <v>122750</v>
      </c>
      <c r="P211" s="9">
        <f t="shared" ref="P211:P215" si="83">P210+20000</f>
        <v>122750</v>
      </c>
      <c r="Q211" s="8">
        <f t="shared" si="70"/>
        <v>173</v>
      </c>
      <c r="R211" s="7">
        <f t="shared" si="71"/>
        <v>594</v>
      </c>
      <c r="S211" s="12">
        <f t="shared" ref="S211:S215" si="84">S210+20</f>
        <v>716</v>
      </c>
      <c r="T211" s="12">
        <v>99.99</v>
      </c>
      <c r="U211" s="38" t="s">
        <v>1418</v>
      </c>
      <c r="V211" s="38" t="s">
        <v>1418</v>
      </c>
      <c r="W211" s="12"/>
      <c r="X211" s="12"/>
      <c r="Y211" s="12"/>
      <c r="Z211" s="12"/>
      <c r="AA211" s="12"/>
    </row>
    <row r="212" s="9" customFormat="1" customHeight="1" spans="1:28">
      <c r="A212" s="12"/>
      <c r="B212" s="12"/>
      <c r="C212" s="9">
        <v>10207</v>
      </c>
      <c r="D212" s="9">
        <v>1206</v>
      </c>
      <c r="E212" s="9">
        <v>6</v>
      </c>
      <c r="F212" s="9" t="s">
        <v>1419</v>
      </c>
      <c r="G212" s="37" t="s">
        <v>1420</v>
      </c>
      <c r="H212" s="37" t="s">
        <v>1302</v>
      </c>
      <c r="I212" s="37" t="s">
        <v>1421</v>
      </c>
      <c r="J212" s="37" t="s">
        <v>1260</v>
      </c>
      <c r="K212" s="41" t="s">
        <v>1371</v>
      </c>
      <c r="L212" s="37" t="s">
        <v>1249</v>
      </c>
      <c r="M212" s="9">
        <f t="shared" si="80"/>
        <v>171000</v>
      </c>
      <c r="N212" s="9">
        <f t="shared" si="81"/>
        <v>171000</v>
      </c>
      <c r="O212" s="9">
        <f t="shared" si="82"/>
        <v>142750</v>
      </c>
      <c r="P212" s="9">
        <f t="shared" si="83"/>
        <v>142750</v>
      </c>
      <c r="Q212" s="8">
        <f t="shared" si="70"/>
        <v>179</v>
      </c>
      <c r="R212" s="7">
        <f t="shared" si="71"/>
        <v>609</v>
      </c>
      <c r="S212" s="12">
        <f t="shared" si="84"/>
        <v>736</v>
      </c>
      <c r="T212" s="12">
        <v>99.99</v>
      </c>
      <c r="U212" s="38" t="s">
        <v>1422</v>
      </c>
      <c r="V212" s="38" t="s">
        <v>1422</v>
      </c>
      <c r="W212" s="12"/>
      <c r="X212" s="12"/>
      <c r="Y212" s="12"/>
      <c r="Z212" s="12"/>
      <c r="AA212" s="12"/>
    </row>
    <row r="213" s="9" customFormat="1" customHeight="1" spans="1:28">
      <c r="A213" s="12"/>
      <c r="B213" s="12"/>
      <c r="C213" s="9">
        <v>10208</v>
      </c>
      <c r="D213" s="9">
        <v>1207</v>
      </c>
      <c r="E213" s="9">
        <v>6</v>
      </c>
      <c r="F213" s="9" t="s">
        <v>1423</v>
      </c>
      <c r="G213" s="37" t="s">
        <v>1424</v>
      </c>
      <c r="H213" s="37" t="s">
        <v>1302</v>
      </c>
      <c r="I213" s="37" t="s">
        <v>1425</v>
      </c>
      <c r="J213" s="37" t="s">
        <v>1231</v>
      </c>
      <c r="K213" s="41" t="s">
        <v>1387</v>
      </c>
      <c r="L213" s="37" t="s">
        <v>1395</v>
      </c>
      <c r="M213" s="9">
        <f t="shared" si="80"/>
        <v>191000</v>
      </c>
      <c r="N213" s="9">
        <f t="shared" si="81"/>
        <v>191000</v>
      </c>
      <c r="O213" s="9">
        <f t="shared" si="82"/>
        <v>162750</v>
      </c>
      <c r="P213" s="9">
        <f t="shared" si="83"/>
        <v>162750</v>
      </c>
      <c r="Q213" s="8">
        <f t="shared" si="70"/>
        <v>185</v>
      </c>
      <c r="R213" s="7">
        <f t="shared" si="71"/>
        <v>624</v>
      </c>
      <c r="S213" s="12">
        <f t="shared" si="84"/>
        <v>756</v>
      </c>
      <c r="T213" s="12">
        <v>99.99</v>
      </c>
      <c r="U213" s="38" t="s">
        <v>1426</v>
      </c>
      <c r="V213" s="38" t="s">
        <v>1426</v>
      </c>
      <c r="W213" s="12"/>
      <c r="X213" s="12"/>
      <c r="Y213" s="12"/>
      <c r="Z213" s="12"/>
      <c r="AA213" s="12"/>
    </row>
    <row r="214" s="9" customFormat="1" customHeight="1" spans="1:28">
      <c r="A214" s="12"/>
      <c r="B214" s="12"/>
      <c r="C214" s="9">
        <v>10209</v>
      </c>
      <c r="D214" s="9">
        <v>1208</v>
      </c>
      <c r="E214" s="9">
        <v>6</v>
      </c>
      <c r="F214" s="9" t="s">
        <v>1427</v>
      </c>
      <c r="G214" s="37" t="s">
        <v>1288</v>
      </c>
      <c r="H214" s="37" t="s">
        <v>1302</v>
      </c>
      <c r="I214" s="37" t="s">
        <v>1428</v>
      </c>
      <c r="J214" s="37" t="s">
        <v>1429</v>
      </c>
      <c r="K214" s="41" t="s">
        <v>1252</v>
      </c>
      <c r="L214" s="37" t="s">
        <v>1257</v>
      </c>
      <c r="M214" s="9">
        <f t="shared" si="80"/>
        <v>211000</v>
      </c>
      <c r="N214" s="9">
        <f t="shared" si="81"/>
        <v>211000</v>
      </c>
      <c r="O214" s="9">
        <f t="shared" si="82"/>
        <v>182750</v>
      </c>
      <c r="P214" s="9">
        <f t="shared" si="83"/>
        <v>182750</v>
      </c>
      <c r="Q214" s="8">
        <f t="shared" si="70"/>
        <v>191</v>
      </c>
      <c r="R214" s="7">
        <f t="shared" si="71"/>
        <v>639</v>
      </c>
      <c r="S214" s="12">
        <f t="shared" si="84"/>
        <v>776</v>
      </c>
      <c r="T214" s="12">
        <v>99.99</v>
      </c>
      <c r="U214" s="38" t="s">
        <v>1430</v>
      </c>
      <c r="V214" s="38" t="s">
        <v>1430</v>
      </c>
      <c r="W214" s="12"/>
      <c r="X214" s="12"/>
      <c r="Y214" s="12"/>
      <c r="Z214" s="12"/>
      <c r="AA214" s="12"/>
    </row>
    <row r="215" s="9" customFormat="1" customHeight="1" spans="1:28">
      <c r="A215" s="12"/>
      <c r="B215" s="12"/>
      <c r="C215" s="9">
        <v>10210</v>
      </c>
      <c r="D215" s="9">
        <v>1209</v>
      </c>
      <c r="E215" s="9">
        <v>6</v>
      </c>
      <c r="F215" s="9" t="s">
        <v>1431</v>
      </c>
      <c r="G215" s="37" t="s">
        <v>1432</v>
      </c>
      <c r="H215" s="37" t="s">
        <v>1302</v>
      </c>
      <c r="I215" s="37" t="s">
        <v>1433</v>
      </c>
      <c r="J215" s="37" t="s">
        <v>1434</v>
      </c>
      <c r="K215" s="41" t="s">
        <v>1416</v>
      </c>
      <c r="L215" s="37" t="s">
        <v>1404</v>
      </c>
      <c r="M215" s="9">
        <f t="shared" si="80"/>
        <v>231000</v>
      </c>
      <c r="N215" s="9">
        <f t="shared" si="81"/>
        <v>231000</v>
      </c>
      <c r="O215" s="9">
        <f t="shared" si="82"/>
        <v>202750</v>
      </c>
      <c r="P215" s="9">
        <f t="shared" si="83"/>
        <v>202750</v>
      </c>
      <c r="Q215" s="8">
        <f t="shared" si="70"/>
        <v>197</v>
      </c>
      <c r="R215" s="7">
        <f t="shared" si="71"/>
        <v>654</v>
      </c>
      <c r="S215" s="12">
        <f t="shared" si="84"/>
        <v>796</v>
      </c>
      <c r="T215" s="12">
        <v>99.99</v>
      </c>
      <c r="U215" s="38" t="s">
        <v>1435</v>
      </c>
      <c r="V215" s="38" t="s">
        <v>1435</v>
      </c>
      <c r="W215" s="12"/>
      <c r="X215" s="12"/>
      <c r="Y215" s="12"/>
      <c r="Z215" s="12"/>
      <c r="AA215" s="12"/>
    </row>
    <row r="216" s="3" customFormat="1" customHeight="1" spans="1:28">
      <c r="A216" s="12"/>
      <c r="B216" s="12"/>
      <c r="C216" s="9">
        <v>10211</v>
      </c>
      <c r="D216" s="9">
        <v>1210</v>
      </c>
      <c r="E216" s="9">
        <v>7</v>
      </c>
      <c r="F216" s="3" t="s">
        <v>1436</v>
      </c>
      <c r="G216" s="40" t="s">
        <v>1437</v>
      </c>
      <c r="H216" s="37" t="s">
        <v>1302</v>
      </c>
      <c r="I216" s="40" t="s">
        <v>1438</v>
      </c>
      <c r="J216" s="40" t="s">
        <v>1276</v>
      </c>
      <c r="K216" s="35" t="s">
        <v>1434</v>
      </c>
      <c r="L216" s="40" t="s">
        <v>1439</v>
      </c>
      <c r="M216" s="9">
        <f t="shared" ref="M216:P216" si="85">M215+30000</f>
        <v>261000</v>
      </c>
      <c r="N216" s="9">
        <f t="shared" si="85"/>
        <v>261000</v>
      </c>
      <c r="O216" s="9">
        <f t="shared" si="85"/>
        <v>232750</v>
      </c>
      <c r="P216" s="9">
        <f t="shared" si="85"/>
        <v>232750</v>
      </c>
      <c r="Q216" s="8">
        <f t="shared" ref="Q216:Q250" si="86">Q215+7</f>
        <v>204</v>
      </c>
      <c r="R216" s="7">
        <f t="shared" ref="R216:R251" si="87">R215+18</f>
        <v>672</v>
      </c>
      <c r="S216" s="12">
        <f t="shared" ref="S216:S251" si="88">S215+30</f>
        <v>826</v>
      </c>
      <c r="T216" s="12">
        <v>99.99</v>
      </c>
      <c r="U216" s="38" t="s">
        <v>1440</v>
      </c>
      <c r="V216" s="38" t="s">
        <v>1440</v>
      </c>
      <c r="W216" s="12"/>
      <c r="X216" s="12"/>
      <c r="Y216" s="12"/>
      <c r="Z216" s="12"/>
      <c r="AA216" s="12"/>
      <c r="AB216" s="9"/>
    </row>
    <row r="217" s="3" customFormat="1" customHeight="1" spans="1:28">
      <c r="A217" s="12"/>
      <c r="B217" s="12"/>
      <c r="C217" s="9">
        <v>10212</v>
      </c>
      <c r="D217" s="9">
        <v>1211</v>
      </c>
      <c r="E217" s="9">
        <v>7</v>
      </c>
      <c r="F217" s="2" t="s">
        <v>1441</v>
      </c>
      <c r="G217" s="39" t="s">
        <v>1381</v>
      </c>
      <c r="H217" s="37" t="s">
        <v>1302</v>
      </c>
      <c r="I217" s="39" t="s">
        <v>1442</v>
      </c>
      <c r="J217" s="41" t="s">
        <v>1284</v>
      </c>
      <c r="K217" s="41" t="s">
        <v>1276</v>
      </c>
      <c r="L217" s="39" t="s">
        <v>1443</v>
      </c>
      <c r="M217" s="9">
        <f t="shared" ref="M217:P217" si="89">M216+30000</f>
        <v>291000</v>
      </c>
      <c r="N217" s="9">
        <f t="shared" si="89"/>
        <v>291000</v>
      </c>
      <c r="O217" s="9">
        <f t="shared" si="89"/>
        <v>262750</v>
      </c>
      <c r="P217" s="9">
        <f t="shared" si="89"/>
        <v>262750</v>
      </c>
      <c r="Q217" s="8">
        <f t="shared" si="86"/>
        <v>211</v>
      </c>
      <c r="R217" s="7">
        <f t="shared" si="87"/>
        <v>690</v>
      </c>
      <c r="S217" s="12">
        <f t="shared" si="88"/>
        <v>856</v>
      </c>
      <c r="T217" s="12">
        <v>99.99</v>
      </c>
      <c r="U217" s="38" t="s">
        <v>1444</v>
      </c>
      <c r="V217" s="38" t="s">
        <v>1444</v>
      </c>
      <c r="W217" s="12"/>
      <c r="X217" s="12"/>
      <c r="Y217" s="12"/>
      <c r="Z217" s="12"/>
      <c r="AA217" s="12"/>
      <c r="AB217" s="9"/>
    </row>
    <row r="218" s="3" customFormat="1" customHeight="1" spans="1:28">
      <c r="A218" s="12"/>
      <c r="B218" s="12"/>
      <c r="C218" s="9">
        <v>10213</v>
      </c>
      <c r="D218" s="9">
        <v>1212</v>
      </c>
      <c r="E218" s="9">
        <v>7</v>
      </c>
      <c r="F218" s="2" t="s">
        <v>1445</v>
      </c>
      <c r="G218" s="39" t="s">
        <v>1446</v>
      </c>
      <c r="H218" s="37" t="s">
        <v>1302</v>
      </c>
      <c r="I218" s="39" t="s">
        <v>1447</v>
      </c>
      <c r="J218" s="39" t="s">
        <v>1255</v>
      </c>
      <c r="K218" s="39" t="s">
        <v>1448</v>
      </c>
      <c r="L218" s="39" t="s">
        <v>1449</v>
      </c>
      <c r="M218" s="9">
        <f t="shared" ref="M218:P218" si="90">M217+30000</f>
        <v>321000</v>
      </c>
      <c r="N218" s="9">
        <f t="shared" si="90"/>
        <v>321000</v>
      </c>
      <c r="O218" s="9">
        <f t="shared" si="90"/>
        <v>292750</v>
      </c>
      <c r="P218" s="9">
        <f t="shared" si="90"/>
        <v>292750</v>
      </c>
      <c r="Q218" s="8">
        <f t="shared" si="86"/>
        <v>218</v>
      </c>
      <c r="R218" s="7">
        <f t="shared" si="87"/>
        <v>708</v>
      </c>
      <c r="S218" s="12">
        <f t="shared" si="88"/>
        <v>886</v>
      </c>
      <c r="T218" s="12">
        <v>99.99</v>
      </c>
      <c r="U218" s="38" t="s">
        <v>1450</v>
      </c>
      <c r="V218" s="38" t="s">
        <v>1450</v>
      </c>
      <c r="W218" s="12"/>
      <c r="X218" s="12"/>
      <c r="Y218" s="12"/>
      <c r="Z218" s="12"/>
      <c r="AA218" s="12"/>
      <c r="AB218" s="9"/>
    </row>
    <row r="219" s="3" customFormat="1" customHeight="1" spans="1:28">
      <c r="A219" s="12"/>
      <c r="B219" s="12"/>
      <c r="C219" s="9">
        <v>10214</v>
      </c>
      <c r="D219" s="9">
        <v>1213</v>
      </c>
      <c r="E219" s="9">
        <v>7</v>
      </c>
      <c r="F219" s="2" t="s">
        <v>1451</v>
      </c>
      <c r="G219" s="39" t="s">
        <v>1405</v>
      </c>
      <c r="H219" s="37" t="s">
        <v>1302</v>
      </c>
      <c r="I219" s="39" t="s">
        <v>1452</v>
      </c>
      <c r="J219" s="39" t="s">
        <v>1298</v>
      </c>
      <c r="K219" s="39" t="s">
        <v>1453</v>
      </c>
      <c r="L219" s="39" t="s">
        <v>1354</v>
      </c>
      <c r="M219" s="9">
        <f t="shared" ref="M219:P219" si="91">M218+30000</f>
        <v>351000</v>
      </c>
      <c r="N219" s="9">
        <f t="shared" si="91"/>
        <v>351000</v>
      </c>
      <c r="O219" s="9">
        <f t="shared" si="91"/>
        <v>322750</v>
      </c>
      <c r="P219" s="9">
        <f t="shared" si="91"/>
        <v>322750</v>
      </c>
      <c r="Q219" s="8">
        <f t="shared" si="86"/>
        <v>225</v>
      </c>
      <c r="R219" s="7">
        <f t="shared" si="87"/>
        <v>726</v>
      </c>
      <c r="S219" s="12">
        <f t="shared" si="88"/>
        <v>916</v>
      </c>
      <c r="T219" s="12">
        <v>99.99</v>
      </c>
      <c r="U219" s="38" t="s">
        <v>1454</v>
      </c>
      <c r="V219" s="38" t="s">
        <v>1454</v>
      </c>
      <c r="W219" s="12"/>
      <c r="X219" s="12"/>
      <c r="Y219" s="12"/>
      <c r="Z219" s="12"/>
      <c r="AA219" s="12"/>
      <c r="AB219" s="9"/>
    </row>
    <row r="220" s="3" customFormat="1" customHeight="1" spans="1:28">
      <c r="A220" s="12"/>
      <c r="B220" s="12"/>
      <c r="C220" s="9">
        <v>10215</v>
      </c>
      <c r="D220" s="9">
        <v>1214</v>
      </c>
      <c r="E220" s="9">
        <v>7</v>
      </c>
      <c r="F220" s="2" t="s">
        <v>1455</v>
      </c>
      <c r="G220" s="39" t="s">
        <v>1456</v>
      </c>
      <c r="H220" s="37" t="s">
        <v>1302</v>
      </c>
      <c r="I220" s="39" t="s">
        <v>1457</v>
      </c>
      <c r="J220" s="39" t="s">
        <v>1306</v>
      </c>
      <c r="K220" s="39" t="s">
        <v>1306</v>
      </c>
      <c r="L220" s="39" t="s">
        <v>1437</v>
      </c>
      <c r="M220" s="9">
        <f t="shared" ref="M220:M250" si="92">M219+30000</f>
        <v>381000</v>
      </c>
      <c r="N220" s="9">
        <f t="shared" ref="N220:N250" si="93">N219+30000</f>
        <v>381000</v>
      </c>
      <c r="O220" s="9">
        <f t="shared" ref="O220:O250" si="94">O219+30000</f>
        <v>352750</v>
      </c>
      <c r="P220" s="9">
        <f t="shared" ref="P220:P250" si="95">P219+30000</f>
        <v>352750</v>
      </c>
      <c r="Q220" s="8">
        <f t="shared" si="86"/>
        <v>232</v>
      </c>
      <c r="R220" s="7">
        <f t="shared" si="87"/>
        <v>744</v>
      </c>
      <c r="S220" s="12">
        <f t="shared" si="88"/>
        <v>946</v>
      </c>
      <c r="T220" s="12">
        <v>99.99</v>
      </c>
      <c r="U220" s="38" t="s">
        <v>1458</v>
      </c>
      <c r="V220" s="38" t="s">
        <v>1458</v>
      </c>
      <c r="W220" s="12"/>
      <c r="X220" s="12"/>
      <c r="Y220" s="12"/>
      <c r="Z220" s="12"/>
      <c r="AA220" s="12"/>
      <c r="AB220" s="9"/>
    </row>
    <row r="221" s="3" customFormat="1" customHeight="1" spans="1:28">
      <c r="A221" s="12"/>
      <c r="B221" s="12"/>
      <c r="C221" s="9">
        <v>10216</v>
      </c>
      <c r="D221" s="9">
        <v>1215</v>
      </c>
      <c r="E221" s="9">
        <v>7</v>
      </c>
      <c r="F221" s="8" t="s">
        <v>1459</v>
      </c>
      <c r="G221" s="39" t="s">
        <v>1428</v>
      </c>
      <c r="H221" s="37" t="s">
        <v>1302</v>
      </c>
      <c r="I221" s="39" t="s">
        <v>1460</v>
      </c>
      <c r="J221" s="39" t="s">
        <v>1461</v>
      </c>
      <c r="K221" s="39" t="s">
        <v>1461</v>
      </c>
      <c r="L221" s="39" t="s">
        <v>1381</v>
      </c>
      <c r="M221" s="9">
        <f t="shared" si="92"/>
        <v>411000</v>
      </c>
      <c r="N221" s="9">
        <f t="shared" si="93"/>
        <v>411000</v>
      </c>
      <c r="O221" s="9">
        <f t="shared" si="94"/>
        <v>382750</v>
      </c>
      <c r="P221" s="9">
        <f t="shared" si="95"/>
        <v>382750</v>
      </c>
      <c r="Q221" s="8">
        <f t="shared" si="86"/>
        <v>239</v>
      </c>
      <c r="R221" s="7">
        <f t="shared" si="87"/>
        <v>762</v>
      </c>
      <c r="S221" s="12">
        <f t="shared" si="88"/>
        <v>976</v>
      </c>
      <c r="T221" s="12">
        <v>99.99</v>
      </c>
      <c r="U221" s="38" t="s">
        <v>1462</v>
      </c>
      <c r="V221" s="38" t="s">
        <v>1462</v>
      </c>
      <c r="W221" s="12"/>
      <c r="X221" s="12"/>
      <c r="Y221" s="12"/>
      <c r="Z221" s="12"/>
      <c r="AA221" s="12"/>
      <c r="AB221" s="9"/>
    </row>
    <row r="222" s="3" customFormat="1" customHeight="1" spans="1:28">
      <c r="A222" s="12"/>
      <c r="B222" s="12"/>
      <c r="C222" s="9">
        <v>10217</v>
      </c>
      <c r="D222" s="9">
        <v>1216</v>
      </c>
      <c r="E222" s="9">
        <v>7</v>
      </c>
      <c r="F222" s="9" t="s">
        <v>1463</v>
      </c>
      <c r="G222" s="39" t="s">
        <v>1438</v>
      </c>
      <c r="H222" s="37" t="s">
        <v>1302</v>
      </c>
      <c r="I222" s="39" t="s">
        <v>1464</v>
      </c>
      <c r="J222" s="39" t="s">
        <v>1323</v>
      </c>
      <c r="K222" s="39" t="s">
        <v>1323</v>
      </c>
      <c r="L222" s="39" t="s">
        <v>1446</v>
      </c>
      <c r="M222" s="9">
        <f t="shared" si="92"/>
        <v>441000</v>
      </c>
      <c r="N222" s="9">
        <f t="shared" si="93"/>
        <v>441000</v>
      </c>
      <c r="O222" s="9">
        <f t="shared" si="94"/>
        <v>412750</v>
      </c>
      <c r="P222" s="9">
        <f t="shared" si="95"/>
        <v>412750</v>
      </c>
      <c r="Q222" s="8">
        <f t="shared" si="86"/>
        <v>246</v>
      </c>
      <c r="R222" s="7">
        <f t="shared" si="87"/>
        <v>780</v>
      </c>
      <c r="S222" s="12">
        <f t="shared" si="88"/>
        <v>1006</v>
      </c>
      <c r="T222" s="12">
        <v>99.99</v>
      </c>
      <c r="U222" s="38" t="s">
        <v>1465</v>
      </c>
      <c r="V222" s="38" t="s">
        <v>1465</v>
      </c>
      <c r="W222" s="12"/>
      <c r="X222" s="12"/>
      <c r="Y222" s="12"/>
      <c r="Z222" s="12"/>
      <c r="AA222" s="12"/>
      <c r="AB222" s="9"/>
    </row>
    <row r="223" s="3" customFormat="1" customHeight="1" spans="1:28">
      <c r="A223" s="12"/>
      <c r="B223" s="12"/>
      <c r="C223" s="9">
        <v>10218</v>
      </c>
      <c r="D223" s="9">
        <v>1217</v>
      </c>
      <c r="E223" s="9">
        <v>7</v>
      </c>
      <c r="F223" s="9" t="s">
        <v>1466</v>
      </c>
      <c r="G223" s="39" t="s">
        <v>1467</v>
      </c>
      <c r="H223" s="37" t="s">
        <v>1302</v>
      </c>
      <c r="I223" s="39" t="s">
        <v>1468</v>
      </c>
      <c r="J223" s="39" t="s">
        <v>1469</v>
      </c>
      <c r="K223" s="39" t="s">
        <v>1469</v>
      </c>
      <c r="L223" s="39" t="s">
        <v>1405</v>
      </c>
      <c r="M223" s="9">
        <f t="shared" si="92"/>
        <v>471000</v>
      </c>
      <c r="N223" s="9">
        <f t="shared" si="93"/>
        <v>471000</v>
      </c>
      <c r="O223" s="9">
        <f t="shared" si="94"/>
        <v>442750</v>
      </c>
      <c r="P223" s="9">
        <f t="shared" si="95"/>
        <v>442750</v>
      </c>
      <c r="Q223" s="8">
        <f t="shared" si="86"/>
        <v>253</v>
      </c>
      <c r="R223" s="7">
        <f t="shared" si="87"/>
        <v>798</v>
      </c>
      <c r="S223" s="12">
        <f t="shared" si="88"/>
        <v>1036</v>
      </c>
      <c r="T223" s="12">
        <v>99.99</v>
      </c>
      <c r="U223" s="38" t="s">
        <v>1470</v>
      </c>
      <c r="V223" s="38" t="s">
        <v>1470</v>
      </c>
      <c r="W223" s="12"/>
      <c r="X223" s="12"/>
      <c r="Y223" s="12"/>
      <c r="Z223" s="12"/>
      <c r="AA223" s="12"/>
      <c r="AB223" s="9"/>
    </row>
    <row r="224" s="3" customFormat="1" customHeight="1" spans="1:28">
      <c r="A224" s="12"/>
      <c r="B224" s="12"/>
      <c r="C224" s="9">
        <v>10219</v>
      </c>
      <c r="D224" s="9">
        <v>1218</v>
      </c>
      <c r="E224" s="9">
        <v>7</v>
      </c>
      <c r="F224" s="9" t="s">
        <v>1471</v>
      </c>
      <c r="G224" s="39" t="s">
        <v>1472</v>
      </c>
      <c r="H224" s="37" t="s">
        <v>1302</v>
      </c>
      <c r="I224" s="39" t="s">
        <v>1473</v>
      </c>
      <c r="J224" s="39" t="s">
        <v>1474</v>
      </c>
      <c r="K224" s="39" t="s">
        <v>1474</v>
      </c>
      <c r="L224" s="39" t="s">
        <v>1456</v>
      </c>
      <c r="M224" s="9">
        <f t="shared" si="92"/>
        <v>501000</v>
      </c>
      <c r="N224" s="9">
        <f t="shared" si="93"/>
        <v>501000</v>
      </c>
      <c r="O224" s="9">
        <f t="shared" si="94"/>
        <v>472750</v>
      </c>
      <c r="P224" s="9">
        <f t="shared" si="95"/>
        <v>472750</v>
      </c>
      <c r="Q224" s="8">
        <f t="shared" si="86"/>
        <v>260</v>
      </c>
      <c r="R224" s="7">
        <f t="shared" si="87"/>
        <v>816</v>
      </c>
      <c r="S224" s="12">
        <f t="shared" si="88"/>
        <v>1066</v>
      </c>
      <c r="T224" s="12">
        <v>99.99</v>
      </c>
      <c r="U224" s="38" t="s">
        <v>1475</v>
      </c>
      <c r="V224" s="38" t="s">
        <v>1475</v>
      </c>
      <c r="W224" s="12"/>
      <c r="X224" s="12"/>
      <c r="Y224" s="12"/>
      <c r="Z224" s="12"/>
      <c r="AA224" s="12"/>
      <c r="AB224" s="9"/>
    </row>
    <row r="225" s="3" customFormat="1" customHeight="1" spans="1:28">
      <c r="A225" s="12"/>
      <c r="B225" s="12"/>
      <c r="C225" s="9">
        <v>10220</v>
      </c>
      <c r="D225" s="9">
        <v>1219</v>
      </c>
      <c r="E225" s="9">
        <v>7</v>
      </c>
      <c r="F225" s="9" t="s">
        <v>1476</v>
      </c>
      <c r="G225" s="39" t="s">
        <v>1460</v>
      </c>
      <c r="H225" s="37" t="s">
        <v>1302</v>
      </c>
      <c r="I225" s="39" t="s">
        <v>1477</v>
      </c>
      <c r="J225" s="39" t="s">
        <v>1248</v>
      </c>
      <c r="K225" s="39" t="s">
        <v>1248</v>
      </c>
      <c r="L225" s="39" t="s">
        <v>1428</v>
      </c>
      <c r="M225" s="9">
        <f t="shared" si="92"/>
        <v>531000</v>
      </c>
      <c r="N225" s="9">
        <f t="shared" si="93"/>
        <v>531000</v>
      </c>
      <c r="O225" s="9">
        <f t="shared" si="94"/>
        <v>502750</v>
      </c>
      <c r="P225" s="9">
        <f t="shared" si="95"/>
        <v>502750</v>
      </c>
      <c r="Q225" s="8">
        <f t="shared" si="86"/>
        <v>267</v>
      </c>
      <c r="R225" s="7">
        <f t="shared" si="87"/>
        <v>834</v>
      </c>
      <c r="S225" s="12">
        <f t="shared" si="88"/>
        <v>1096</v>
      </c>
      <c r="T225" s="12">
        <v>99.99</v>
      </c>
      <c r="U225" s="38" t="s">
        <v>1478</v>
      </c>
      <c r="V225" s="38" t="s">
        <v>1478</v>
      </c>
      <c r="W225" s="12"/>
      <c r="X225" s="12"/>
      <c r="Y225" s="12"/>
      <c r="Z225" s="12"/>
      <c r="AA225" s="12"/>
      <c r="AB225" s="9"/>
    </row>
    <row r="226" s="2" customFormat="1" customHeight="1" spans="1:28">
      <c r="A226" s="7"/>
      <c r="B226" s="7"/>
      <c r="C226" s="8">
        <v>10221</v>
      </c>
      <c r="D226" s="8">
        <v>1220</v>
      </c>
      <c r="E226" s="8">
        <v>7</v>
      </c>
      <c r="F226" s="8" t="s">
        <v>1479</v>
      </c>
      <c r="G226" s="39" t="s">
        <v>1464</v>
      </c>
      <c r="H226" s="37" t="s">
        <v>1302</v>
      </c>
      <c r="I226" s="39" t="s">
        <v>1480</v>
      </c>
      <c r="J226" s="41" t="s">
        <v>1481</v>
      </c>
      <c r="K226" s="41" t="s">
        <v>1481</v>
      </c>
      <c r="L226" s="39" t="s">
        <v>1438</v>
      </c>
      <c r="M226" s="9">
        <f t="shared" si="92"/>
        <v>561000</v>
      </c>
      <c r="N226" s="9">
        <f t="shared" si="93"/>
        <v>561000</v>
      </c>
      <c r="O226" s="9">
        <f t="shared" si="94"/>
        <v>532750</v>
      </c>
      <c r="P226" s="9">
        <f t="shared" si="95"/>
        <v>532750</v>
      </c>
      <c r="Q226" s="8">
        <f t="shared" si="86"/>
        <v>274</v>
      </c>
      <c r="R226" s="7">
        <f t="shared" si="87"/>
        <v>852</v>
      </c>
      <c r="S226" s="12">
        <f t="shared" si="88"/>
        <v>1126</v>
      </c>
      <c r="T226" s="12">
        <v>99.99</v>
      </c>
      <c r="U226" s="38" t="s">
        <v>1482</v>
      </c>
      <c r="V226" s="38" t="s">
        <v>1482</v>
      </c>
      <c r="W226" s="7"/>
      <c r="X226" s="7"/>
      <c r="Y226" s="7"/>
      <c r="Z226" s="7"/>
      <c r="AA226" s="7"/>
      <c r="AB226" s="8"/>
    </row>
    <row r="227" s="2" customFormat="1" customHeight="1" spans="1:28">
      <c r="A227" s="7"/>
      <c r="B227" s="7"/>
      <c r="C227" s="8">
        <v>10222</v>
      </c>
      <c r="D227" s="8">
        <v>1221</v>
      </c>
      <c r="E227" s="8">
        <v>7</v>
      </c>
      <c r="F227" s="8" t="s">
        <v>1483</v>
      </c>
      <c r="G227" s="39" t="s">
        <v>1468</v>
      </c>
      <c r="H227" s="37" t="s">
        <v>1302</v>
      </c>
      <c r="I227" s="39" t="s">
        <v>1484</v>
      </c>
      <c r="J227" s="41" t="s">
        <v>1154</v>
      </c>
      <c r="K227" s="41" t="s">
        <v>1154</v>
      </c>
      <c r="L227" s="39" t="s">
        <v>1467</v>
      </c>
      <c r="M227" s="9">
        <f t="shared" si="92"/>
        <v>591000</v>
      </c>
      <c r="N227" s="9">
        <f t="shared" si="93"/>
        <v>591000</v>
      </c>
      <c r="O227" s="9">
        <f t="shared" si="94"/>
        <v>562750</v>
      </c>
      <c r="P227" s="9">
        <f t="shared" si="95"/>
        <v>562750</v>
      </c>
      <c r="Q227" s="8">
        <f t="shared" si="86"/>
        <v>281</v>
      </c>
      <c r="R227" s="7">
        <f t="shared" si="87"/>
        <v>870</v>
      </c>
      <c r="S227" s="12">
        <f t="shared" si="88"/>
        <v>1156</v>
      </c>
      <c r="T227" s="12">
        <v>99.99</v>
      </c>
      <c r="U227" s="38" t="s">
        <v>1485</v>
      </c>
      <c r="V227" s="38" t="s">
        <v>1485</v>
      </c>
      <c r="W227" s="7"/>
      <c r="X227" s="7"/>
      <c r="Y227" s="7"/>
      <c r="Z227" s="7"/>
      <c r="AA227" s="7"/>
      <c r="AB227" s="8"/>
    </row>
    <row r="228" s="2" customFormat="1" customHeight="1" spans="1:28">
      <c r="A228" s="7"/>
      <c r="B228" s="7"/>
      <c r="C228" s="8">
        <v>10223</v>
      </c>
      <c r="D228" s="8">
        <v>1222</v>
      </c>
      <c r="E228" s="8">
        <v>7</v>
      </c>
      <c r="F228" s="8" t="s">
        <v>1486</v>
      </c>
      <c r="G228" s="39" t="s">
        <v>1473</v>
      </c>
      <c r="H228" s="37" t="s">
        <v>1302</v>
      </c>
      <c r="I228" s="39" t="s">
        <v>1487</v>
      </c>
      <c r="J228" s="41" t="s">
        <v>1488</v>
      </c>
      <c r="K228" s="41" t="s">
        <v>1488</v>
      </c>
      <c r="L228" s="39" t="s">
        <v>1472</v>
      </c>
      <c r="M228" s="9">
        <f t="shared" si="92"/>
        <v>621000</v>
      </c>
      <c r="N228" s="9">
        <f t="shared" si="93"/>
        <v>621000</v>
      </c>
      <c r="O228" s="9">
        <f t="shared" si="94"/>
        <v>592750</v>
      </c>
      <c r="P228" s="9">
        <f t="shared" si="95"/>
        <v>592750</v>
      </c>
      <c r="Q228" s="8">
        <f t="shared" si="86"/>
        <v>288</v>
      </c>
      <c r="R228" s="7">
        <f t="shared" si="87"/>
        <v>888</v>
      </c>
      <c r="S228" s="12">
        <f t="shared" si="88"/>
        <v>1186</v>
      </c>
      <c r="T228" s="12">
        <v>99.99</v>
      </c>
      <c r="U228" s="38" t="s">
        <v>1489</v>
      </c>
      <c r="V228" s="38" t="s">
        <v>1489</v>
      </c>
      <c r="W228" s="7"/>
      <c r="X228" s="7"/>
      <c r="Y228" s="7"/>
      <c r="Z228" s="7"/>
      <c r="AA228" s="7"/>
      <c r="AB228" s="8"/>
    </row>
    <row r="229" s="2" customFormat="1" customHeight="1" spans="1:28">
      <c r="A229" s="7"/>
      <c r="B229" s="7"/>
      <c r="C229" s="8">
        <v>10224</v>
      </c>
      <c r="D229" s="8">
        <v>1223</v>
      </c>
      <c r="E229" s="8">
        <v>7</v>
      </c>
      <c r="F229" s="8" t="s">
        <v>1490</v>
      </c>
      <c r="G229" s="39" t="s">
        <v>1477</v>
      </c>
      <c r="H229" s="37" t="s">
        <v>1302</v>
      </c>
      <c r="I229" s="39" t="s">
        <v>1491</v>
      </c>
      <c r="J229" s="41" t="s">
        <v>1342</v>
      </c>
      <c r="K229" s="41" t="s">
        <v>1342</v>
      </c>
      <c r="L229" s="39" t="s">
        <v>1460</v>
      </c>
      <c r="M229" s="9">
        <f t="shared" si="92"/>
        <v>651000</v>
      </c>
      <c r="N229" s="9">
        <f t="shared" si="93"/>
        <v>651000</v>
      </c>
      <c r="O229" s="9">
        <f t="shared" si="94"/>
        <v>622750</v>
      </c>
      <c r="P229" s="9">
        <f t="shared" si="95"/>
        <v>622750</v>
      </c>
      <c r="Q229" s="8">
        <f t="shared" si="86"/>
        <v>295</v>
      </c>
      <c r="R229" s="7">
        <f t="shared" si="87"/>
        <v>906</v>
      </c>
      <c r="S229" s="12">
        <f t="shared" si="88"/>
        <v>1216</v>
      </c>
      <c r="T229" s="12">
        <v>99.99</v>
      </c>
      <c r="U229" s="38" t="s">
        <v>1492</v>
      </c>
      <c r="V229" s="38" t="s">
        <v>1492</v>
      </c>
      <c r="W229" s="7"/>
      <c r="X229" s="7"/>
      <c r="Y229" s="7"/>
      <c r="Z229" s="7"/>
      <c r="AA229" s="7"/>
      <c r="AB229" s="8"/>
    </row>
    <row r="230" s="2" customFormat="1" customHeight="1" spans="1:28">
      <c r="A230" s="7"/>
      <c r="B230" s="7"/>
      <c r="C230" s="8">
        <v>10225</v>
      </c>
      <c r="D230" s="8">
        <v>1224</v>
      </c>
      <c r="E230" s="8">
        <v>7</v>
      </c>
      <c r="F230" s="8" t="s">
        <v>1493</v>
      </c>
      <c r="G230" s="39" t="s">
        <v>1480</v>
      </c>
      <c r="H230" s="37" t="s">
        <v>1302</v>
      </c>
      <c r="I230" s="39" t="s">
        <v>1494</v>
      </c>
      <c r="J230" s="41" t="s">
        <v>1495</v>
      </c>
      <c r="K230" s="41" t="s">
        <v>1495</v>
      </c>
      <c r="L230" s="39" t="s">
        <v>1496</v>
      </c>
      <c r="M230" s="9">
        <f t="shared" si="92"/>
        <v>681000</v>
      </c>
      <c r="N230" s="9">
        <f t="shared" si="93"/>
        <v>681000</v>
      </c>
      <c r="O230" s="9">
        <f t="shared" si="94"/>
        <v>652750</v>
      </c>
      <c r="P230" s="9">
        <f t="shared" si="95"/>
        <v>652750</v>
      </c>
      <c r="Q230" s="8">
        <f t="shared" si="86"/>
        <v>302</v>
      </c>
      <c r="R230" s="7">
        <f t="shared" si="87"/>
        <v>924</v>
      </c>
      <c r="S230" s="12">
        <f t="shared" si="88"/>
        <v>1246</v>
      </c>
      <c r="T230" s="12">
        <v>99.99</v>
      </c>
      <c r="U230" s="38" t="s">
        <v>1497</v>
      </c>
      <c r="V230" s="38" t="s">
        <v>1497</v>
      </c>
      <c r="W230" s="7"/>
      <c r="X230" s="7"/>
      <c r="Y230" s="7"/>
      <c r="Z230" s="7"/>
      <c r="AA230" s="7"/>
      <c r="AB230" s="8"/>
    </row>
    <row r="231" s="3" customFormat="1" customHeight="1" spans="1:28">
      <c r="A231" s="12"/>
      <c r="B231" s="12"/>
      <c r="C231" s="9">
        <v>10226</v>
      </c>
      <c r="D231" s="9">
        <v>1225</v>
      </c>
      <c r="E231" s="9">
        <v>7</v>
      </c>
      <c r="F231" s="8" t="s">
        <v>1498</v>
      </c>
      <c r="G231" s="39" t="s">
        <v>1484</v>
      </c>
      <c r="H231" s="37" t="s">
        <v>1302</v>
      </c>
      <c r="I231" s="39" t="s">
        <v>1499</v>
      </c>
      <c r="J231" s="41" t="s">
        <v>1359</v>
      </c>
      <c r="K231" s="41" t="s">
        <v>1359</v>
      </c>
      <c r="L231" s="39" t="s">
        <v>1500</v>
      </c>
      <c r="M231" s="9">
        <f t="shared" si="92"/>
        <v>711000</v>
      </c>
      <c r="N231" s="9">
        <f t="shared" si="93"/>
        <v>711000</v>
      </c>
      <c r="O231" s="9">
        <f t="shared" si="94"/>
        <v>682750</v>
      </c>
      <c r="P231" s="9">
        <f t="shared" si="95"/>
        <v>682750</v>
      </c>
      <c r="Q231" s="8">
        <f t="shared" si="86"/>
        <v>309</v>
      </c>
      <c r="R231" s="7">
        <f t="shared" si="87"/>
        <v>942</v>
      </c>
      <c r="S231" s="12">
        <f t="shared" si="88"/>
        <v>1276</v>
      </c>
      <c r="T231" s="12">
        <v>99.99</v>
      </c>
      <c r="U231" s="38" t="s">
        <v>1501</v>
      </c>
      <c r="V231" s="38" t="s">
        <v>1501</v>
      </c>
      <c r="W231" s="12"/>
      <c r="X231" s="12"/>
      <c r="Y231" s="12"/>
      <c r="Z231" s="12"/>
      <c r="AA231" s="12"/>
      <c r="AB231" s="9"/>
    </row>
    <row r="232" s="3" customFormat="1" customHeight="1" spans="1:28">
      <c r="A232" s="12"/>
      <c r="B232" s="12"/>
      <c r="C232" s="9">
        <v>10227</v>
      </c>
      <c r="D232" s="9">
        <v>1226</v>
      </c>
      <c r="E232" s="9">
        <v>7</v>
      </c>
      <c r="F232" s="9" t="s">
        <v>1502</v>
      </c>
      <c r="G232" s="39" t="s">
        <v>1487</v>
      </c>
      <c r="H232" s="37" t="s">
        <v>1302</v>
      </c>
      <c r="I232" s="39" t="s">
        <v>1503</v>
      </c>
      <c r="J232" s="41" t="s">
        <v>1504</v>
      </c>
      <c r="K232" s="41" t="s">
        <v>1504</v>
      </c>
      <c r="L232" s="39" t="s">
        <v>1473</v>
      </c>
      <c r="M232" s="9">
        <f t="shared" si="92"/>
        <v>741000</v>
      </c>
      <c r="N232" s="9">
        <f t="shared" si="93"/>
        <v>741000</v>
      </c>
      <c r="O232" s="9">
        <f t="shared" si="94"/>
        <v>712750</v>
      </c>
      <c r="P232" s="9">
        <f t="shared" si="95"/>
        <v>712750</v>
      </c>
      <c r="Q232" s="8">
        <f t="shared" si="86"/>
        <v>316</v>
      </c>
      <c r="R232" s="7">
        <f t="shared" si="87"/>
        <v>960</v>
      </c>
      <c r="S232" s="12">
        <f t="shared" si="88"/>
        <v>1306</v>
      </c>
      <c r="T232" s="12">
        <v>99.99</v>
      </c>
      <c r="U232" s="38" t="s">
        <v>1505</v>
      </c>
      <c r="V232" s="38" t="s">
        <v>1505</v>
      </c>
      <c r="W232" s="12"/>
      <c r="X232" s="12"/>
      <c r="Y232" s="12"/>
      <c r="Z232" s="12"/>
      <c r="AA232" s="12"/>
      <c r="AB232" s="9"/>
    </row>
    <row r="233" s="3" customFormat="1" customHeight="1" spans="1:28">
      <c r="A233" s="12"/>
      <c r="B233" s="12"/>
      <c r="C233" s="9">
        <v>10228</v>
      </c>
      <c r="D233" s="9">
        <v>1227</v>
      </c>
      <c r="E233" s="9">
        <v>7</v>
      </c>
      <c r="F233" s="9" t="s">
        <v>1506</v>
      </c>
      <c r="G233" s="39" t="s">
        <v>1491</v>
      </c>
      <c r="H233" s="37" t="s">
        <v>1302</v>
      </c>
      <c r="I233" s="39" t="s">
        <v>1507</v>
      </c>
      <c r="J233" s="41" t="s">
        <v>1407</v>
      </c>
      <c r="K233" s="41" t="s">
        <v>1407</v>
      </c>
      <c r="L233" s="39" t="s">
        <v>1508</v>
      </c>
      <c r="M233" s="9">
        <f t="shared" si="92"/>
        <v>771000</v>
      </c>
      <c r="N233" s="9">
        <f t="shared" si="93"/>
        <v>771000</v>
      </c>
      <c r="O233" s="9">
        <f t="shared" si="94"/>
        <v>742750</v>
      </c>
      <c r="P233" s="9">
        <f t="shared" si="95"/>
        <v>742750</v>
      </c>
      <c r="Q233" s="8">
        <f t="shared" si="86"/>
        <v>323</v>
      </c>
      <c r="R233" s="7">
        <f t="shared" si="87"/>
        <v>978</v>
      </c>
      <c r="S233" s="12">
        <f t="shared" si="88"/>
        <v>1336</v>
      </c>
      <c r="T233" s="12">
        <v>99.99</v>
      </c>
      <c r="U233" s="38" t="s">
        <v>1509</v>
      </c>
      <c r="V233" s="38" t="s">
        <v>1509</v>
      </c>
      <c r="W233" s="12"/>
      <c r="X233" s="12"/>
      <c r="Y233" s="12"/>
      <c r="Z233" s="12"/>
      <c r="AA233" s="12"/>
      <c r="AB233" s="9"/>
    </row>
    <row r="234" s="3" customFormat="1" customHeight="1" spans="1:28">
      <c r="A234" s="12"/>
      <c r="B234" s="12"/>
      <c r="C234" s="9">
        <v>10229</v>
      </c>
      <c r="D234" s="9">
        <v>1228</v>
      </c>
      <c r="E234" s="9">
        <v>7</v>
      </c>
      <c r="F234" s="9" t="s">
        <v>1510</v>
      </c>
      <c r="G234" s="39" t="s">
        <v>1494</v>
      </c>
      <c r="H234" s="37" t="s">
        <v>1302</v>
      </c>
      <c r="I234" s="39" t="s">
        <v>1511</v>
      </c>
      <c r="J234" s="41" t="s">
        <v>1512</v>
      </c>
      <c r="K234" s="41" t="s">
        <v>1512</v>
      </c>
      <c r="L234" s="39" t="s">
        <v>1513</v>
      </c>
      <c r="M234" s="9">
        <f t="shared" si="92"/>
        <v>801000</v>
      </c>
      <c r="N234" s="9">
        <f t="shared" si="93"/>
        <v>801000</v>
      </c>
      <c r="O234" s="9">
        <f t="shared" si="94"/>
        <v>772750</v>
      </c>
      <c r="P234" s="9">
        <f t="shared" si="95"/>
        <v>772750</v>
      </c>
      <c r="Q234" s="8">
        <f t="shared" si="86"/>
        <v>330</v>
      </c>
      <c r="R234" s="7">
        <f t="shared" si="87"/>
        <v>996</v>
      </c>
      <c r="S234" s="12">
        <f t="shared" si="88"/>
        <v>1366</v>
      </c>
      <c r="T234" s="12">
        <v>99.99</v>
      </c>
      <c r="U234" s="38" t="s">
        <v>1514</v>
      </c>
      <c r="V234" s="38" t="s">
        <v>1514</v>
      </c>
      <c r="W234" s="12"/>
      <c r="X234" s="12"/>
      <c r="Y234" s="12"/>
      <c r="Z234" s="12"/>
      <c r="AA234" s="12"/>
      <c r="AB234" s="9"/>
    </row>
    <row r="235" s="4" customFormat="1" customHeight="1" spans="1:28">
      <c r="A235" s="13"/>
      <c r="B235" s="13"/>
      <c r="C235" s="14">
        <v>10230</v>
      </c>
      <c r="D235" s="14">
        <v>1229</v>
      </c>
      <c r="E235" s="14">
        <v>7</v>
      </c>
      <c r="F235" s="14" t="s">
        <v>1515</v>
      </c>
      <c r="G235" s="39" t="s">
        <v>1499</v>
      </c>
      <c r="H235" s="43" t="s">
        <v>1302</v>
      </c>
      <c r="I235" s="39" t="s">
        <v>1516</v>
      </c>
      <c r="J235" s="41" t="s">
        <v>1249</v>
      </c>
      <c r="K235" s="41" t="s">
        <v>1249</v>
      </c>
      <c r="L235" s="39" t="s">
        <v>1480</v>
      </c>
      <c r="M235" s="9">
        <f t="shared" si="92"/>
        <v>831000</v>
      </c>
      <c r="N235" s="9">
        <f t="shared" si="93"/>
        <v>831000</v>
      </c>
      <c r="O235" s="9">
        <f t="shared" si="94"/>
        <v>802750</v>
      </c>
      <c r="P235" s="9">
        <f t="shared" si="95"/>
        <v>802750</v>
      </c>
      <c r="Q235" s="8">
        <f t="shared" si="86"/>
        <v>337</v>
      </c>
      <c r="R235" s="7">
        <f t="shared" si="87"/>
        <v>1014</v>
      </c>
      <c r="S235" s="12">
        <f t="shared" si="88"/>
        <v>1396</v>
      </c>
      <c r="T235" s="12">
        <v>99.99</v>
      </c>
      <c r="U235" s="38" t="s">
        <v>1517</v>
      </c>
      <c r="V235" s="38" t="s">
        <v>1517</v>
      </c>
      <c r="W235" s="13"/>
      <c r="X235" s="13"/>
      <c r="Y235" s="13"/>
      <c r="Z235" s="13"/>
      <c r="AA235" s="13"/>
      <c r="AB235" s="14"/>
    </row>
    <row r="236" s="3" customFormat="1" customHeight="1" spans="1:28">
      <c r="A236" s="12"/>
      <c r="B236" s="12"/>
      <c r="C236" s="9">
        <v>10231</v>
      </c>
      <c r="D236" s="9">
        <v>1230</v>
      </c>
      <c r="E236" s="9">
        <v>7</v>
      </c>
      <c r="F236" s="8" t="s">
        <v>1518</v>
      </c>
      <c r="G236" s="39" t="s">
        <v>1519</v>
      </c>
      <c r="H236" s="37" t="s">
        <v>1302</v>
      </c>
      <c r="I236" s="39" t="s">
        <v>1520</v>
      </c>
      <c r="J236" s="41" t="s">
        <v>1521</v>
      </c>
      <c r="K236" s="41" t="s">
        <v>1521</v>
      </c>
      <c r="L236" s="39" t="s">
        <v>1522</v>
      </c>
      <c r="M236" s="9">
        <f t="shared" si="92"/>
        <v>861000</v>
      </c>
      <c r="N236" s="9">
        <f t="shared" si="93"/>
        <v>861000</v>
      </c>
      <c r="O236" s="9">
        <f t="shared" si="94"/>
        <v>832750</v>
      </c>
      <c r="P236" s="9">
        <f t="shared" si="95"/>
        <v>832750</v>
      </c>
      <c r="Q236" s="8">
        <f t="shared" si="86"/>
        <v>344</v>
      </c>
      <c r="R236" s="7">
        <f t="shared" si="87"/>
        <v>1032</v>
      </c>
      <c r="S236" s="12">
        <f t="shared" si="88"/>
        <v>1426</v>
      </c>
      <c r="T236" s="12">
        <v>99.99</v>
      </c>
      <c r="U236" s="38" t="s">
        <v>1523</v>
      </c>
      <c r="V236" s="38" t="s">
        <v>1523</v>
      </c>
      <c r="W236" s="12"/>
      <c r="X236" s="12"/>
      <c r="Y236" s="12"/>
      <c r="Z236" s="12"/>
      <c r="AA236" s="12"/>
      <c r="AB236" s="9"/>
    </row>
    <row r="237" s="3" customFormat="1" customHeight="1" spans="1:28">
      <c r="A237" s="12"/>
      <c r="B237" s="12"/>
      <c r="C237" s="9">
        <v>10232</v>
      </c>
      <c r="D237" s="9">
        <v>1231</v>
      </c>
      <c r="E237" s="9">
        <v>7</v>
      </c>
      <c r="F237" s="9" t="s">
        <v>1524</v>
      </c>
      <c r="G237" s="39" t="s">
        <v>1525</v>
      </c>
      <c r="H237" s="37" t="s">
        <v>1302</v>
      </c>
      <c r="I237" s="39" t="s">
        <v>1526</v>
      </c>
      <c r="J237" s="41" t="s">
        <v>1404</v>
      </c>
      <c r="K237" s="41" t="s">
        <v>1404</v>
      </c>
      <c r="L237" s="39" t="s">
        <v>1527</v>
      </c>
      <c r="M237" s="9">
        <f t="shared" si="92"/>
        <v>891000</v>
      </c>
      <c r="N237" s="9">
        <f t="shared" si="93"/>
        <v>891000</v>
      </c>
      <c r="O237" s="9">
        <f t="shared" si="94"/>
        <v>862750</v>
      </c>
      <c r="P237" s="9">
        <f t="shared" si="95"/>
        <v>862750</v>
      </c>
      <c r="Q237" s="8">
        <f t="shared" si="86"/>
        <v>351</v>
      </c>
      <c r="R237" s="7">
        <f t="shared" si="87"/>
        <v>1050</v>
      </c>
      <c r="S237" s="12">
        <f t="shared" si="88"/>
        <v>1456</v>
      </c>
      <c r="T237" s="12">
        <v>99.99</v>
      </c>
      <c r="U237" s="38" t="s">
        <v>1528</v>
      </c>
      <c r="V237" s="38" t="s">
        <v>1528</v>
      </c>
      <c r="W237" s="12"/>
      <c r="X237" s="12"/>
      <c r="Y237" s="12"/>
      <c r="Z237" s="12"/>
      <c r="AA237" s="12"/>
      <c r="AB237" s="9"/>
    </row>
    <row r="238" s="3" customFormat="1" customHeight="1" spans="1:28">
      <c r="A238" s="12"/>
      <c r="B238" s="12"/>
      <c r="C238" s="9">
        <v>10233</v>
      </c>
      <c r="D238" s="9">
        <v>1232</v>
      </c>
      <c r="E238" s="9">
        <v>7</v>
      </c>
      <c r="F238" s="9" t="s">
        <v>1529</v>
      </c>
      <c r="G238" s="39" t="s">
        <v>1503</v>
      </c>
      <c r="H238" s="37" t="s">
        <v>1302</v>
      </c>
      <c r="I238" s="39" t="s">
        <v>1530</v>
      </c>
      <c r="J238" s="41" t="s">
        <v>1531</v>
      </c>
      <c r="K238" s="41" t="s">
        <v>1531</v>
      </c>
      <c r="L238" s="39" t="s">
        <v>1487</v>
      </c>
      <c r="M238" s="9">
        <f t="shared" si="92"/>
        <v>921000</v>
      </c>
      <c r="N238" s="9">
        <f t="shared" si="93"/>
        <v>921000</v>
      </c>
      <c r="O238" s="9">
        <f t="shared" si="94"/>
        <v>892750</v>
      </c>
      <c r="P238" s="9">
        <f t="shared" si="95"/>
        <v>892750</v>
      </c>
      <c r="Q238" s="8">
        <f t="shared" si="86"/>
        <v>358</v>
      </c>
      <c r="R238" s="7">
        <f t="shared" si="87"/>
        <v>1068</v>
      </c>
      <c r="S238" s="12">
        <f t="shared" si="88"/>
        <v>1486</v>
      </c>
      <c r="T238" s="12">
        <v>99.99</v>
      </c>
      <c r="U238" s="38" t="s">
        <v>1532</v>
      </c>
      <c r="V238" s="38" t="s">
        <v>1532</v>
      </c>
      <c r="W238" s="12"/>
      <c r="X238" s="12"/>
      <c r="Y238" s="12"/>
      <c r="Z238" s="12"/>
      <c r="AA238" s="12"/>
      <c r="AB238" s="9"/>
    </row>
    <row r="239" s="3" customFormat="1" customHeight="1" spans="1:28">
      <c r="A239" s="12"/>
      <c r="B239" s="12"/>
      <c r="C239" s="9">
        <v>10234</v>
      </c>
      <c r="D239" s="9">
        <v>1233</v>
      </c>
      <c r="E239" s="9">
        <v>7</v>
      </c>
      <c r="F239" s="9" t="s">
        <v>1533</v>
      </c>
      <c r="G239" s="39" t="s">
        <v>1534</v>
      </c>
      <c r="H239" s="37" t="s">
        <v>1302</v>
      </c>
      <c r="I239" s="39" t="s">
        <v>1535</v>
      </c>
      <c r="J239" s="41" t="s">
        <v>1420</v>
      </c>
      <c r="K239" s="41" t="s">
        <v>1420</v>
      </c>
      <c r="L239" s="39" t="s">
        <v>1536</v>
      </c>
      <c r="M239" s="9">
        <f t="shared" si="92"/>
        <v>951000</v>
      </c>
      <c r="N239" s="9">
        <f t="shared" si="93"/>
        <v>951000</v>
      </c>
      <c r="O239" s="9">
        <f t="shared" si="94"/>
        <v>922750</v>
      </c>
      <c r="P239" s="9">
        <f t="shared" si="95"/>
        <v>922750</v>
      </c>
      <c r="Q239" s="8">
        <f t="shared" si="86"/>
        <v>365</v>
      </c>
      <c r="R239" s="7">
        <f t="shared" si="87"/>
        <v>1086</v>
      </c>
      <c r="S239" s="12">
        <f t="shared" si="88"/>
        <v>1516</v>
      </c>
      <c r="T239" s="12">
        <v>99.99</v>
      </c>
      <c r="U239" s="38" t="s">
        <v>1537</v>
      </c>
      <c r="V239" s="38" t="s">
        <v>1537</v>
      </c>
      <c r="W239" s="12"/>
      <c r="X239" s="12"/>
      <c r="Y239" s="12"/>
      <c r="Z239" s="12"/>
      <c r="AA239" s="12"/>
      <c r="AB239" s="9"/>
    </row>
    <row r="240" s="4" customFormat="1" customHeight="1" spans="1:28">
      <c r="A240" s="13"/>
      <c r="B240" s="13"/>
      <c r="C240" s="14">
        <v>10235</v>
      </c>
      <c r="D240" s="14">
        <v>1234</v>
      </c>
      <c r="E240" s="14">
        <v>7</v>
      </c>
      <c r="F240" s="14" t="s">
        <v>1538</v>
      </c>
      <c r="G240" s="44" t="s">
        <v>1539</v>
      </c>
      <c r="H240" s="43" t="s">
        <v>1302</v>
      </c>
      <c r="I240" s="39" t="s">
        <v>1540</v>
      </c>
      <c r="J240" s="41" t="s">
        <v>1541</v>
      </c>
      <c r="K240" s="41" t="s">
        <v>1541</v>
      </c>
      <c r="L240" s="39" t="s">
        <v>1542</v>
      </c>
      <c r="M240" s="9">
        <f t="shared" si="92"/>
        <v>981000</v>
      </c>
      <c r="N240" s="9">
        <f t="shared" si="93"/>
        <v>981000</v>
      </c>
      <c r="O240" s="9">
        <f t="shared" si="94"/>
        <v>952750</v>
      </c>
      <c r="P240" s="9">
        <f t="shared" si="95"/>
        <v>952750</v>
      </c>
      <c r="Q240" s="8">
        <f t="shared" si="86"/>
        <v>372</v>
      </c>
      <c r="R240" s="7">
        <f t="shared" si="87"/>
        <v>1104</v>
      </c>
      <c r="S240" s="12">
        <f t="shared" si="88"/>
        <v>1546</v>
      </c>
      <c r="T240" s="12">
        <v>99.99</v>
      </c>
      <c r="U240" s="38" t="s">
        <v>1543</v>
      </c>
      <c r="V240" s="38" t="s">
        <v>1543</v>
      </c>
      <c r="W240" s="13"/>
      <c r="X240" s="13"/>
      <c r="Y240" s="13"/>
      <c r="Z240" s="13"/>
      <c r="AA240" s="13"/>
      <c r="AB240" s="14"/>
    </row>
    <row r="241" s="3" customFormat="1" customHeight="1" spans="1:28">
      <c r="A241" s="12"/>
      <c r="B241" s="12"/>
      <c r="C241" s="9">
        <v>10236</v>
      </c>
      <c r="D241" s="9">
        <v>1235</v>
      </c>
      <c r="E241" s="9">
        <v>7</v>
      </c>
      <c r="F241" s="8" t="s">
        <v>1544</v>
      </c>
      <c r="G241" s="39" t="s">
        <v>1507</v>
      </c>
      <c r="H241" s="37" t="s">
        <v>1302</v>
      </c>
      <c r="I241" s="39" t="s">
        <v>1545</v>
      </c>
      <c r="J241" s="41" t="s">
        <v>1432</v>
      </c>
      <c r="K241" s="41" t="s">
        <v>1432</v>
      </c>
      <c r="L241" s="39" t="s">
        <v>1494</v>
      </c>
      <c r="M241" s="9">
        <f t="shared" si="92"/>
        <v>1011000</v>
      </c>
      <c r="N241" s="9">
        <f t="shared" si="93"/>
        <v>1011000</v>
      </c>
      <c r="O241" s="9">
        <f t="shared" si="94"/>
        <v>982750</v>
      </c>
      <c r="P241" s="9">
        <f t="shared" si="95"/>
        <v>982750</v>
      </c>
      <c r="Q241" s="8">
        <f t="shared" si="86"/>
        <v>379</v>
      </c>
      <c r="R241" s="7">
        <f t="shared" si="87"/>
        <v>1122</v>
      </c>
      <c r="S241" s="12">
        <f t="shared" si="88"/>
        <v>1576</v>
      </c>
      <c r="T241" s="12">
        <v>99.99</v>
      </c>
      <c r="U241" s="38" t="s">
        <v>1546</v>
      </c>
      <c r="V241" s="38" t="s">
        <v>1546</v>
      </c>
      <c r="W241" s="12"/>
      <c r="X241" s="12"/>
      <c r="Y241" s="12"/>
      <c r="Z241" s="12"/>
      <c r="AA241" s="12"/>
      <c r="AB241" s="9"/>
    </row>
    <row r="242" s="3" customFormat="1" customHeight="1" spans="1:28">
      <c r="A242" s="12"/>
      <c r="B242" s="12"/>
      <c r="C242" s="9">
        <v>10237</v>
      </c>
      <c r="D242" s="9">
        <v>1236</v>
      </c>
      <c r="E242" s="9">
        <v>7</v>
      </c>
      <c r="F242" s="9" t="s">
        <v>1547</v>
      </c>
      <c r="G242" s="39" t="s">
        <v>1548</v>
      </c>
      <c r="H242" s="37" t="s">
        <v>1302</v>
      </c>
      <c r="I242" s="39" t="s">
        <v>1549</v>
      </c>
      <c r="J242" s="41" t="s">
        <v>1550</v>
      </c>
      <c r="K242" s="41" t="s">
        <v>1550</v>
      </c>
      <c r="L242" s="39" t="s">
        <v>1551</v>
      </c>
      <c r="M242" s="9">
        <f t="shared" si="92"/>
        <v>1041000</v>
      </c>
      <c r="N242" s="9">
        <f t="shared" si="93"/>
        <v>1041000</v>
      </c>
      <c r="O242" s="9">
        <f t="shared" si="94"/>
        <v>1012750</v>
      </c>
      <c r="P242" s="9">
        <f t="shared" si="95"/>
        <v>1012750</v>
      </c>
      <c r="Q242" s="8">
        <f t="shared" si="86"/>
        <v>386</v>
      </c>
      <c r="R242" s="7">
        <f t="shared" si="87"/>
        <v>1140</v>
      </c>
      <c r="S242" s="12">
        <f t="shared" si="88"/>
        <v>1606</v>
      </c>
      <c r="T242" s="12">
        <v>99.99</v>
      </c>
      <c r="U242" s="38" t="s">
        <v>1552</v>
      </c>
      <c r="V242" s="38" t="s">
        <v>1552</v>
      </c>
      <c r="W242" s="12"/>
      <c r="X242" s="12"/>
      <c r="Y242" s="12"/>
      <c r="Z242" s="12"/>
      <c r="AA242" s="12"/>
      <c r="AB242" s="9"/>
    </row>
    <row r="243" s="3" customFormat="1" customHeight="1" spans="1:28">
      <c r="A243" s="12"/>
      <c r="B243" s="12"/>
      <c r="C243" s="9">
        <v>10238</v>
      </c>
      <c r="D243" s="9">
        <v>1237</v>
      </c>
      <c r="E243" s="9">
        <v>7</v>
      </c>
      <c r="F243" s="9" t="s">
        <v>1553</v>
      </c>
      <c r="G243" s="39" t="s">
        <v>1554</v>
      </c>
      <c r="H243" s="37" t="s">
        <v>1302</v>
      </c>
      <c r="I243" s="39" t="s">
        <v>1555</v>
      </c>
      <c r="J243" s="41" t="s">
        <v>1556</v>
      </c>
      <c r="K243" s="41" t="s">
        <v>1556</v>
      </c>
      <c r="L243" s="39" t="s">
        <v>1519</v>
      </c>
      <c r="M243" s="9">
        <f t="shared" si="92"/>
        <v>1071000</v>
      </c>
      <c r="N243" s="9">
        <f t="shared" si="93"/>
        <v>1071000</v>
      </c>
      <c r="O243" s="9">
        <f t="shared" si="94"/>
        <v>1042750</v>
      </c>
      <c r="P243" s="9">
        <f t="shared" si="95"/>
        <v>1042750</v>
      </c>
      <c r="Q243" s="8">
        <f t="shared" si="86"/>
        <v>393</v>
      </c>
      <c r="R243" s="7">
        <f t="shared" si="87"/>
        <v>1158</v>
      </c>
      <c r="S243" s="12">
        <f t="shared" si="88"/>
        <v>1636</v>
      </c>
      <c r="T243" s="12">
        <v>99.99</v>
      </c>
      <c r="U243" s="38" t="s">
        <v>1557</v>
      </c>
      <c r="V243" s="38" t="s">
        <v>1557</v>
      </c>
      <c r="W243" s="12"/>
      <c r="X243" s="12"/>
      <c r="Y243" s="12"/>
      <c r="Z243" s="12"/>
      <c r="AA243" s="12"/>
      <c r="AB243" s="9"/>
    </row>
    <row r="244" s="3" customFormat="1" customHeight="1" spans="1:28">
      <c r="A244" s="12"/>
      <c r="B244" s="12"/>
      <c r="C244" s="9">
        <v>10239</v>
      </c>
      <c r="D244" s="9">
        <v>1238</v>
      </c>
      <c r="E244" s="9">
        <v>7</v>
      </c>
      <c r="F244" s="9" t="s">
        <v>1558</v>
      </c>
      <c r="G244" s="39" t="s">
        <v>1511</v>
      </c>
      <c r="H244" s="37" t="s">
        <v>1302</v>
      </c>
      <c r="I244" s="39" t="s">
        <v>1559</v>
      </c>
      <c r="J244" s="41" t="s">
        <v>1560</v>
      </c>
      <c r="K244" s="41" t="s">
        <v>1560</v>
      </c>
      <c r="L244" s="39" t="s">
        <v>1503</v>
      </c>
      <c r="M244" s="9">
        <f t="shared" si="92"/>
        <v>1101000</v>
      </c>
      <c r="N244" s="9">
        <f t="shared" si="93"/>
        <v>1101000</v>
      </c>
      <c r="O244" s="9">
        <f t="shared" si="94"/>
        <v>1072750</v>
      </c>
      <c r="P244" s="9">
        <f t="shared" si="95"/>
        <v>1072750</v>
      </c>
      <c r="Q244" s="8">
        <f t="shared" si="86"/>
        <v>400</v>
      </c>
      <c r="R244" s="7">
        <f t="shared" si="87"/>
        <v>1176</v>
      </c>
      <c r="S244" s="12">
        <f t="shared" si="88"/>
        <v>1666</v>
      </c>
      <c r="T244" s="12">
        <v>99.99</v>
      </c>
      <c r="U244" s="38" t="s">
        <v>1561</v>
      </c>
      <c r="V244" s="38" t="s">
        <v>1561</v>
      </c>
      <c r="W244" s="12"/>
      <c r="X244" s="12"/>
      <c r="Y244" s="12"/>
      <c r="Z244" s="12"/>
      <c r="AA244" s="12"/>
      <c r="AB244" s="9"/>
    </row>
    <row r="245" s="3" customFormat="1" customHeight="1" spans="1:28">
      <c r="A245" s="12"/>
      <c r="B245" s="12"/>
      <c r="C245" s="9">
        <v>10240</v>
      </c>
      <c r="D245" s="9">
        <v>1239</v>
      </c>
      <c r="E245" s="9">
        <v>7</v>
      </c>
      <c r="F245" s="9" t="s">
        <v>1562</v>
      </c>
      <c r="G245" s="39" t="s">
        <v>1563</v>
      </c>
      <c r="H245" s="37" t="s">
        <v>1302</v>
      </c>
      <c r="I245" s="39" t="s">
        <v>1564</v>
      </c>
      <c r="J245" s="41" t="s">
        <v>1439</v>
      </c>
      <c r="K245" s="41" t="s">
        <v>1439</v>
      </c>
      <c r="L245" s="39" t="s">
        <v>1539</v>
      </c>
      <c r="M245" s="9">
        <f t="shared" si="92"/>
        <v>1131000</v>
      </c>
      <c r="N245" s="9">
        <f t="shared" si="93"/>
        <v>1131000</v>
      </c>
      <c r="O245" s="9">
        <f t="shared" si="94"/>
        <v>1102750</v>
      </c>
      <c r="P245" s="9">
        <f t="shared" si="95"/>
        <v>1102750</v>
      </c>
      <c r="Q245" s="8">
        <v>400</v>
      </c>
      <c r="R245" s="7">
        <f t="shared" si="87"/>
        <v>1194</v>
      </c>
      <c r="S245" s="12">
        <f t="shared" si="88"/>
        <v>1696</v>
      </c>
      <c r="T245" s="12">
        <v>99.99</v>
      </c>
      <c r="U245" s="38" t="s">
        <v>1565</v>
      </c>
      <c r="V245" s="38" t="s">
        <v>1565</v>
      </c>
      <c r="W245" s="12"/>
      <c r="X245" s="12"/>
      <c r="Y245" s="12"/>
      <c r="Z245" s="12"/>
      <c r="AA245" s="12"/>
      <c r="AB245" s="9"/>
    </row>
    <row r="246" s="3" customFormat="1" customHeight="1" spans="1:28">
      <c r="A246" s="12"/>
      <c r="B246" s="12"/>
      <c r="C246" s="9">
        <v>10241</v>
      </c>
      <c r="D246" s="9">
        <v>1240</v>
      </c>
      <c r="E246" s="9">
        <v>7</v>
      </c>
      <c r="F246" s="9" t="s">
        <v>1566</v>
      </c>
      <c r="G246" s="39" t="s">
        <v>1567</v>
      </c>
      <c r="H246" s="37" t="s">
        <v>1302</v>
      </c>
      <c r="I246" s="39" t="s">
        <v>1568</v>
      </c>
      <c r="J246" s="41" t="s">
        <v>1569</v>
      </c>
      <c r="K246" s="41" t="s">
        <v>1569</v>
      </c>
      <c r="L246" s="39" t="s">
        <v>1548</v>
      </c>
      <c r="M246" s="9">
        <f t="shared" si="92"/>
        <v>1161000</v>
      </c>
      <c r="N246" s="9">
        <f t="shared" si="93"/>
        <v>1161000</v>
      </c>
      <c r="O246" s="9">
        <f t="shared" si="94"/>
        <v>1132750</v>
      </c>
      <c r="P246" s="9">
        <f t="shared" si="95"/>
        <v>1132750</v>
      </c>
      <c r="Q246" s="8">
        <v>400</v>
      </c>
      <c r="R246" s="7">
        <f t="shared" si="87"/>
        <v>1212</v>
      </c>
      <c r="S246" s="12">
        <f t="shared" si="88"/>
        <v>1726</v>
      </c>
      <c r="T246" s="12">
        <v>99.99</v>
      </c>
      <c r="U246" s="38" t="s">
        <v>1570</v>
      </c>
      <c r="V246" s="38" t="s">
        <v>1570</v>
      </c>
      <c r="W246" s="12"/>
      <c r="X246" s="12"/>
      <c r="Y246" s="12"/>
      <c r="Z246" s="12"/>
      <c r="AA246" s="12"/>
      <c r="AB246" s="9"/>
    </row>
    <row r="247" s="3" customFormat="1" customHeight="1" spans="1:28">
      <c r="A247" s="12"/>
      <c r="B247" s="12"/>
      <c r="C247" s="9">
        <v>10242</v>
      </c>
      <c r="D247" s="9">
        <v>1241</v>
      </c>
      <c r="E247" s="9">
        <v>7</v>
      </c>
      <c r="F247" s="9" t="s">
        <v>1571</v>
      </c>
      <c r="G247" s="39" t="s">
        <v>1516</v>
      </c>
      <c r="H247" s="37" t="s">
        <v>1302</v>
      </c>
      <c r="I247" s="39" t="s">
        <v>1572</v>
      </c>
      <c r="J247" s="41" t="s">
        <v>1573</v>
      </c>
      <c r="K247" s="41" t="s">
        <v>1573</v>
      </c>
      <c r="L247" s="39" t="s">
        <v>1511</v>
      </c>
      <c r="M247" s="9">
        <f t="shared" si="92"/>
        <v>1191000</v>
      </c>
      <c r="N247" s="9">
        <f t="shared" si="93"/>
        <v>1191000</v>
      </c>
      <c r="O247" s="9">
        <f t="shared" si="94"/>
        <v>1162750</v>
      </c>
      <c r="P247" s="9">
        <f t="shared" si="95"/>
        <v>1162750</v>
      </c>
      <c r="Q247" s="8">
        <v>400</v>
      </c>
      <c r="R247" s="7">
        <f t="shared" si="87"/>
        <v>1230</v>
      </c>
      <c r="S247" s="12">
        <f t="shared" si="88"/>
        <v>1756</v>
      </c>
      <c r="T247" s="12">
        <v>99.99</v>
      </c>
      <c r="U247" s="38" t="s">
        <v>1574</v>
      </c>
      <c r="V247" s="38" t="s">
        <v>1574</v>
      </c>
      <c r="W247" s="12"/>
      <c r="X247" s="12"/>
      <c r="Y247" s="12"/>
      <c r="Z247" s="12"/>
      <c r="AA247" s="12"/>
      <c r="AB247" s="9"/>
    </row>
    <row r="248" s="3" customFormat="1" customHeight="1" spans="1:28">
      <c r="A248" s="12"/>
      <c r="B248" s="12"/>
      <c r="C248" s="9">
        <v>10243</v>
      </c>
      <c r="D248" s="9">
        <v>1242</v>
      </c>
      <c r="E248" s="9">
        <v>7</v>
      </c>
      <c r="F248" s="9" t="s">
        <v>1575</v>
      </c>
      <c r="G248" s="39" t="s">
        <v>1576</v>
      </c>
      <c r="H248" s="37" t="s">
        <v>1302</v>
      </c>
      <c r="I248" s="39" t="s">
        <v>1577</v>
      </c>
      <c r="J248" s="41" t="s">
        <v>1337</v>
      </c>
      <c r="K248" s="41" t="s">
        <v>1337</v>
      </c>
      <c r="L248" s="39" t="s">
        <v>1567</v>
      </c>
      <c r="M248" s="9">
        <f t="shared" si="92"/>
        <v>1221000</v>
      </c>
      <c r="N248" s="9">
        <f t="shared" si="93"/>
        <v>1221000</v>
      </c>
      <c r="O248" s="9">
        <f t="shared" si="94"/>
        <v>1192750</v>
      </c>
      <c r="P248" s="9">
        <f t="shared" si="95"/>
        <v>1192750</v>
      </c>
      <c r="Q248" s="8">
        <v>400</v>
      </c>
      <c r="R248" s="7">
        <f t="shared" si="87"/>
        <v>1248</v>
      </c>
      <c r="S248" s="12">
        <f t="shared" si="88"/>
        <v>1786</v>
      </c>
      <c r="T248" s="12">
        <v>99.99</v>
      </c>
      <c r="U248" s="38" t="s">
        <v>1578</v>
      </c>
      <c r="V248" s="38" t="s">
        <v>1578</v>
      </c>
      <c r="W248" s="12"/>
      <c r="X248" s="12"/>
      <c r="Y248" s="12"/>
      <c r="Z248" s="12"/>
      <c r="AA248" s="12"/>
      <c r="AB248" s="9"/>
    </row>
    <row r="249" s="3" customFormat="1" customHeight="1" spans="1:28">
      <c r="A249" s="12"/>
      <c r="B249" s="12"/>
      <c r="C249" s="9">
        <v>10244</v>
      </c>
      <c r="D249" s="9">
        <v>1243</v>
      </c>
      <c r="E249" s="9">
        <v>7</v>
      </c>
      <c r="F249" s="9" t="s">
        <v>1579</v>
      </c>
      <c r="G249" s="39" t="s">
        <v>1580</v>
      </c>
      <c r="H249" s="37" t="s">
        <v>1302</v>
      </c>
      <c r="I249" s="39" t="s">
        <v>1581</v>
      </c>
      <c r="J249" s="41" t="s">
        <v>1582</v>
      </c>
      <c r="K249" s="41" t="s">
        <v>1582</v>
      </c>
      <c r="L249" s="39" t="s">
        <v>1576</v>
      </c>
      <c r="M249" s="9">
        <f t="shared" si="92"/>
        <v>1251000</v>
      </c>
      <c r="N249" s="9">
        <f t="shared" si="93"/>
        <v>1251000</v>
      </c>
      <c r="O249" s="9">
        <f t="shared" si="94"/>
        <v>1222750</v>
      </c>
      <c r="P249" s="9">
        <f t="shared" si="95"/>
        <v>1222750</v>
      </c>
      <c r="Q249" s="8">
        <v>400</v>
      </c>
      <c r="R249" s="7">
        <f t="shared" si="87"/>
        <v>1266</v>
      </c>
      <c r="S249" s="12">
        <f t="shared" si="88"/>
        <v>1816</v>
      </c>
      <c r="T249" s="12">
        <v>99.99</v>
      </c>
      <c r="U249" s="38" t="s">
        <v>1583</v>
      </c>
      <c r="V249" s="38" t="s">
        <v>1583</v>
      </c>
      <c r="W249" s="12"/>
      <c r="X249" s="12"/>
      <c r="Y249" s="12"/>
      <c r="Z249" s="12"/>
      <c r="AA249" s="12"/>
      <c r="AB249" s="9"/>
    </row>
    <row r="250" s="3" customFormat="1" customHeight="1" spans="1:28">
      <c r="A250" s="12"/>
      <c r="B250" s="12"/>
      <c r="C250" s="9">
        <v>10245</v>
      </c>
      <c r="D250" s="9">
        <v>1244</v>
      </c>
      <c r="E250" s="9">
        <v>7</v>
      </c>
      <c r="F250" s="9" t="s">
        <v>1584</v>
      </c>
      <c r="G250" s="39" t="s">
        <v>1520</v>
      </c>
      <c r="H250" s="37" t="s">
        <v>1302</v>
      </c>
      <c r="I250" s="39" t="s">
        <v>1585</v>
      </c>
      <c r="J250" s="41" t="s">
        <v>1354</v>
      </c>
      <c r="K250" s="41" t="s">
        <v>1354</v>
      </c>
      <c r="L250" s="39" t="s">
        <v>1520</v>
      </c>
      <c r="M250" s="9">
        <f t="shared" si="92"/>
        <v>1281000</v>
      </c>
      <c r="N250" s="9">
        <f t="shared" si="93"/>
        <v>1281000</v>
      </c>
      <c r="O250" s="9">
        <f t="shared" si="94"/>
        <v>1252750</v>
      </c>
      <c r="P250" s="9">
        <f t="shared" si="95"/>
        <v>1252750</v>
      </c>
      <c r="Q250" s="8">
        <v>400</v>
      </c>
      <c r="R250" s="7">
        <f t="shared" si="87"/>
        <v>1284</v>
      </c>
      <c r="S250" s="12">
        <f t="shared" si="88"/>
        <v>1846</v>
      </c>
      <c r="T250" s="12">
        <v>99.99</v>
      </c>
      <c r="U250" s="38" t="s">
        <v>1586</v>
      </c>
      <c r="V250" s="38" t="s">
        <v>1586</v>
      </c>
      <c r="W250" s="12"/>
      <c r="X250" s="12"/>
      <c r="Y250" s="12"/>
      <c r="Z250" s="12"/>
      <c r="AA250" s="12"/>
      <c r="AB250" s="9"/>
    </row>
    <row r="251" customHeight="1" spans="1:28">
      <c r="R251" s="7"/>
      <c r="S251" s="12"/>
      <c r="U251"/>
      <c r="V251"/>
    </row>
  </sheetData>
  <dataValidations count="1">
    <dataValidation type="custom" allowBlank="1" showErrorMessage="1" errorTitle="拒绝重复输入" error="当前输入的内容，与本区域的其他单元格内容重复。" sqref="C3:T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5"/>
  <sheetViews>
    <sheetView tabSelected="1" workbookViewId="0">
      <selection activeCell="F1" sqref="F$1:F$1048576"/>
    </sheetView>
  </sheetViews>
  <sheetFormatPr defaultColWidth="9" defaultRowHeight="18" customHeight="1"/>
  <cols>
    <col min="1" max="1" width="6.875" style="5" customWidth="1"/>
    <col min="2" max="2" width="9" style="5"/>
    <col min="3" max="3" width="9.875" style="1" customWidth="1"/>
    <col min="4" max="4" width="11.125" style="1" customWidth="1"/>
    <col min="5" max="5" width="5.875" style="1" customWidth="1"/>
    <col min="6" max="6" width="12.125" style="1" customWidth="1"/>
    <col min="7" max="7" width="32.5083333333333" style="5" customWidth="1"/>
    <col min="8" max="8" width="24.6666666666667" style="5" customWidth="1"/>
    <col min="9" max="9" width="21.75" style="5" customWidth="1"/>
    <col min="10" max="10" width="11.75" style="5" customWidth="1"/>
    <col min="11" max="11" width="8.75" style="5" customWidth="1"/>
    <col min="12" max="12" width="11.75" style="5" customWidth="1"/>
    <col min="13" max="13" width="12.75" style="5" customWidth="1"/>
    <col min="14" max="14" width="9.375" style="5" customWidth="1"/>
    <col min="15" max="15" width="9.125" style="5" customWidth="1"/>
    <col min="16" max="17" width="8.75" style="5" customWidth="1"/>
    <col min="18" max="18" width="9.875" style="5" customWidth="1"/>
    <col min="19" max="19" width="10.8333333333333" style="5" customWidth="1"/>
    <col min="20" max="20" width="7.125" style="5" customWidth="1"/>
    <col min="21" max="21" width="16.375" style="5" customWidth="1"/>
    <col min="22" max="22" width="13" style="5" customWidth="1"/>
    <col min="23" max="23" width="11.125" style="1"/>
    <col min="24" max="24" width="9" style="1"/>
    <col min="25" max="25" width="13.625" style="5" customWidth="1"/>
    <col min="26" max="26" width="8.125" style="5" customWidth="1"/>
    <col min="27" max="27" width="9.625" style="5" customWidth="1"/>
    <col min="28" max="16384" width="9" style="5"/>
  </cols>
  <sheetData>
    <row r="1" s="1" customFormat="1" customHeight="1" spans="1:28">
      <c r="A1" s="5"/>
      <c r="B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Y1" s="5"/>
      <c r="Z1" s="5"/>
      <c r="AA1" s="5"/>
    </row>
    <row r="2" s="1" customFormat="1" customHeight="1" spans="1:28">
      <c r="A2" s="5"/>
      <c r="B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Y2" s="5"/>
      <c r="Z2" s="5"/>
      <c r="AA2" s="5"/>
    </row>
    <row r="3" s="1" customFormat="1" customHeight="1" spans="1:28">
      <c r="A3" s="5"/>
      <c r="B3" s="5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Y3" s="5"/>
      <c r="Z3" s="5"/>
      <c r="AA3" s="5"/>
    </row>
    <row r="4" s="1" customFormat="1" customHeight="1" spans="1:28">
      <c r="A4" s="5"/>
      <c r="B4" s="5"/>
      <c r="C4" s="6" t="s">
        <v>20</v>
      </c>
      <c r="D4" s="6" t="s">
        <v>21</v>
      </c>
      <c r="E4" s="6" t="s">
        <v>2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14</v>
      </c>
      <c r="R4" s="6" t="s">
        <v>15</v>
      </c>
      <c r="S4" s="6" t="s">
        <v>16</v>
      </c>
      <c r="T4" s="6" t="s">
        <v>17</v>
      </c>
      <c r="U4" s="6" t="s">
        <v>26</v>
      </c>
      <c r="V4" s="6" t="s">
        <v>27</v>
      </c>
      <c r="Y4" s="5"/>
      <c r="Z4" s="5"/>
      <c r="AA4" s="5"/>
    </row>
    <row r="5" s="1" customFormat="1" customHeight="1" spans="1:28">
      <c r="A5" s="5"/>
      <c r="B5" s="5"/>
      <c r="C5" s="6" t="s">
        <v>28</v>
      </c>
      <c r="D5" s="6" t="s">
        <v>28</v>
      </c>
      <c r="E5" s="6" t="s">
        <v>28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s">
        <v>30</v>
      </c>
      <c r="U5" s="6" t="s">
        <v>31</v>
      </c>
      <c r="V5" s="6" t="s">
        <v>31</v>
      </c>
      <c r="Y5" s="5"/>
      <c r="Z5" s="5"/>
      <c r="AA5" s="5"/>
    </row>
    <row r="6" s="2" customFormat="1" customHeight="1" spans="1:28">
      <c r="A6" s="7"/>
      <c r="B6" s="7"/>
      <c r="C6" s="2">
        <v>1246</v>
      </c>
      <c r="D6" s="8">
        <v>1245</v>
      </c>
      <c r="E6" s="9">
        <v>8</v>
      </c>
      <c r="F6" s="2" t="s">
        <v>1587</v>
      </c>
      <c r="G6" s="39" t="s">
        <v>1588</v>
      </c>
      <c r="H6" s="37" t="s">
        <v>1249</v>
      </c>
      <c r="I6" s="39" t="s">
        <v>1589</v>
      </c>
      <c r="J6" s="39" t="s">
        <v>1590</v>
      </c>
      <c r="K6" s="39" t="s">
        <v>1590</v>
      </c>
      <c r="L6" s="39" t="s">
        <v>1526</v>
      </c>
      <c r="M6" s="8">
        <v>1500000</v>
      </c>
      <c r="N6" s="8">
        <v>1500000</v>
      </c>
      <c r="O6" s="8">
        <v>1500000</v>
      </c>
      <c r="P6" s="8">
        <v>1500000</v>
      </c>
      <c r="Q6" s="8">
        <v>400</v>
      </c>
      <c r="R6" s="7">
        <v>1310</v>
      </c>
      <c r="S6" s="7">
        <v>1900</v>
      </c>
      <c r="T6" s="7">
        <v>99.99</v>
      </c>
      <c r="U6" s="38" t="s">
        <v>1591</v>
      </c>
      <c r="V6" s="38" t="s">
        <v>1591</v>
      </c>
      <c r="W6" s="7"/>
      <c r="X6" s="7"/>
      <c r="Y6" s="7"/>
      <c r="Z6" s="7"/>
      <c r="AA6" s="7"/>
      <c r="AB6" s="8"/>
    </row>
    <row r="7" s="3" customFormat="1" customHeight="1" spans="1:28">
      <c r="A7" s="12"/>
      <c r="B7" s="12"/>
      <c r="C7" s="1">
        <v>1247</v>
      </c>
      <c r="D7" s="9">
        <v>1246</v>
      </c>
      <c r="E7" s="9">
        <v>8</v>
      </c>
      <c r="F7" s="2" t="s">
        <v>1592</v>
      </c>
      <c r="G7" s="39" t="s">
        <v>1593</v>
      </c>
      <c r="H7" s="37" t="s">
        <v>1249</v>
      </c>
      <c r="I7" s="39" t="s">
        <v>1594</v>
      </c>
      <c r="J7" s="41" t="s">
        <v>1370</v>
      </c>
      <c r="K7" s="41" t="s">
        <v>1370</v>
      </c>
      <c r="L7" s="39" t="s">
        <v>1530</v>
      </c>
      <c r="M7" s="9">
        <f t="shared" ref="M7:M40" si="0">M6+100000</f>
        <v>1600000</v>
      </c>
      <c r="N7" s="9">
        <f t="shared" ref="N7:P7" si="1">N6+100000</f>
        <v>1600000</v>
      </c>
      <c r="O7" s="9">
        <f t="shared" si="1"/>
        <v>1600000</v>
      </c>
      <c r="P7" s="9">
        <f t="shared" si="1"/>
        <v>1600000</v>
      </c>
      <c r="Q7" s="8">
        <v>400</v>
      </c>
      <c r="R7" s="7">
        <f t="shared" ref="R7:R40" si="2">R6+20</f>
        <v>1330</v>
      </c>
      <c r="S7" s="12">
        <f>S6+30</f>
        <v>1930</v>
      </c>
      <c r="T7" s="12">
        <v>99.99</v>
      </c>
      <c r="U7" s="38" t="s">
        <v>1595</v>
      </c>
      <c r="V7" s="38" t="s">
        <v>1595</v>
      </c>
      <c r="W7" s="12"/>
      <c r="X7" s="12"/>
      <c r="Y7" s="12"/>
      <c r="Z7" s="12"/>
      <c r="AA7" s="12"/>
      <c r="AB7" s="9"/>
    </row>
    <row r="8" s="3" customFormat="1" customHeight="1" spans="1:28">
      <c r="A8" s="12"/>
      <c r="B8" s="12"/>
      <c r="C8" s="1">
        <v>1248</v>
      </c>
      <c r="D8" s="9">
        <v>1247</v>
      </c>
      <c r="E8" s="9">
        <v>8</v>
      </c>
      <c r="F8" s="2" t="s">
        <v>1596</v>
      </c>
      <c r="G8" s="39" t="s">
        <v>1526</v>
      </c>
      <c r="H8" s="37" t="s">
        <v>1249</v>
      </c>
      <c r="I8" s="39" t="s">
        <v>1597</v>
      </c>
      <c r="J8" s="39" t="s">
        <v>1598</v>
      </c>
      <c r="K8" s="39" t="s">
        <v>1598</v>
      </c>
      <c r="L8" s="39" t="s">
        <v>1535</v>
      </c>
      <c r="M8" s="9">
        <f t="shared" si="0"/>
        <v>1700000</v>
      </c>
      <c r="N8" s="9">
        <f t="shared" ref="N8:P8" si="3">N7+100000</f>
        <v>1700000</v>
      </c>
      <c r="O8" s="9">
        <f t="shared" si="3"/>
        <v>1700000</v>
      </c>
      <c r="P8" s="9">
        <f t="shared" si="3"/>
        <v>1700000</v>
      </c>
      <c r="Q8" s="8">
        <v>400</v>
      </c>
      <c r="R8" s="7">
        <f t="shared" si="2"/>
        <v>1350</v>
      </c>
      <c r="S8" s="12">
        <f t="shared" ref="S7:S40" si="4">S7+30</f>
        <v>1960</v>
      </c>
      <c r="T8" s="12">
        <v>99.99</v>
      </c>
      <c r="U8" s="38" t="s">
        <v>1599</v>
      </c>
      <c r="V8" s="38" t="s">
        <v>1599</v>
      </c>
      <c r="W8" s="12"/>
      <c r="X8" s="12"/>
      <c r="Y8" s="12"/>
      <c r="Z8" s="12"/>
      <c r="AA8" s="12"/>
      <c r="AB8" s="9"/>
    </row>
    <row r="9" s="3" customFormat="1" customHeight="1" spans="1:28">
      <c r="A9" s="12"/>
      <c r="B9" s="12"/>
      <c r="C9" s="1">
        <v>1249</v>
      </c>
      <c r="D9" s="9">
        <v>1248</v>
      </c>
      <c r="E9" s="9">
        <v>8</v>
      </c>
      <c r="F9" s="2" t="s">
        <v>1600</v>
      </c>
      <c r="G9" s="39" t="s">
        <v>1601</v>
      </c>
      <c r="H9" s="37" t="s">
        <v>1249</v>
      </c>
      <c r="I9" s="39" t="s">
        <v>1602</v>
      </c>
      <c r="J9" s="39" t="s">
        <v>1386</v>
      </c>
      <c r="K9" s="39" t="s">
        <v>1386</v>
      </c>
      <c r="L9" s="39" t="s">
        <v>1540</v>
      </c>
      <c r="M9" s="9">
        <f t="shared" si="0"/>
        <v>1800000</v>
      </c>
      <c r="N9" s="9">
        <f t="shared" ref="N9:P9" si="5">N8+100000</f>
        <v>1800000</v>
      </c>
      <c r="O9" s="9">
        <f t="shared" si="5"/>
        <v>1800000</v>
      </c>
      <c r="P9" s="9">
        <f t="shared" si="5"/>
        <v>1800000</v>
      </c>
      <c r="Q9" s="8">
        <v>400</v>
      </c>
      <c r="R9" s="7">
        <f t="shared" si="2"/>
        <v>1370</v>
      </c>
      <c r="S9" s="12">
        <f t="shared" si="4"/>
        <v>1990</v>
      </c>
      <c r="T9" s="12">
        <v>99.99</v>
      </c>
      <c r="U9" s="38" t="s">
        <v>1603</v>
      </c>
      <c r="V9" s="38" t="s">
        <v>1603</v>
      </c>
      <c r="W9" s="12"/>
      <c r="X9" s="12"/>
      <c r="Y9" s="12"/>
      <c r="Z9" s="12"/>
      <c r="AA9" s="12"/>
      <c r="AB9" s="9"/>
    </row>
    <row r="10" s="3" customFormat="1" customHeight="1" spans="1:28">
      <c r="A10" s="12"/>
      <c r="B10" s="12"/>
      <c r="C10" s="1">
        <v>1250</v>
      </c>
      <c r="D10" s="9">
        <v>1249</v>
      </c>
      <c r="E10" s="9">
        <v>8</v>
      </c>
      <c r="F10" s="2" t="s">
        <v>1604</v>
      </c>
      <c r="G10" s="39" t="s">
        <v>1605</v>
      </c>
      <c r="H10" s="37" t="s">
        <v>1249</v>
      </c>
      <c r="I10" s="39" t="s">
        <v>1606</v>
      </c>
      <c r="J10" s="39" t="s">
        <v>1446</v>
      </c>
      <c r="K10" s="39" t="s">
        <v>1446</v>
      </c>
      <c r="L10" s="39" t="s">
        <v>1545</v>
      </c>
      <c r="M10" s="9">
        <f t="shared" si="0"/>
        <v>1900000</v>
      </c>
      <c r="N10" s="9">
        <f t="shared" ref="N10:P10" si="6">N9+100000</f>
        <v>1900000</v>
      </c>
      <c r="O10" s="9">
        <f t="shared" si="6"/>
        <v>1900000</v>
      </c>
      <c r="P10" s="9">
        <f t="shared" si="6"/>
        <v>1900000</v>
      </c>
      <c r="Q10" s="8">
        <v>400</v>
      </c>
      <c r="R10" s="7">
        <f t="shared" si="2"/>
        <v>1390</v>
      </c>
      <c r="S10" s="12">
        <f t="shared" si="4"/>
        <v>2020</v>
      </c>
      <c r="T10" s="12">
        <v>99.99</v>
      </c>
      <c r="U10" s="38" t="s">
        <v>1607</v>
      </c>
      <c r="V10" s="38" t="s">
        <v>1607</v>
      </c>
      <c r="W10" s="12"/>
      <c r="X10" s="12"/>
      <c r="Y10" s="12"/>
      <c r="Z10" s="12"/>
      <c r="AA10" s="12"/>
      <c r="AB10" s="9"/>
    </row>
    <row r="11" s="3" customFormat="1" customHeight="1" spans="1:28">
      <c r="A11" s="12"/>
      <c r="B11" s="12"/>
      <c r="C11" s="1">
        <v>1251</v>
      </c>
      <c r="D11" s="9">
        <v>1250</v>
      </c>
      <c r="E11" s="9">
        <v>8</v>
      </c>
      <c r="F11" s="8" t="s">
        <v>1608</v>
      </c>
      <c r="G11" s="39" t="s">
        <v>1530</v>
      </c>
      <c r="H11" s="37" t="s">
        <v>1249</v>
      </c>
      <c r="I11" s="39" t="s">
        <v>1609</v>
      </c>
      <c r="J11" s="39" t="s">
        <v>1400</v>
      </c>
      <c r="K11" s="39" t="s">
        <v>1400</v>
      </c>
      <c r="L11" s="39" t="s">
        <v>1549</v>
      </c>
      <c r="M11" s="9">
        <f t="shared" si="0"/>
        <v>2000000</v>
      </c>
      <c r="N11" s="9">
        <f t="shared" ref="N11:P11" si="7">N10+100000</f>
        <v>2000000</v>
      </c>
      <c r="O11" s="9">
        <f t="shared" si="7"/>
        <v>2000000</v>
      </c>
      <c r="P11" s="9">
        <f t="shared" si="7"/>
        <v>2000000</v>
      </c>
      <c r="Q11" s="8">
        <v>400</v>
      </c>
      <c r="R11" s="7">
        <f t="shared" si="2"/>
        <v>1410</v>
      </c>
      <c r="S11" s="12">
        <f t="shared" si="4"/>
        <v>2050</v>
      </c>
      <c r="T11" s="12">
        <v>99.99</v>
      </c>
      <c r="U11" s="38" t="s">
        <v>1610</v>
      </c>
      <c r="V11" s="38" t="s">
        <v>1610</v>
      </c>
      <c r="W11" s="12"/>
      <c r="X11" s="12"/>
      <c r="Y11" s="12"/>
      <c r="Z11" s="12"/>
      <c r="AA11" s="12"/>
      <c r="AB11" s="9"/>
    </row>
    <row r="12" s="3" customFormat="1" customHeight="1" spans="1:28">
      <c r="A12" s="12"/>
      <c r="B12" s="12"/>
      <c r="C12" s="1">
        <v>1252</v>
      </c>
      <c r="D12" s="9">
        <v>1251</v>
      </c>
      <c r="E12" s="9">
        <v>8</v>
      </c>
      <c r="F12" s="9" t="s">
        <v>1611</v>
      </c>
      <c r="G12" s="39" t="s">
        <v>1612</v>
      </c>
      <c r="H12" s="37" t="s">
        <v>1249</v>
      </c>
      <c r="I12" s="39" t="s">
        <v>1613</v>
      </c>
      <c r="J12" s="39" t="s">
        <v>1411</v>
      </c>
      <c r="K12" s="39" t="s">
        <v>1411</v>
      </c>
      <c r="L12" s="39" t="s">
        <v>1555</v>
      </c>
      <c r="M12" s="9">
        <f t="shared" si="0"/>
        <v>2100000</v>
      </c>
      <c r="N12" s="9">
        <f t="shared" ref="N12:P12" si="8">N11+100000</f>
        <v>2100000</v>
      </c>
      <c r="O12" s="9">
        <f t="shared" si="8"/>
        <v>2100000</v>
      </c>
      <c r="P12" s="9">
        <f t="shared" si="8"/>
        <v>2100000</v>
      </c>
      <c r="Q12" s="8">
        <v>400</v>
      </c>
      <c r="R12" s="7">
        <f t="shared" si="2"/>
        <v>1430</v>
      </c>
      <c r="S12" s="12">
        <f t="shared" si="4"/>
        <v>2080</v>
      </c>
      <c r="T12" s="12">
        <v>99.99</v>
      </c>
      <c r="U12" s="38" t="s">
        <v>1614</v>
      </c>
      <c r="V12" s="38" t="s">
        <v>1614</v>
      </c>
      <c r="W12" s="12"/>
      <c r="X12" s="12"/>
      <c r="Y12" s="12"/>
      <c r="Z12" s="12"/>
      <c r="AA12" s="12"/>
      <c r="AB12" s="9"/>
    </row>
    <row r="13" s="3" customFormat="1" customHeight="1" spans="1:28">
      <c r="A13" s="12"/>
      <c r="B13" s="12"/>
      <c r="C13" s="1">
        <v>1253</v>
      </c>
      <c r="D13" s="9">
        <v>1252</v>
      </c>
      <c r="E13" s="9">
        <v>8</v>
      </c>
      <c r="F13" s="9" t="s">
        <v>1615</v>
      </c>
      <c r="G13" s="39" t="s">
        <v>1616</v>
      </c>
      <c r="H13" s="37" t="s">
        <v>1249</v>
      </c>
      <c r="I13" s="39" t="s">
        <v>1617</v>
      </c>
      <c r="J13" s="39" t="s">
        <v>1456</v>
      </c>
      <c r="K13" s="39" t="s">
        <v>1456</v>
      </c>
      <c r="L13" s="39" t="s">
        <v>1559</v>
      </c>
      <c r="M13" s="9">
        <f t="shared" si="0"/>
        <v>2200000</v>
      </c>
      <c r="N13" s="9">
        <f t="shared" ref="N13:P13" si="9">N12+100000</f>
        <v>2200000</v>
      </c>
      <c r="O13" s="9">
        <f t="shared" si="9"/>
        <v>2200000</v>
      </c>
      <c r="P13" s="9">
        <f t="shared" si="9"/>
        <v>2200000</v>
      </c>
      <c r="Q13" s="8">
        <v>400</v>
      </c>
      <c r="R13" s="7">
        <f t="shared" si="2"/>
        <v>1450</v>
      </c>
      <c r="S13" s="12">
        <f t="shared" si="4"/>
        <v>2110</v>
      </c>
      <c r="T13" s="12">
        <v>99.99</v>
      </c>
      <c r="U13" s="38" t="s">
        <v>1618</v>
      </c>
      <c r="V13" s="38" t="s">
        <v>1618</v>
      </c>
      <c r="W13" s="12"/>
      <c r="X13" s="12"/>
      <c r="Y13" s="12"/>
      <c r="Z13" s="12"/>
      <c r="AA13" s="12"/>
      <c r="AB13" s="9"/>
    </row>
    <row r="14" s="3" customFormat="1" customHeight="1" spans="1:28">
      <c r="A14" s="12"/>
      <c r="B14" s="12"/>
      <c r="C14" s="1">
        <v>1254</v>
      </c>
      <c r="D14" s="9">
        <v>1253</v>
      </c>
      <c r="E14" s="9">
        <v>8</v>
      </c>
      <c r="F14" s="9" t="s">
        <v>1619</v>
      </c>
      <c r="G14" s="39" t="s">
        <v>1535</v>
      </c>
      <c r="H14" s="37" t="s">
        <v>1249</v>
      </c>
      <c r="I14" s="39" t="s">
        <v>1620</v>
      </c>
      <c r="J14" s="39" t="s">
        <v>1425</v>
      </c>
      <c r="K14" s="39" t="s">
        <v>1425</v>
      </c>
      <c r="L14" s="39" t="s">
        <v>1564</v>
      </c>
      <c r="M14" s="9">
        <f t="shared" si="0"/>
        <v>2300000</v>
      </c>
      <c r="N14" s="9">
        <f t="shared" ref="N14:P14" si="10">N13+100000</f>
        <v>2300000</v>
      </c>
      <c r="O14" s="9">
        <f t="shared" si="10"/>
        <v>2300000</v>
      </c>
      <c r="P14" s="9">
        <f t="shared" si="10"/>
        <v>2300000</v>
      </c>
      <c r="Q14" s="8">
        <v>400</v>
      </c>
      <c r="R14" s="7">
        <f t="shared" si="2"/>
        <v>1470</v>
      </c>
      <c r="S14" s="12">
        <f t="shared" si="4"/>
        <v>2140</v>
      </c>
      <c r="T14" s="12">
        <v>99.99</v>
      </c>
      <c r="U14" s="38" t="s">
        <v>1621</v>
      </c>
      <c r="V14" s="38" t="s">
        <v>1621</v>
      </c>
      <c r="W14" s="12"/>
      <c r="X14" s="12"/>
      <c r="Y14" s="12"/>
      <c r="Z14" s="12"/>
      <c r="AA14" s="12"/>
      <c r="AB14" s="9"/>
    </row>
    <row r="15" s="3" customFormat="1" customHeight="1" spans="1:28">
      <c r="A15" s="12"/>
      <c r="B15" s="12"/>
      <c r="C15" s="1">
        <v>1255</v>
      </c>
      <c r="D15" s="9">
        <v>1254</v>
      </c>
      <c r="E15" s="9">
        <v>8</v>
      </c>
      <c r="F15" s="9" t="s">
        <v>1622</v>
      </c>
      <c r="G15" s="39" t="s">
        <v>1623</v>
      </c>
      <c r="H15" s="37" t="s">
        <v>1249</v>
      </c>
      <c r="I15" s="39" t="s">
        <v>1624</v>
      </c>
      <c r="J15" s="39" t="s">
        <v>1625</v>
      </c>
      <c r="K15" s="39" t="s">
        <v>1625</v>
      </c>
      <c r="L15" s="39" t="s">
        <v>1568</v>
      </c>
      <c r="M15" s="9">
        <f t="shared" si="0"/>
        <v>2400000</v>
      </c>
      <c r="N15" s="9">
        <f t="shared" ref="N15:P15" si="11">N14+100000</f>
        <v>2400000</v>
      </c>
      <c r="O15" s="9">
        <f t="shared" si="11"/>
        <v>2400000</v>
      </c>
      <c r="P15" s="9">
        <f t="shared" si="11"/>
        <v>2400000</v>
      </c>
      <c r="Q15" s="8">
        <v>400</v>
      </c>
      <c r="R15" s="7">
        <f t="shared" si="2"/>
        <v>1490</v>
      </c>
      <c r="S15" s="12">
        <f t="shared" si="4"/>
        <v>2170</v>
      </c>
      <c r="T15" s="12">
        <v>99.99</v>
      </c>
      <c r="U15" s="38" t="s">
        <v>1626</v>
      </c>
      <c r="V15" s="38" t="s">
        <v>1626</v>
      </c>
      <c r="W15" s="12"/>
      <c r="X15" s="12"/>
      <c r="Y15" s="12"/>
      <c r="Z15" s="12"/>
      <c r="AA15" s="12"/>
      <c r="AB15" s="9"/>
    </row>
    <row r="16" s="2" customFormat="1" customHeight="1" spans="1:28">
      <c r="A16" s="7"/>
      <c r="B16" s="7"/>
      <c r="C16" s="1">
        <v>1256</v>
      </c>
      <c r="D16" s="9">
        <v>1255</v>
      </c>
      <c r="E16" s="9">
        <v>8</v>
      </c>
      <c r="F16" s="8" t="s">
        <v>1627</v>
      </c>
      <c r="G16" s="39" t="s">
        <v>1628</v>
      </c>
      <c r="H16" s="37" t="s">
        <v>1249</v>
      </c>
      <c r="I16" s="39" t="s">
        <v>1629</v>
      </c>
      <c r="J16" s="39" t="s">
        <v>1630</v>
      </c>
      <c r="K16" s="39" t="s">
        <v>1630</v>
      </c>
      <c r="L16" s="39" t="s">
        <v>1572</v>
      </c>
      <c r="M16" s="9">
        <f t="shared" si="0"/>
        <v>2500000</v>
      </c>
      <c r="N16" s="9">
        <f t="shared" ref="N16:P16" si="12">N15+100000</f>
        <v>2500000</v>
      </c>
      <c r="O16" s="9">
        <f t="shared" si="12"/>
        <v>2500000</v>
      </c>
      <c r="P16" s="9">
        <f t="shared" si="12"/>
        <v>2500000</v>
      </c>
      <c r="Q16" s="8">
        <v>400</v>
      </c>
      <c r="R16" s="7">
        <f t="shared" si="2"/>
        <v>1510</v>
      </c>
      <c r="S16" s="12">
        <f t="shared" si="4"/>
        <v>2200</v>
      </c>
      <c r="T16" s="12">
        <v>99.99</v>
      </c>
      <c r="U16" s="38" t="s">
        <v>1631</v>
      </c>
      <c r="V16" s="38" t="s">
        <v>1631</v>
      </c>
      <c r="W16" s="7"/>
      <c r="X16" s="7"/>
      <c r="Y16" s="7"/>
      <c r="Z16" s="7"/>
      <c r="AA16" s="7"/>
      <c r="AB16" s="8"/>
    </row>
    <row r="17" s="2" customFormat="1" customHeight="1" spans="1:28">
      <c r="A17" s="7"/>
      <c r="B17" s="7"/>
      <c r="C17" s="1">
        <v>1257</v>
      </c>
      <c r="D17" s="9">
        <v>1256</v>
      </c>
      <c r="E17" s="9">
        <v>8</v>
      </c>
      <c r="F17" s="8" t="s">
        <v>1632</v>
      </c>
      <c r="G17" s="39" t="s">
        <v>1540</v>
      </c>
      <c r="H17" s="37" t="s">
        <v>1249</v>
      </c>
      <c r="I17" s="39" t="s">
        <v>1633</v>
      </c>
      <c r="J17" s="39" t="s">
        <v>1634</v>
      </c>
      <c r="K17" s="39" t="s">
        <v>1634</v>
      </c>
      <c r="L17" s="39" t="s">
        <v>1577</v>
      </c>
      <c r="M17" s="9">
        <f t="shared" si="0"/>
        <v>2600000</v>
      </c>
      <c r="N17" s="9">
        <f t="shared" ref="N17:P17" si="13">N16+100000</f>
        <v>2600000</v>
      </c>
      <c r="O17" s="9">
        <f t="shared" si="13"/>
        <v>2600000</v>
      </c>
      <c r="P17" s="9">
        <f t="shared" si="13"/>
        <v>2600000</v>
      </c>
      <c r="Q17" s="8">
        <v>400</v>
      </c>
      <c r="R17" s="7">
        <f t="shared" si="2"/>
        <v>1530</v>
      </c>
      <c r="S17" s="12">
        <f t="shared" si="4"/>
        <v>2230</v>
      </c>
      <c r="T17" s="12">
        <v>99.99</v>
      </c>
      <c r="U17" s="38" t="s">
        <v>1635</v>
      </c>
      <c r="V17" s="38" t="s">
        <v>1635</v>
      </c>
      <c r="W17" s="7"/>
      <c r="X17" s="7"/>
      <c r="Y17" s="7"/>
      <c r="Z17" s="7"/>
      <c r="AA17" s="7"/>
      <c r="AB17" s="8"/>
    </row>
    <row r="18" s="2" customFormat="1" customHeight="1" spans="1:28">
      <c r="A18" s="7"/>
      <c r="B18" s="7"/>
      <c r="C18" s="1">
        <v>1258</v>
      </c>
      <c r="D18" s="9">
        <v>1257</v>
      </c>
      <c r="E18" s="9">
        <v>8</v>
      </c>
      <c r="F18" s="8" t="s">
        <v>1636</v>
      </c>
      <c r="G18" s="39" t="s">
        <v>1637</v>
      </c>
      <c r="H18" s="37" t="s">
        <v>1249</v>
      </c>
      <c r="I18" s="39" t="s">
        <v>1638</v>
      </c>
      <c r="J18" s="39" t="s">
        <v>1467</v>
      </c>
      <c r="K18" s="39" t="s">
        <v>1467</v>
      </c>
      <c r="L18" s="39" t="s">
        <v>1581</v>
      </c>
      <c r="M18" s="9">
        <f t="shared" si="0"/>
        <v>2700000</v>
      </c>
      <c r="N18" s="9">
        <f t="shared" ref="N18:P18" si="14">N17+100000</f>
        <v>2700000</v>
      </c>
      <c r="O18" s="9">
        <f t="shared" si="14"/>
        <v>2700000</v>
      </c>
      <c r="P18" s="9">
        <f t="shared" si="14"/>
        <v>2700000</v>
      </c>
      <c r="Q18" s="8">
        <v>400</v>
      </c>
      <c r="R18" s="7">
        <f t="shared" si="2"/>
        <v>1550</v>
      </c>
      <c r="S18" s="12">
        <f t="shared" si="4"/>
        <v>2260</v>
      </c>
      <c r="T18" s="12">
        <v>99.99</v>
      </c>
      <c r="U18" s="38" t="s">
        <v>1639</v>
      </c>
      <c r="V18" s="38" t="s">
        <v>1639</v>
      </c>
      <c r="W18" s="7"/>
      <c r="X18" s="7"/>
      <c r="Y18" s="7"/>
      <c r="Z18" s="7"/>
      <c r="AA18" s="7"/>
      <c r="AB18" s="8"/>
    </row>
    <row r="19" s="2" customFormat="1" customHeight="1" spans="1:28">
      <c r="A19" s="7"/>
      <c r="B19" s="7"/>
      <c r="C19" s="1">
        <v>1259</v>
      </c>
      <c r="D19" s="9">
        <v>1258</v>
      </c>
      <c r="E19" s="9">
        <v>8</v>
      </c>
      <c r="F19" s="8" t="s">
        <v>1640</v>
      </c>
      <c r="G19" s="39" t="s">
        <v>1641</v>
      </c>
      <c r="H19" s="37" t="s">
        <v>1249</v>
      </c>
      <c r="I19" s="39" t="s">
        <v>1642</v>
      </c>
      <c r="J19" s="39" t="s">
        <v>1643</v>
      </c>
      <c r="K19" s="39" t="s">
        <v>1643</v>
      </c>
      <c r="L19" s="39" t="s">
        <v>1585</v>
      </c>
      <c r="M19" s="9">
        <f t="shared" si="0"/>
        <v>2800000</v>
      </c>
      <c r="N19" s="9">
        <f t="shared" ref="N19:P19" si="15">N18+100000</f>
        <v>2800000</v>
      </c>
      <c r="O19" s="9">
        <f t="shared" si="15"/>
        <v>2800000</v>
      </c>
      <c r="P19" s="9">
        <f t="shared" si="15"/>
        <v>2800000</v>
      </c>
      <c r="Q19" s="8">
        <v>400</v>
      </c>
      <c r="R19" s="7">
        <f t="shared" si="2"/>
        <v>1570</v>
      </c>
      <c r="S19" s="12">
        <f t="shared" si="4"/>
        <v>2290</v>
      </c>
      <c r="T19" s="12">
        <v>99.99</v>
      </c>
      <c r="U19" s="38" t="s">
        <v>1644</v>
      </c>
      <c r="V19" s="38" t="s">
        <v>1644</v>
      </c>
      <c r="W19" s="7"/>
      <c r="X19" s="7"/>
      <c r="Y19" s="7"/>
      <c r="Z19" s="7"/>
      <c r="AA19" s="7"/>
      <c r="AB19" s="8"/>
    </row>
    <row r="20" s="2" customFormat="1" customHeight="1" spans="1:28">
      <c r="A20" s="7"/>
      <c r="B20" s="7"/>
      <c r="C20" s="1">
        <v>1260</v>
      </c>
      <c r="D20" s="9">
        <v>1259</v>
      </c>
      <c r="E20" s="9">
        <v>8</v>
      </c>
      <c r="F20" s="8" t="s">
        <v>1645</v>
      </c>
      <c r="G20" s="39" t="s">
        <v>1545</v>
      </c>
      <c r="H20" s="37" t="s">
        <v>1249</v>
      </c>
      <c r="I20" s="39" t="s">
        <v>1646</v>
      </c>
      <c r="J20" s="39" t="s">
        <v>1647</v>
      </c>
      <c r="K20" s="39" t="s">
        <v>1647</v>
      </c>
      <c r="L20" s="39" t="s">
        <v>1648</v>
      </c>
      <c r="M20" s="9">
        <f t="shared" si="0"/>
        <v>2900000</v>
      </c>
      <c r="N20" s="9">
        <f t="shared" ref="N20:P20" si="16">N19+100000</f>
        <v>2900000</v>
      </c>
      <c r="O20" s="9">
        <f t="shared" si="16"/>
        <v>2900000</v>
      </c>
      <c r="P20" s="9">
        <f t="shared" si="16"/>
        <v>2900000</v>
      </c>
      <c r="Q20" s="8">
        <v>400</v>
      </c>
      <c r="R20" s="7">
        <f t="shared" si="2"/>
        <v>1590</v>
      </c>
      <c r="S20" s="12">
        <f t="shared" si="4"/>
        <v>2320</v>
      </c>
      <c r="T20" s="12">
        <v>99.99</v>
      </c>
      <c r="U20" s="38" t="s">
        <v>1649</v>
      </c>
      <c r="V20" s="38" t="s">
        <v>1649</v>
      </c>
      <c r="W20" s="7"/>
      <c r="X20" s="7"/>
      <c r="Y20" s="7"/>
      <c r="Z20" s="7"/>
      <c r="AA20" s="7"/>
      <c r="AB20" s="8"/>
    </row>
    <row r="21" s="3" customFormat="1" customHeight="1" spans="1:28">
      <c r="A21" s="12"/>
      <c r="B21" s="12"/>
      <c r="C21" s="1">
        <v>1261</v>
      </c>
      <c r="D21" s="9">
        <v>1260</v>
      </c>
      <c r="E21" s="9">
        <v>8</v>
      </c>
      <c r="F21" s="8" t="s">
        <v>1650</v>
      </c>
      <c r="G21" s="39" t="s">
        <v>1651</v>
      </c>
      <c r="H21" s="37" t="s">
        <v>1249</v>
      </c>
      <c r="I21" s="39" t="s">
        <v>1652</v>
      </c>
      <c r="J21" s="39" t="s">
        <v>1653</v>
      </c>
      <c r="K21" s="39" t="s">
        <v>1653</v>
      </c>
      <c r="L21" s="39" t="s">
        <v>1589</v>
      </c>
      <c r="M21" s="9">
        <f t="shared" si="0"/>
        <v>3000000</v>
      </c>
      <c r="N21" s="9">
        <f t="shared" ref="N21:P21" si="17">N20+100000</f>
        <v>3000000</v>
      </c>
      <c r="O21" s="9">
        <f t="shared" si="17"/>
        <v>3000000</v>
      </c>
      <c r="P21" s="9">
        <f t="shared" si="17"/>
        <v>3000000</v>
      </c>
      <c r="Q21" s="8">
        <v>400</v>
      </c>
      <c r="R21" s="7">
        <f t="shared" si="2"/>
        <v>1610</v>
      </c>
      <c r="S21" s="12">
        <f t="shared" si="4"/>
        <v>2350</v>
      </c>
      <c r="T21" s="12">
        <v>99.99</v>
      </c>
      <c r="U21" s="38" t="s">
        <v>1654</v>
      </c>
      <c r="V21" s="38" t="s">
        <v>1654</v>
      </c>
      <c r="W21" s="12"/>
      <c r="X21" s="12"/>
      <c r="Y21" s="12"/>
      <c r="Z21" s="12"/>
      <c r="AA21" s="12"/>
      <c r="AB21" s="9"/>
    </row>
    <row r="22" s="3" customFormat="1" customHeight="1" spans="1:28">
      <c r="A22" s="12"/>
      <c r="B22" s="12"/>
      <c r="C22" s="1">
        <v>1262</v>
      </c>
      <c r="D22" s="9">
        <v>1261</v>
      </c>
      <c r="E22" s="9">
        <v>8</v>
      </c>
      <c r="F22" s="9" t="s">
        <v>1655</v>
      </c>
      <c r="G22" s="39" t="s">
        <v>1656</v>
      </c>
      <c r="H22" s="37" t="s">
        <v>1249</v>
      </c>
      <c r="I22" s="39" t="s">
        <v>1657</v>
      </c>
      <c r="J22" s="39" t="s">
        <v>1658</v>
      </c>
      <c r="K22" s="39" t="s">
        <v>1658</v>
      </c>
      <c r="L22" s="39" t="s">
        <v>1594</v>
      </c>
      <c r="M22" s="9">
        <f t="shared" si="0"/>
        <v>3100000</v>
      </c>
      <c r="N22" s="9">
        <f t="shared" ref="N22:P22" si="18">N21+100000</f>
        <v>3100000</v>
      </c>
      <c r="O22" s="9">
        <f t="shared" si="18"/>
        <v>3100000</v>
      </c>
      <c r="P22" s="9">
        <f t="shared" si="18"/>
        <v>3100000</v>
      </c>
      <c r="Q22" s="8">
        <v>400</v>
      </c>
      <c r="R22" s="7">
        <f t="shared" si="2"/>
        <v>1630</v>
      </c>
      <c r="S22" s="12">
        <f t="shared" si="4"/>
        <v>2380</v>
      </c>
      <c r="T22" s="12">
        <v>99.99</v>
      </c>
      <c r="U22" s="38" t="s">
        <v>1659</v>
      </c>
      <c r="V22" s="38" t="s">
        <v>1659</v>
      </c>
      <c r="W22" s="12"/>
      <c r="X22" s="12"/>
      <c r="Y22" s="12"/>
      <c r="Z22" s="12"/>
      <c r="AA22" s="12"/>
      <c r="AB22" s="9"/>
    </row>
    <row r="23" s="3" customFormat="1" customHeight="1" spans="1:28">
      <c r="A23" s="12"/>
      <c r="B23" s="12"/>
      <c r="C23" s="1">
        <v>1263</v>
      </c>
      <c r="D23" s="9">
        <v>1262</v>
      </c>
      <c r="E23" s="9">
        <v>8</v>
      </c>
      <c r="F23" s="9" t="s">
        <v>1660</v>
      </c>
      <c r="G23" s="39" t="s">
        <v>1549</v>
      </c>
      <c r="H23" s="37" t="s">
        <v>1249</v>
      </c>
      <c r="I23" s="39" t="s">
        <v>1661</v>
      </c>
      <c r="J23" s="39" t="s">
        <v>1496</v>
      </c>
      <c r="K23" s="39" t="s">
        <v>1496</v>
      </c>
      <c r="L23" s="39" t="s">
        <v>1597</v>
      </c>
      <c r="M23" s="9">
        <f t="shared" si="0"/>
        <v>3200000</v>
      </c>
      <c r="N23" s="9">
        <f t="shared" ref="N23:P23" si="19">N22+100000</f>
        <v>3200000</v>
      </c>
      <c r="O23" s="9">
        <f t="shared" si="19"/>
        <v>3200000</v>
      </c>
      <c r="P23" s="9">
        <f t="shared" si="19"/>
        <v>3200000</v>
      </c>
      <c r="Q23" s="8">
        <v>400</v>
      </c>
      <c r="R23" s="7">
        <f t="shared" si="2"/>
        <v>1650</v>
      </c>
      <c r="S23" s="12">
        <f t="shared" si="4"/>
        <v>2410</v>
      </c>
      <c r="T23" s="12">
        <v>99.99</v>
      </c>
      <c r="U23" s="38" t="s">
        <v>1662</v>
      </c>
      <c r="V23" s="38" t="s">
        <v>1662</v>
      </c>
      <c r="W23" s="12"/>
      <c r="X23" s="12"/>
      <c r="Y23" s="12"/>
      <c r="Z23" s="12"/>
      <c r="AA23" s="12"/>
      <c r="AB23" s="9"/>
    </row>
    <row r="24" s="3" customFormat="1" customHeight="1" spans="1:28">
      <c r="A24" s="12"/>
      <c r="B24" s="12"/>
      <c r="C24" s="1">
        <v>1264</v>
      </c>
      <c r="D24" s="9">
        <v>1263</v>
      </c>
      <c r="E24" s="9">
        <v>8</v>
      </c>
      <c r="F24" s="9" t="s">
        <v>1663</v>
      </c>
      <c r="G24" s="39" t="s">
        <v>1664</v>
      </c>
      <c r="H24" s="37" t="s">
        <v>1249</v>
      </c>
      <c r="I24" s="39" t="s">
        <v>1665</v>
      </c>
      <c r="J24" s="39" t="s">
        <v>1666</v>
      </c>
      <c r="K24" s="39" t="s">
        <v>1666</v>
      </c>
      <c r="L24" s="39" t="s">
        <v>1602</v>
      </c>
      <c r="M24" s="9">
        <f t="shared" si="0"/>
        <v>3300000</v>
      </c>
      <c r="N24" s="9">
        <f t="shared" ref="N24:P24" si="20">N23+100000</f>
        <v>3300000</v>
      </c>
      <c r="O24" s="9">
        <f t="shared" si="20"/>
        <v>3300000</v>
      </c>
      <c r="P24" s="9">
        <f t="shared" si="20"/>
        <v>3300000</v>
      </c>
      <c r="Q24" s="8">
        <v>400</v>
      </c>
      <c r="R24" s="7">
        <f t="shared" si="2"/>
        <v>1670</v>
      </c>
      <c r="S24" s="12">
        <f t="shared" si="4"/>
        <v>2440</v>
      </c>
      <c r="T24" s="12">
        <v>99.99</v>
      </c>
      <c r="U24" s="38" t="s">
        <v>1667</v>
      </c>
      <c r="V24" s="38" t="s">
        <v>1667</v>
      </c>
      <c r="W24" s="12"/>
      <c r="X24" s="12"/>
      <c r="Y24" s="12"/>
      <c r="Z24" s="12"/>
      <c r="AA24" s="12"/>
      <c r="AB24" s="9"/>
    </row>
    <row r="25" s="4" customFormat="1" customHeight="1" spans="1:28">
      <c r="A25" s="13"/>
      <c r="B25" s="13"/>
      <c r="C25" s="1">
        <v>1265</v>
      </c>
      <c r="D25" s="9">
        <v>1264</v>
      </c>
      <c r="E25" s="9">
        <v>8</v>
      </c>
      <c r="F25" s="14" t="s">
        <v>1668</v>
      </c>
      <c r="G25" s="39" t="s">
        <v>1669</v>
      </c>
      <c r="H25" s="37" t="s">
        <v>1249</v>
      </c>
      <c r="I25" s="39" t="s">
        <v>1670</v>
      </c>
      <c r="J25" s="39" t="s">
        <v>1508</v>
      </c>
      <c r="K25" s="39" t="s">
        <v>1508</v>
      </c>
      <c r="L25" s="39" t="s">
        <v>1606</v>
      </c>
      <c r="M25" s="9">
        <f t="shared" si="0"/>
        <v>3400000</v>
      </c>
      <c r="N25" s="9">
        <f t="shared" ref="N25:P25" si="21">N24+100000</f>
        <v>3400000</v>
      </c>
      <c r="O25" s="9">
        <f t="shared" si="21"/>
        <v>3400000</v>
      </c>
      <c r="P25" s="9">
        <f t="shared" si="21"/>
        <v>3400000</v>
      </c>
      <c r="Q25" s="8">
        <v>400</v>
      </c>
      <c r="R25" s="7">
        <f t="shared" si="2"/>
        <v>1690</v>
      </c>
      <c r="S25" s="12">
        <f t="shared" si="4"/>
        <v>2470</v>
      </c>
      <c r="T25" s="12">
        <v>99.99</v>
      </c>
      <c r="U25" s="38" t="s">
        <v>1671</v>
      </c>
      <c r="V25" s="38" t="s">
        <v>1671</v>
      </c>
      <c r="W25" s="13"/>
      <c r="X25" s="13"/>
      <c r="Y25" s="13"/>
      <c r="Z25" s="13"/>
      <c r="AA25" s="13"/>
      <c r="AB25" s="14"/>
    </row>
    <row r="26" s="3" customFormat="1" customHeight="1" spans="1:28">
      <c r="A26" s="12"/>
      <c r="B26" s="12"/>
      <c r="C26" s="1">
        <v>1266</v>
      </c>
      <c r="D26" s="9">
        <v>1265</v>
      </c>
      <c r="E26" s="9">
        <v>8</v>
      </c>
      <c r="F26" s="8" t="s">
        <v>1672</v>
      </c>
      <c r="G26" s="39" t="s">
        <v>1555</v>
      </c>
      <c r="H26" s="37" t="s">
        <v>1249</v>
      </c>
      <c r="I26" s="39" t="s">
        <v>1673</v>
      </c>
      <c r="J26" s="39" t="s">
        <v>1674</v>
      </c>
      <c r="K26" s="39" t="s">
        <v>1674</v>
      </c>
      <c r="L26" s="39" t="s">
        <v>1609</v>
      </c>
      <c r="M26" s="9">
        <f t="shared" si="0"/>
        <v>3500000</v>
      </c>
      <c r="N26" s="9">
        <f t="shared" ref="N26:P26" si="22">N25+100000</f>
        <v>3500000</v>
      </c>
      <c r="O26" s="9">
        <f t="shared" si="22"/>
        <v>3500000</v>
      </c>
      <c r="P26" s="9">
        <f t="shared" si="22"/>
        <v>3500000</v>
      </c>
      <c r="Q26" s="8">
        <v>400</v>
      </c>
      <c r="R26" s="7">
        <f t="shared" si="2"/>
        <v>1710</v>
      </c>
      <c r="S26" s="12">
        <f t="shared" si="4"/>
        <v>2500</v>
      </c>
      <c r="T26" s="12">
        <v>99.99</v>
      </c>
      <c r="U26" s="38" t="s">
        <v>1675</v>
      </c>
      <c r="V26" s="38" t="s">
        <v>1675</v>
      </c>
      <c r="W26" s="12"/>
      <c r="X26" s="12"/>
      <c r="Y26" s="12"/>
      <c r="Z26" s="12"/>
      <c r="AA26" s="12"/>
      <c r="AB26" s="9"/>
    </row>
    <row r="27" s="3" customFormat="1" customHeight="1" spans="1:28">
      <c r="A27" s="12"/>
      <c r="B27" s="12"/>
      <c r="C27" s="1">
        <v>1267</v>
      </c>
      <c r="D27" s="9">
        <v>1266</v>
      </c>
      <c r="E27" s="9">
        <v>8</v>
      </c>
      <c r="F27" s="9" t="s">
        <v>1676</v>
      </c>
      <c r="G27" s="39" t="s">
        <v>1677</v>
      </c>
      <c r="H27" s="37" t="s">
        <v>1249</v>
      </c>
      <c r="I27" s="39" t="s">
        <v>1678</v>
      </c>
      <c r="J27" s="39" t="s">
        <v>1522</v>
      </c>
      <c r="K27" s="39" t="s">
        <v>1522</v>
      </c>
      <c r="L27" s="39" t="s">
        <v>1613</v>
      </c>
      <c r="M27" s="9">
        <f t="shared" si="0"/>
        <v>3600000</v>
      </c>
      <c r="N27" s="9">
        <f t="shared" ref="N27:P27" si="23">N26+100000</f>
        <v>3600000</v>
      </c>
      <c r="O27" s="9">
        <f t="shared" si="23"/>
        <v>3600000</v>
      </c>
      <c r="P27" s="9">
        <f t="shared" si="23"/>
        <v>3600000</v>
      </c>
      <c r="Q27" s="8">
        <v>400</v>
      </c>
      <c r="R27" s="7">
        <f t="shared" si="2"/>
        <v>1730</v>
      </c>
      <c r="S27" s="12">
        <f t="shared" si="4"/>
        <v>2530</v>
      </c>
      <c r="T27" s="12">
        <v>99.99</v>
      </c>
      <c r="U27" s="38" t="s">
        <v>474</v>
      </c>
      <c r="V27" s="38" t="s">
        <v>474</v>
      </c>
      <c r="W27" s="12"/>
      <c r="X27" s="12"/>
      <c r="Y27" s="12"/>
      <c r="Z27" s="12"/>
      <c r="AA27" s="12"/>
      <c r="AB27" s="9"/>
    </row>
    <row r="28" s="3" customFormat="1" customHeight="1" spans="1:28">
      <c r="A28" s="12"/>
      <c r="B28" s="12"/>
      <c r="C28" s="1">
        <v>1268</v>
      </c>
      <c r="D28" s="9">
        <v>1267</v>
      </c>
      <c r="E28" s="9">
        <v>8</v>
      </c>
      <c r="F28" s="9" t="s">
        <v>1679</v>
      </c>
      <c r="G28" s="39" t="s">
        <v>1680</v>
      </c>
      <c r="H28" s="37" t="s">
        <v>1249</v>
      </c>
      <c r="I28" s="39" t="s">
        <v>1681</v>
      </c>
      <c r="J28" s="39" t="s">
        <v>1682</v>
      </c>
      <c r="K28" s="39" t="s">
        <v>1682</v>
      </c>
      <c r="L28" s="39" t="s">
        <v>1617</v>
      </c>
      <c r="M28" s="9">
        <f t="shared" si="0"/>
        <v>3700000</v>
      </c>
      <c r="N28" s="9">
        <f t="shared" ref="N28:P28" si="24">N27+100000</f>
        <v>3700000</v>
      </c>
      <c r="O28" s="9">
        <f t="shared" si="24"/>
        <v>3700000</v>
      </c>
      <c r="P28" s="9">
        <f t="shared" si="24"/>
        <v>3700000</v>
      </c>
      <c r="Q28" s="8">
        <v>400</v>
      </c>
      <c r="R28" s="7">
        <f t="shared" si="2"/>
        <v>1750</v>
      </c>
      <c r="S28" s="12">
        <f t="shared" si="4"/>
        <v>2560</v>
      </c>
      <c r="T28" s="12">
        <v>99.99</v>
      </c>
      <c r="U28" s="38" t="s">
        <v>1683</v>
      </c>
      <c r="V28" s="38" t="s">
        <v>1683</v>
      </c>
      <c r="W28" s="12"/>
      <c r="X28" s="12"/>
      <c r="Y28" s="12"/>
      <c r="Z28" s="12"/>
      <c r="AA28" s="12"/>
      <c r="AB28" s="9"/>
    </row>
    <row r="29" s="3" customFormat="1" customHeight="1" spans="1:28">
      <c r="A29" s="12"/>
      <c r="B29" s="12"/>
      <c r="C29" s="1">
        <v>1269</v>
      </c>
      <c r="D29" s="9">
        <v>1268</v>
      </c>
      <c r="E29" s="9">
        <v>8</v>
      </c>
      <c r="F29" s="9" t="s">
        <v>1684</v>
      </c>
      <c r="G29" s="39" t="s">
        <v>1559</v>
      </c>
      <c r="H29" s="37" t="s">
        <v>1249</v>
      </c>
      <c r="I29" s="39" t="s">
        <v>1685</v>
      </c>
      <c r="J29" s="39" t="s">
        <v>1536</v>
      </c>
      <c r="K29" s="39" t="s">
        <v>1536</v>
      </c>
      <c r="L29" s="39" t="s">
        <v>1620</v>
      </c>
      <c r="M29" s="9">
        <f t="shared" si="0"/>
        <v>3800000</v>
      </c>
      <c r="N29" s="9">
        <f t="shared" ref="N29:P29" si="25">N28+100000</f>
        <v>3800000</v>
      </c>
      <c r="O29" s="9">
        <f t="shared" si="25"/>
        <v>3800000</v>
      </c>
      <c r="P29" s="9">
        <f t="shared" si="25"/>
        <v>3800000</v>
      </c>
      <c r="Q29" s="8">
        <v>400</v>
      </c>
      <c r="R29" s="7">
        <f t="shared" si="2"/>
        <v>1770</v>
      </c>
      <c r="S29" s="12">
        <f t="shared" si="4"/>
        <v>2590</v>
      </c>
      <c r="T29" s="12">
        <v>99.99</v>
      </c>
      <c r="U29" s="38" t="s">
        <v>1686</v>
      </c>
      <c r="V29" s="38" t="s">
        <v>1686</v>
      </c>
      <c r="W29" s="12"/>
      <c r="X29" s="12"/>
      <c r="Y29" s="12"/>
      <c r="Z29" s="12"/>
      <c r="AA29" s="12"/>
      <c r="AB29" s="9"/>
    </row>
    <row r="30" s="4" customFormat="1" customHeight="1" spans="1:28">
      <c r="A30" s="13"/>
      <c r="B30" s="13"/>
      <c r="C30" s="1">
        <v>1270</v>
      </c>
      <c r="D30" s="9">
        <v>1269</v>
      </c>
      <c r="E30" s="9">
        <v>8</v>
      </c>
      <c r="F30" s="14" t="s">
        <v>1687</v>
      </c>
      <c r="G30" s="39" t="s">
        <v>1688</v>
      </c>
      <c r="H30" s="37" t="s">
        <v>1249</v>
      </c>
      <c r="I30" s="39" t="s">
        <v>1689</v>
      </c>
      <c r="J30" s="39" t="s">
        <v>1690</v>
      </c>
      <c r="K30" s="39" t="s">
        <v>1690</v>
      </c>
      <c r="L30" s="39" t="s">
        <v>1624</v>
      </c>
      <c r="M30" s="9">
        <f t="shared" si="0"/>
        <v>3900000</v>
      </c>
      <c r="N30" s="9">
        <f t="shared" ref="N30:P30" si="26">N29+100000</f>
        <v>3900000</v>
      </c>
      <c r="O30" s="9">
        <f t="shared" si="26"/>
        <v>3900000</v>
      </c>
      <c r="P30" s="9">
        <f t="shared" si="26"/>
        <v>3900000</v>
      </c>
      <c r="Q30" s="8">
        <v>400</v>
      </c>
      <c r="R30" s="7">
        <f t="shared" si="2"/>
        <v>1790</v>
      </c>
      <c r="S30" s="12">
        <f t="shared" si="4"/>
        <v>2620</v>
      </c>
      <c r="T30" s="12">
        <v>99.99</v>
      </c>
      <c r="U30" s="38" t="s">
        <v>1691</v>
      </c>
      <c r="V30" s="38" t="s">
        <v>1691</v>
      </c>
      <c r="W30" s="13"/>
      <c r="X30" s="13"/>
      <c r="Y30" s="13"/>
      <c r="Z30" s="13"/>
      <c r="AA30" s="13"/>
      <c r="AB30" s="14"/>
    </row>
    <row r="31" s="3" customFormat="1" customHeight="1" spans="1:28">
      <c r="A31" s="12"/>
      <c r="B31" s="12"/>
      <c r="C31" s="1">
        <v>1271</v>
      </c>
      <c r="D31" s="9">
        <v>1270</v>
      </c>
      <c r="E31" s="9">
        <v>8</v>
      </c>
      <c r="F31" s="8" t="s">
        <v>1692</v>
      </c>
      <c r="G31" s="39" t="s">
        <v>1693</v>
      </c>
      <c r="H31" s="37" t="s">
        <v>1249</v>
      </c>
      <c r="I31" s="39" t="s">
        <v>1694</v>
      </c>
      <c r="J31" s="39" t="s">
        <v>1551</v>
      </c>
      <c r="K31" s="39" t="s">
        <v>1551</v>
      </c>
      <c r="L31" s="39" t="s">
        <v>1629</v>
      </c>
      <c r="M31" s="9">
        <f t="shared" si="0"/>
        <v>4000000</v>
      </c>
      <c r="N31" s="9">
        <f t="shared" ref="N31:P31" si="27">N30+100000</f>
        <v>4000000</v>
      </c>
      <c r="O31" s="9">
        <f t="shared" si="27"/>
        <v>4000000</v>
      </c>
      <c r="P31" s="9">
        <f t="shared" si="27"/>
        <v>4000000</v>
      </c>
      <c r="Q31" s="8">
        <v>400</v>
      </c>
      <c r="R31" s="7">
        <f t="shared" si="2"/>
        <v>1810</v>
      </c>
      <c r="S31" s="12">
        <f t="shared" si="4"/>
        <v>2650</v>
      </c>
      <c r="T31" s="12">
        <v>99.99</v>
      </c>
      <c r="U31" s="38" t="s">
        <v>1695</v>
      </c>
      <c r="V31" s="38" t="s">
        <v>1695</v>
      </c>
      <c r="W31" s="12"/>
      <c r="X31" s="12"/>
      <c r="Y31" s="12"/>
      <c r="Z31" s="12"/>
      <c r="AA31" s="12"/>
      <c r="AB31" s="9"/>
    </row>
    <row r="32" s="3" customFormat="1" customHeight="1" spans="1:28">
      <c r="A32" s="12"/>
      <c r="B32" s="12"/>
      <c r="C32" s="1">
        <v>1272</v>
      </c>
      <c r="D32" s="9">
        <v>1271</v>
      </c>
      <c r="E32" s="9">
        <v>8</v>
      </c>
      <c r="F32" s="9" t="s">
        <v>1696</v>
      </c>
      <c r="G32" s="39" t="s">
        <v>1564</v>
      </c>
      <c r="H32" s="37" t="s">
        <v>1249</v>
      </c>
      <c r="I32" s="39" t="s">
        <v>1697</v>
      </c>
      <c r="J32" s="39" t="s">
        <v>1525</v>
      </c>
      <c r="K32" s="39" t="s">
        <v>1525</v>
      </c>
      <c r="L32" s="39" t="s">
        <v>1633</v>
      </c>
      <c r="M32" s="9">
        <f t="shared" si="0"/>
        <v>4100000</v>
      </c>
      <c r="N32" s="9">
        <f t="shared" ref="N32:P32" si="28">N31+100000</f>
        <v>4100000</v>
      </c>
      <c r="O32" s="9">
        <f t="shared" si="28"/>
        <v>4100000</v>
      </c>
      <c r="P32" s="9">
        <f t="shared" si="28"/>
        <v>4100000</v>
      </c>
      <c r="Q32" s="8">
        <v>400</v>
      </c>
      <c r="R32" s="7">
        <f t="shared" si="2"/>
        <v>1830</v>
      </c>
      <c r="S32" s="12">
        <f t="shared" si="4"/>
        <v>2680</v>
      </c>
      <c r="T32" s="12">
        <v>99.99</v>
      </c>
      <c r="U32" s="38" t="s">
        <v>1698</v>
      </c>
      <c r="V32" s="38" t="s">
        <v>1698</v>
      </c>
      <c r="W32" s="12"/>
      <c r="X32" s="12"/>
      <c r="Y32" s="12"/>
      <c r="Z32" s="12"/>
      <c r="AA32" s="12"/>
      <c r="AB32" s="9"/>
    </row>
    <row r="33" s="3" customFormat="1" customHeight="1" spans="1:28">
      <c r="A33" s="12"/>
      <c r="B33" s="12"/>
      <c r="C33" s="1">
        <v>1273</v>
      </c>
      <c r="D33" s="9">
        <v>1272</v>
      </c>
      <c r="E33" s="9">
        <v>8</v>
      </c>
      <c r="F33" s="9" t="s">
        <v>1699</v>
      </c>
      <c r="G33" s="39" t="s">
        <v>1700</v>
      </c>
      <c r="H33" s="37" t="s">
        <v>1249</v>
      </c>
      <c r="I33" s="39" t="s">
        <v>1701</v>
      </c>
      <c r="J33" s="39" t="s">
        <v>1539</v>
      </c>
      <c r="K33" s="39" t="s">
        <v>1539</v>
      </c>
      <c r="L33" s="39" t="s">
        <v>1638</v>
      </c>
      <c r="M33" s="9">
        <f t="shared" si="0"/>
        <v>4200000</v>
      </c>
      <c r="N33" s="9">
        <f t="shared" ref="N33:P33" si="29">N32+100000</f>
        <v>4200000</v>
      </c>
      <c r="O33" s="9">
        <f t="shared" si="29"/>
        <v>4200000</v>
      </c>
      <c r="P33" s="9">
        <f t="shared" si="29"/>
        <v>4200000</v>
      </c>
      <c r="Q33" s="8">
        <v>400</v>
      </c>
      <c r="R33" s="7">
        <f t="shared" si="2"/>
        <v>1850</v>
      </c>
      <c r="S33" s="12">
        <f t="shared" si="4"/>
        <v>2710</v>
      </c>
      <c r="T33" s="12">
        <v>99.99</v>
      </c>
      <c r="U33" s="38" t="s">
        <v>1702</v>
      </c>
      <c r="V33" s="38" t="s">
        <v>1702</v>
      </c>
      <c r="W33" s="12"/>
      <c r="X33" s="12"/>
      <c r="Y33" s="12"/>
      <c r="Z33" s="12"/>
      <c r="AA33" s="12"/>
      <c r="AB33" s="9"/>
    </row>
    <row r="34" s="3" customFormat="1" customHeight="1" spans="1:28">
      <c r="A34" s="12"/>
      <c r="B34" s="12"/>
      <c r="C34" s="1">
        <v>1274</v>
      </c>
      <c r="D34" s="9">
        <v>1273</v>
      </c>
      <c r="E34" s="9">
        <v>8</v>
      </c>
      <c r="F34" s="9" t="s">
        <v>1703</v>
      </c>
      <c r="G34" s="39" t="s">
        <v>1704</v>
      </c>
      <c r="H34" s="37" t="s">
        <v>1249</v>
      </c>
      <c r="I34" s="39" t="s">
        <v>1705</v>
      </c>
      <c r="J34" s="39" t="s">
        <v>1511</v>
      </c>
      <c r="K34" s="39" t="s">
        <v>1511</v>
      </c>
      <c r="L34" s="39" t="s">
        <v>1642</v>
      </c>
      <c r="M34" s="9">
        <f t="shared" si="0"/>
        <v>4300000</v>
      </c>
      <c r="N34" s="9">
        <f t="shared" ref="N34:P34" si="30">N33+100000</f>
        <v>4300000</v>
      </c>
      <c r="O34" s="9">
        <f t="shared" si="30"/>
        <v>4300000</v>
      </c>
      <c r="P34" s="9">
        <f t="shared" si="30"/>
        <v>4300000</v>
      </c>
      <c r="Q34" s="8">
        <v>400</v>
      </c>
      <c r="R34" s="7">
        <f t="shared" si="2"/>
        <v>1870</v>
      </c>
      <c r="S34" s="12">
        <f t="shared" si="4"/>
        <v>2740</v>
      </c>
      <c r="T34" s="12">
        <v>99.99</v>
      </c>
      <c r="U34" s="38" t="s">
        <v>1706</v>
      </c>
      <c r="V34" s="38" t="s">
        <v>1706</v>
      </c>
      <c r="W34" s="12"/>
      <c r="X34" s="12"/>
      <c r="Y34" s="12"/>
      <c r="Z34" s="12"/>
      <c r="AA34" s="12"/>
      <c r="AB34" s="9"/>
    </row>
    <row r="35" s="3" customFormat="1" customHeight="1" spans="1:28">
      <c r="A35" s="12"/>
      <c r="B35" s="12"/>
      <c r="C35" s="1">
        <v>1275</v>
      </c>
      <c r="D35" s="9">
        <v>1274</v>
      </c>
      <c r="E35" s="9">
        <v>8</v>
      </c>
      <c r="F35" s="9" t="s">
        <v>1707</v>
      </c>
      <c r="G35" s="39" t="s">
        <v>1568</v>
      </c>
      <c r="H35" s="37" t="s">
        <v>1249</v>
      </c>
      <c r="I35" s="39" t="s">
        <v>1708</v>
      </c>
      <c r="J35" s="39" t="s">
        <v>1576</v>
      </c>
      <c r="K35" s="39" t="s">
        <v>1576</v>
      </c>
      <c r="L35" s="39" t="s">
        <v>1646</v>
      </c>
      <c r="M35" s="9">
        <f t="shared" si="0"/>
        <v>4400000</v>
      </c>
      <c r="N35" s="9">
        <f t="shared" ref="N35:P35" si="31">N34+100000</f>
        <v>4400000</v>
      </c>
      <c r="O35" s="9">
        <f t="shared" si="31"/>
        <v>4400000</v>
      </c>
      <c r="P35" s="9">
        <f t="shared" si="31"/>
        <v>4400000</v>
      </c>
      <c r="Q35" s="8">
        <v>400</v>
      </c>
      <c r="R35" s="7">
        <f t="shared" si="2"/>
        <v>1890</v>
      </c>
      <c r="S35" s="12">
        <f t="shared" si="4"/>
        <v>2770</v>
      </c>
      <c r="T35" s="12">
        <v>99.99</v>
      </c>
      <c r="U35" s="38" t="s">
        <v>1709</v>
      </c>
      <c r="V35" s="38" t="s">
        <v>1709</v>
      </c>
      <c r="W35" s="12"/>
      <c r="X35" s="12"/>
      <c r="Y35" s="12"/>
      <c r="Z35" s="12"/>
      <c r="AA35" s="12"/>
      <c r="AB35" s="9"/>
    </row>
    <row r="36" s="3" customFormat="1" customHeight="1" spans="1:28">
      <c r="A36" s="12"/>
      <c r="B36" s="12"/>
      <c r="C36" s="1">
        <v>1276</v>
      </c>
      <c r="D36" s="9">
        <v>1275</v>
      </c>
      <c r="E36" s="9">
        <v>8</v>
      </c>
      <c r="F36" s="9" t="s">
        <v>1710</v>
      </c>
      <c r="G36" s="39" t="s">
        <v>1711</v>
      </c>
      <c r="H36" s="37" t="s">
        <v>1249</v>
      </c>
      <c r="I36" s="39" t="s">
        <v>1712</v>
      </c>
      <c r="J36" s="39" t="s">
        <v>1593</v>
      </c>
      <c r="K36" s="39" t="s">
        <v>1593</v>
      </c>
      <c r="L36" s="39" t="s">
        <v>1652</v>
      </c>
      <c r="M36" s="9">
        <f t="shared" si="0"/>
        <v>4500000</v>
      </c>
      <c r="N36" s="9">
        <f t="shared" ref="N36:P36" si="32">N35+100000</f>
        <v>4500000</v>
      </c>
      <c r="O36" s="9">
        <f t="shared" si="32"/>
        <v>4500000</v>
      </c>
      <c r="P36" s="9">
        <f t="shared" si="32"/>
        <v>4500000</v>
      </c>
      <c r="Q36" s="8">
        <v>400</v>
      </c>
      <c r="R36" s="7">
        <f t="shared" si="2"/>
        <v>1910</v>
      </c>
      <c r="S36" s="12">
        <f t="shared" si="4"/>
        <v>2800</v>
      </c>
      <c r="T36" s="12">
        <v>99.99</v>
      </c>
      <c r="U36" s="38" t="s">
        <v>1713</v>
      </c>
      <c r="V36" s="38" t="s">
        <v>1713</v>
      </c>
      <c r="W36" s="12"/>
      <c r="X36" s="12"/>
      <c r="Y36" s="12"/>
      <c r="Z36" s="12"/>
      <c r="AA36" s="12"/>
      <c r="AB36" s="9"/>
    </row>
    <row r="37" s="3" customFormat="1" customHeight="1" spans="1:28">
      <c r="A37" s="12"/>
      <c r="B37" s="12"/>
      <c r="C37" s="1">
        <v>1277</v>
      </c>
      <c r="D37" s="9">
        <v>1276</v>
      </c>
      <c r="E37" s="9">
        <v>8</v>
      </c>
      <c r="F37" s="9" t="s">
        <v>1714</v>
      </c>
      <c r="G37" s="39" t="s">
        <v>1715</v>
      </c>
      <c r="H37" s="37" t="s">
        <v>1249</v>
      </c>
      <c r="I37" s="39" t="s">
        <v>1716</v>
      </c>
      <c r="J37" s="39" t="s">
        <v>1616</v>
      </c>
      <c r="K37" s="39" t="s">
        <v>1616</v>
      </c>
      <c r="L37" s="39" t="s">
        <v>1657</v>
      </c>
      <c r="M37" s="9">
        <f t="shared" si="0"/>
        <v>4600000</v>
      </c>
      <c r="N37" s="9">
        <f t="shared" ref="N37:P37" si="33">N36+100000</f>
        <v>4600000</v>
      </c>
      <c r="O37" s="9">
        <f t="shared" si="33"/>
        <v>4600000</v>
      </c>
      <c r="P37" s="9">
        <f t="shared" si="33"/>
        <v>4600000</v>
      </c>
      <c r="Q37" s="8">
        <v>400</v>
      </c>
      <c r="R37" s="7">
        <f t="shared" si="2"/>
        <v>1930</v>
      </c>
      <c r="S37" s="12">
        <f t="shared" si="4"/>
        <v>2830</v>
      </c>
      <c r="T37" s="12">
        <v>99.99</v>
      </c>
      <c r="U37" s="38" t="s">
        <v>1717</v>
      </c>
      <c r="V37" s="38" t="s">
        <v>1717</v>
      </c>
      <c r="W37" s="12"/>
      <c r="X37" s="12"/>
      <c r="Y37" s="12"/>
      <c r="Z37" s="12"/>
      <c r="AA37" s="12"/>
      <c r="AB37" s="9"/>
    </row>
    <row r="38" s="3" customFormat="1" customHeight="1" spans="1:28">
      <c r="A38" s="12"/>
      <c r="B38" s="12"/>
      <c r="C38" s="1">
        <v>1278</v>
      </c>
      <c r="D38" s="9">
        <v>1277</v>
      </c>
      <c r="E38" s="9">
        <v>8</v>
      </c>
      <c r="F38" s="9" t="s">
        <v>1718</v>
      </c>
      <c r="G38" s="39" t="s">
        <v>1572</v>
      </c>
      <c r="H38" s="37" t="s">
        <v>1249</v>
      </c>
      <c r="I38" s="39" t="s">
        <v>1719</v>
      </c>
      <c r="J38" s="39" t="s">
        <v>1623</v>
      </c>
      <c r="K38" s="39" t="s">
        <v>1623</v>
      </c>
      <c r="L38" s="39" t="s">
        <v>1661</v>
      </c>
      <c r="M38" s="9">
        <f t="shared" si="0"/>
        <v>4700000</v>
      </c>
      <c r="N38" s="9">
        <f t="shared" ref="N38:P38" si="34">N37+100000</f>
        <v>4700000</v>
      </c>
      <c r="O38" s="9">
        <f t="shared" si="34"/>
        <v>4700000</v>
      </c>
      <c r="P38" s="9">
        <f t="shared" si="34"/>
        <v>4700000</v>
      </c>
      <c r="Q38" s="8">
        <v>400</v>
      </c>
      <c r="R38" s="7">
        <f t="shared" si="2"/>
        <v>1950</v>
      </c>
      <c r="S38" s="12">
        <f t="shared" si="4"/>
        <v>2860</v>
      </c>
      <c r="T38" s="12">
        <v>99.99</v>
      </c>
      <c r="U38" s="38" t="s">
        <v>1720</v>
      </c>
      <c r="V38" s="38" t="s">
        <v>1720</v>
      </c>
      <c r="W38" s="12"/>
      <c r="X38" s="12"/>
      <c r="Y38" s="12"/>
      <c r="Z38" s="12"/>
      <c r="AA38" s="12"/>
      <c r="AB38" s="9"/>
    </row>
    <row r="39" s="3" customFormat="1" customHeight="1" spans="1:28">
      <c r="A39" s="12"/>
      <c r="B39" s="12"/>
      <c r="C39" s="1">
        <v>1279</v>
      </c>
      <c r="D39" s="9">
        <v>1278</v>
      </c>
      <c r="E39" s="9">
        <v>8</v>
      </c>
      <c r="F39" s="9" t="s">
        <v>1721</v>
      </c>
      <c r="G39" s="39" t="s">
        <v>1722</v>
      </c>
      <c r="H39" s="37" t="s">
        <v>1249</v>
      </c>
      <c r="I39" s="39" t="s">
        <v>1723</v>
      </c>
      <c r="J39" s="39" t="s">
        <v>1641</v>
      </c>
      <c r="K39" s="39" t="s">
        <v>1641</v>
      </c>
      <c r="L39" s="39" t="s">
        <v>1665</v>
      </c>
      <c r="M39" s="9">
        <f t="shared" si="0"/>
        <v>4800000</v>
      </c>
      <c r="N39" s="9">
        <f t="shared" ref="N39:P39" si="35">N38+100000</f>
        <v>4800000</v>
      </c>
      <c r="O39" s="9">
        <f t="shared" si="35"/>
        <v>4800000</v>
      </c>
      <c r="P39" s="9">
        <f t="shared" si="35"/>
        <v>4800000</v>
      </c>
      <c r="Q39" s="8">
        <v>400</v>
      </c>
      <c r="R39" s="7">
        <f t="shared" si="2"/>
        <v>1970</v>
      </c>
      <c r="S39" s="12">
        <f t="shared" si="4"/>
        <v>2890</v>
      </c>
      <c r="T39" s="12">
        <v>99.99</v>
      </c>
      <c r="U39" s="38" t="s">
        <v>1724</v>
      </c>
      <c r="V39" s="38" t="s">
        <v>1724</v>
      </c>
      <c r="W39" s="12"/>
      <c r="X39" s="12"/>
      <c r="Y39" s="12"/>
      <c r="Z39" s="12"/>
      <c r="AA39" s="12"/>
      <c r="AB39" s="9"/>
    </row>
    <row r="40" s="3" customFormat="1" customHeight="1" spans="1:28">
      <c r="A40" s="12"/>
      <c r="B40" s="12"/>
      <c r="C40" s="1">
        <v>1280</v>
      </c>
      <c r="D40" s="9">
        <v>1279</v>
      </c>
      <c r="E40" s="9">
        <v>8</v>
      </c>
      <c r="F40" s="9" t="s">
        <v>1725</v>
      </c>
      <c r="G40" s="39" t="s">
        <v>1726</v>
      </c>
      <c r="H40" s="37" t="s">
        <v>1249</v>
      </c>
      <c r="I40" s="39" t="s">
        <v>1727</v>
      </c>
      <c r="J40" s="39" t="s">
        <v>1549</v>
      </c>
      <c r="K40" s="39" t="s">
        <v>1549</v>
      </c>
      <c r="L40" s="39" t="s">
        <v>1670</v>
      </c>
      <c r="M40" s="9">
        <f t="shared" si="0"/>
        <v>4900000</v>
      </c>
      <c r="N40" s="9">
        <f t="shared" ref="N40:P40" si="36">N39+100000</f>
        <v>4900000</v>
      </c>
      <c r="O40" s="9">
        <f t="shared" si="36"/>
        <v>4900000</v>
      </c>
      <c r="P40" s="9">
        <f t="shared" si="36"/>
        <v>4900000</v>
      </c>
      <c r="Q40" s="8">
        <v>400</v>
      </c>
      <c r="R40" s="7">
        <f t="shared" si="2"/>
        <v>1990</v>
      </c>
      <c r="S40" s="12">
        <f t="shared" si="4"/>
        <v>2920</v>
      </c>
      <c r="T40" s="12">
        <v>99.99</v>
      </c>
      <c r="U40" s="38" t="s">
        <v>1728</v>
      </c>
      <c r="V40" s="38" t="s">
        <v>1728</v>
      </c>
      <c r="W40" s="12"/>
      <c r="X40" s="12"/>
      <c r="Y40" s="12"/>
      <c r="Z40" s="12"/>
      <c r="AA40" s="12"/>
      <c r="AB40" s="9"/>
    </row>
    <row r="41" customHeight="1" spans="1:28">
      <c r="L41" s="10"/>
    </row>
    <row r="42" customHeight="1" spans="1:28">
      <c r="L42" s="10"/>
    </row>
    <row r="43" customHeight="1" spans="1:28">
      <c r="L43" s="10"/>
    </row>
    <row r="44" customHeight="1" spans="1:28">
      <c r="L44" s="10"/>
    </row>
    <row r="45" customHeight="1" spans="1:28">
      <c r="L45" s="10"/>
    </row>
  </sheetData>
  <dataValidations count="1">
    <dataValidation type="custom" allowBlank="1" showErrorMessage="1" errorTitle="拒绝重复输入" error="当前输入的内容，与本区域的其他单元格内容重复。" sqref="C3:T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2026-10-29T13:49:40Z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
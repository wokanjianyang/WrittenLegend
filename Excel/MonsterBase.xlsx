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<sst xmlns="http://schemas.openxmlformats.org/spreadsheetml/2006/main" count="2085" uniqueCount="1587">
  <si>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</si>
  <si>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</si>
  <si>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</si>
  <si>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</si>
  <si>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</si>
  <si>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</si>
  <si>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</si>
  <si>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</si>
  <si>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</si>
  <si>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</si>
  <si>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</si>
  <si>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</si>
  <si>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</si>
  <si>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</si>
  <si>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</si>
  <si>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</si>
  <si>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</si>
  <si>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</si>
  <si>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</si>
  <si>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</si>
  <si>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</si>
  <si>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</si>
  <si>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</si>
  <si>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</si>
  <si>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</si>
  <si>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</si>
  <si>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</si>
  <si>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</si>
  <si>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</si>
  <si>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</si>
  <si>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</si>
  <si>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</si>
  <si>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</si>
  <si>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</si>
  <si>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</si>
  <si>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</si>
  <si>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</si>
  <si>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</si>
  <si>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</si>
  <si>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</si>
  <si>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</si>
  <si>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</si>
  <si>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</si>
  <si>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</si>
  <si>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</si>
  <si>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</si>
  <si>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</si>
  <si>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</si>
  <si>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</si>
  <si>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</si>
  <si>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</si>
  <si>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</si>
  <si>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</si>
  <si>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</si>
  <si>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</si>
  <si>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</si>
  <si>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</si>
  <si>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</si>
  <si>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</si>
  <si>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</si>
  <si>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</si>
  <si>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</si>
  <si>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</si>
  <si>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</si>
  <si>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</si>
  <si>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</si>
  <si>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</si>
  <si>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</si>
  <si>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</si>
  <si>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</si>
  <si>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</si>
  <si>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</si>
  <si>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</si>
  <si>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</si>
  <si>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</si>
  <si>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</si>
  <si>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</si>
  <si>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</si>
  <si>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</si>
  <si>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</si>
  <si>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</si>
  <si>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</si>
  <si>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</si>
  <si>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</si>
  <si>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</si>
  <si>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</si>
  <si>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</si>
  <si>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</si>
  <si>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</si>
  <si>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</si>
  <si>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</si>
  <si>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</si>
  <si>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</si>
  <si>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</si>
  <si>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</si>
  <si>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</si>
  <si>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</si>
  <si>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</si>
  <si>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</si>
  <si>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</si>
  <si>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</si>
  <si>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</si>
  <si>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</si>
  <si>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</si>
  <si>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</si>
  <si>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</si>
  <si>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</si>
  <si>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</si>
  <si>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</si>
  <si>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</si>
  <si>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</si>
  <si>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</si>
  <si>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</si>
  <si>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</si>
  <si>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</si>
  <si>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</si>
  <si>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</si>
  <si>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</si>
  <si>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</si>
  <si>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</si>
  <si>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</si>
  <si>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</si>
  <si>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</si>
  <si>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</si>
  <si>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</si>
  <si>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</si>
  <si>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</si>
  <si>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</si>
  <si>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</si>
  <si>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</si>
  <si>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</si>
  <si>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</si>
  <si>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</si>
  <si>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</si>
  <si>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</si>
  <si>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</si>
  <si>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</si>
  <si>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</si>
  <si>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</si>
  <si>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</si>
  <si>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</si>
  <si>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</si>
  <si>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</si>
  <si>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</si>
  <si>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</si>
  <si>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</si>
  <si>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</si>
  <si>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</si>
  <si>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</si>
  <si>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</si>
  <si>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</si>
  <si>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</si>
  <si>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</si>
  <si>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</si>
  <si>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</si>
  <si>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</si>
  <si>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</si>
  <si>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</si>
  <si>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</si>
  <si>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</si>
  <si>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</si>
  <si>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</si>
  <si>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</si>
  <si>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</si>
  <si>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</si>
  <si>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</si>
  <si>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</si>
  <si>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</si>
  <si>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</si>
  <si>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</si>
  <si>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</si>
  <si>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</si>
  <si>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</si>
  <si>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</si>
  <si>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</si>
  <si>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</si>
  <si>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</si>
  <si>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</si>
  <si>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</si>
  <si>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</si>
  <si>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</si>
  <si>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</si>
  <si>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</si>
  <si>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</si>
  <si>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</si>
  <si>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</si>
  <si>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</si>
  <si>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</si>
  <si>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</si>
  <si>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</si>
  <si>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</si>
  <si>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</si>
  <si>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</si>
  <si>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</si>
  <si>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</si>
  <si>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</si>
  <si>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</si>
  <si>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</si>
  <si>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</si>
  <si>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</si>
  <si>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</si>
  <si>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</si>
  <si>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</si>
  <si>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</si>
  <si>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</si>
  <si>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</si>
  <si>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</si>
  <si>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</si>
  <si>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</si>
  <si>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</si>
  <si>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</si>
  <si>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</si>
  <si>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</si>
  <si>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</si>
  <si>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</si>
  <si>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</si>
  <si>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</si>
  <si>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</si>
  <si>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</si>
  <si>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</si>
  <si>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</si>
  <si>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</si>
  <si>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</si>
  <si>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</si>
  <si>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</si>
  <si>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</si>
  <si>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</si>
  <si>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</si>
  <si>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</si>
  <si>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</si>
  <si>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</si>
  <si>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</si>
  <si>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</si>
  <si>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</si>
  <si>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</si>
  <si>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</si>
  <si>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</si>
  <si>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</si>
  <si>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</si>
  <si>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</si>
  <si>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</si>
  <si>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</si>
  <si>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</si>
  <si>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</si>
  <si>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</si>
  <si>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</si>
  <si>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</si>
  <si>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</si>
  <si>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</si>
  <si>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</si>
  <si>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</si>
  <si>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</si>
  <si>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</si>
  <si>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</si>
  <si>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</si>
  <si>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</si>
  <si>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</si>
  <si>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</si>
  <si>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</si>
  <si>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</si>
  <si>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</si>
  <si>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</si>
  <si>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</si>
  <si>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</si>
  <si>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</si>
  <si>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</si>
  <si>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</si>
  <si>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</si>
  <si>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</si>
  <si>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</si>
  <si>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</si>
  <si>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</si>
  <si>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</si>
  <si>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</si>
  <si>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</si>
  <si>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</si>
  <si>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</si>
  <si>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</si>
  <si>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</si>
  <si>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</si>
  <si>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</si>
  <si>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</si>
  <si>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</si>
  <si>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</si>
  <si>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</si>
  <si>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</si>
  <si>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</si>
  <si>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</si>
  <si>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</si>
  <si>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</si>
  <si>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</si>
  <si>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</si>
  <si>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</si>
  <si>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</si>
  <si>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</si>
  <si>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</si>
  <si>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</si>
  <si>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</si>
  <si>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</si>
  <si>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</si>
  <si>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</si>
  <si>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</si>
  <si>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</si>
  <si>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</si>
  <si>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</si>
  <si>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</si>
  <si>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</si>
  <si>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</si>
  <si>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</si>
  <si>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</si>
  <si>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</si>
  <si>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</si>
  <si>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</si>
  <si>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</si>
  <si>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</si>
  <si>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</si>
  <si>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</si>
  <si>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</si>
  <si>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</si>
  <si>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</si>
  <si>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</si>
  <si>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</si>
  <si>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</si>
  <si>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</si>
  <si>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</si>
  <si>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</si>
  <si>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</si>
  <si>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</si>
  <si>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</si>
  <si>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</si>
  <si>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</si>
  <si>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</si>
  <si>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</si>
  <si>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</si>
  <si>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</si>
  <si>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</si>
  <si>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</si>
  <si>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</si>
  <si>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</si>
  <si>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</si>
  <si>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</si>
  <si>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</si>
  <si>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</si>
  <si>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</si>
  <si>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</si>
  <si>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</si>
  <si>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</si>
  <si>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</si>
  <si>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</si>
  <si>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</si>
  <si>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</si>
  <si>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</si>
  <si>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</si>
  <si>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</si>
  <si>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</si>
  <si>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</si>
  <si>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</si>
  <si>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</si>
  <si>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</si>
  <si>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</si>
  <si>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</si>
  <si>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</si>
  <si>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</si>
  <si>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</si>
  <si>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</si>
  <si>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</si>
  <si>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</si>
  <si>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</si>
  <si>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</si>
  <si>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</si>
  <si>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</si>
  <si>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</si>
  <si>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</si>
  <si>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</si>
  <si>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</si>
  <si>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</si>
  <si>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</si>
  <si>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</si>
  <si>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</si>
  <si>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</si>
  <si>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</si>
  <si>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</si>
  <si>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</si>
  <si>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</si>
  <si>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</si>
  <si>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</si>
  <si>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</si>
  <si>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</si>
  <si>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</si>
  <si>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</si>
  <si>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</si>
  <si>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</si>
  <si>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</si>
  <si>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</si>
  <si>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</si>
  <si>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</si>
  <si>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</si>
  <si>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</si>
  <si>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</si>
  <si>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</si>
  <si>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</si>
  <si>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</si>
  <si>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</si>
  <si>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</si>
  <si>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</si>
  <si>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</si>
  <si>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</si>
  <si>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</si>
  <si>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</si>
  <si>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</si>
  <si>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</si>
  <si>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</si>
  <si>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</si>
  <si>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</si>
  <si>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</si>
  <si>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</si>
  <si>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</si>
  <si>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</si>
  <si>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</si>
  <si>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</si>
  <si>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</si>
  <si>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</si>
  <si>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</si>
  <si>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</si>
  <si>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</si>
  <si>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</si>
  <si>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</si>
  <si>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</si>
  <si>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</si>
  <si>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</si>
  <si>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</si>
  <si>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</si>
  <si>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</si>
  <si>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</si>
  <si>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</si>
  <si>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</si>
  <si>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</si>
  <si>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</si>
  <si>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</si>
  <si>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</si>
  <si>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</si>
  <si>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</si>
  <si>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</si>
  <si>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</si>
  <si>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</si>
  <si>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</si>
  <si>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</si>
  <si>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</si>
  <si>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</si>
  <si>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</si>
  <si>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</si>
  <si>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</si>
  <si>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</si>
  <si>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</si>
  <si>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</si>
  <si>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</si>
  <si>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</si>
  <si>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</si>
  <si>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</si>
  <si>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</si>
  <si>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</si>
  <si>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</si>
  <si>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</si>
  <si>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</si>
  <si>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</si>
  <si>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</si>
  <si>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</si>
  <si>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</si>
  <si>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</si>
  <si>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</si>
  <si>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</si>
  <si>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</si>
  <si>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</si>
  <si>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</si>
  <si>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</si>
  <si>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</si>
  <si>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</si>
  <si>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</si>
  <si>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</si>
  <si>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</si>
  <si>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</si>
  <si>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</si>
  <si>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</si>
  <si>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</si>
  <si>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</si>
  <si>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</si>
  <si>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</si>
  <si>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</si>
  <si>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</si>
  <si>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</si>
  <si>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</si>
  <si>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</si>
  <si>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</si>
  <si>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</si>
  <si>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</si>
  <si>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</si>
  <si>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</si>
  <si>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</si>
  <si>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</si>
  <si>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</si>
  <si>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</si>
  <si>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</si>
  <si>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</si>
  <si>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</si>
  <si>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</si>
  <si>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</si>
  <si>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</si>
  <si>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</si>
  <si>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</si>
  <si>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</si>
  <si>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</si>
  <si>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</si>
  <si>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</si>
  <si>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</si>
  <si>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</si>
  <si>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</si>
  <si>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</si>
  <si>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</si>
  <si>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</si>
  <si>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</si>
  <si>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</si>
  <si>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</si>
  <si>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</si>
  <si>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</si>
  <si>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</si>
  <si>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</si>
  <si>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</si>
  <si>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</si>
  <si>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</si>
  <si>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</si>
  <si>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</si>
  <si>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</si>
  <si>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</si>
  <si>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</si>
  <si>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</si>
  <si>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</si>
  <si>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</si>
  <si>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</si>
  <si>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</si>
  <si>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</si>
  <si>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</si>
  <si>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</si>
  <si>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</si>
  <si>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</si>
  <si>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</si>
  <si>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</si>
  <si>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</si>
  <si>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</si>
  <si>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</si>
  <si>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</si>
  <si>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</si>
  <si>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</si>
  <si>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</si>
  <si>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</si>
  <si>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</si>
  <si>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</si>
  <si>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</si>
  <si>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</si>
  <si>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</si>
  <si>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</si>
  <si>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</si>
  <si>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</si>
  <si>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</si>
  <si>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</si>
  <si>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</si>
  <si>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</si>
  <si>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</si>
  <si>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</si>
  <si>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</si>
  <si>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</si>
  <si>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</si>
  <si>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</si>
  <si>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</si>
  <si>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</si>
  <si>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</si>
  <si>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</si>
  <si>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</si>
  <si>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</si>
  <si>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</si>
  <si>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</si>
  <si>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</si>
  <si>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</si>
  <si>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</si>
  <si>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</si>
  <si>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</si>
  <si>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</si>
  <si>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</si>
  <si>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</si>
  <si>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</si>
  <si>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</si>
  <si>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</si>
  <si>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</si>
  <si>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</si>
  <si>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</si>
  <si>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</si>
  <si>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</si>
  <si>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</si>
  <si>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</si>
  <si>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</si>
  <si>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</si>
  <si>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</si>
  <si>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</si>
  <si>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</si>
  <si>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</si>
  <si>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</si>
  <si>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</si>
  <si>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</si>
  <si>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</si>
  <si>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</si>
  <si>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</si>
  <si>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</si>
  <si>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</si>
  <si>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</si>
  <si>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</si>
  <si>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</si>
  <si>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</si>
  <si>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</si>
  <si>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</si>
  <si>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</si>
  <si>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</si>
  <si>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</si>
  <si>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</si>
  <si>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</si>
  <si>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</si>
  <si>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</si>
  <si>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</si>
  <si>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</si>
  <si>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</si>
  <si>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</si>
  <si>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</si>
  <si>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</si>
  <si>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</si>
  <si>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</si>
  <si>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</si>
  <si>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</si>
  <si>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</si>
  <si>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</si>
  <si>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</si>
  <si>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</si>
  <si>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</si>
  <si>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</si>
  <si>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</si>
  <si>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</si>
  <si>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</si>
  <si>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</si>
  <si>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</si>
  <si>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</si>
  <si>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</si>
  <si>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</si>
  <si>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</si>
  <si>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</si>
  <si>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</si>
  <si>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</si>
  <si>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</si>
  <si>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</si>
  <si>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</si>
  <si>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</si>
  <si>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</si>
  <si>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</si>
  <si>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</si>
  <si>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</si>
  <si>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</si>
  <si>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</si>
  <si>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</si>
  <si>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</si>
  <si>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</si>
  <si>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</si>
  <si>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</si>
  <si>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</si>
  <si>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</si>
  <si>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</si>
  <si>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</si>
  <si>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</si>
  <si>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</si>
  <si>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</si>
  <si>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</si>
  <si>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</si>
  <si>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</si>
  <si>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</si>
  <si>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</si>
  <si>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</si>
  <si>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</si>
  <si>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</si>
  <si>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</si>
  <si>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</si>
  <si>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</si>
  <si>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</si>
  <si>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</si>
  <si>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</si>
  <si>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</si>
  <si>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</si>
  <si>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</si>
  <si>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</si>
  <si>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</si>
  <si>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</si>
  <si>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</si>
  <si>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</si>
  <si>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</si>
  <si>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</si>
  <si>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</si>
  <si>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</si>
  <si>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</si>
  <si>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</si>
  <si>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</si>
  <si>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</si>
  <si>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</si>
  <si>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</si>
  <si>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</si>
  <si>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</si>
  <si>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</si>
  <si>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</si>
  <si>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</si>
  <si>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</si>
  <si>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</si>
  <si>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</si>
  <si>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</si>
  <si>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</si>
  <si>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</si>
  <si>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</si>
  <si>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</si>
  <si>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</si>
  <si>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</si>
  <si>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</si>
  <si>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</si>
  <si>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</si>
  <si>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</si>
  <si>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</si>
  <si>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</si>
  <si>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</si>
  <si>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</si>
  <si>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</si>
  <si>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</si>
  <si>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</si>
  <si>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</si>
  <si>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</si>
  <si>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</si>
  <si>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</si>
  <si>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</si>
  <si>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</si>
  <si>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</si>
  <si>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</si>
  <si>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</si>
  <si>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</si>
  <si>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</si>
  <si>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</si>
  <si>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</si>
  <si>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</si>
  <si>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</si>
  <si>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</si>
  <si>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</si>
  <si>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</si>
  <si>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</si>
  <si>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</si>
  <si>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</si>
  <si>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</si>
  <si>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</si>
  <si>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</si>
  <si>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</si>
  <si>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</si>
  <si>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</si>
  <si>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</si>
  <si>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</si>
  <si>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</si>
  <si>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</si>
  <si>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</si>
  <si>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</si>
  <si>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</si>
  <si>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</si>
  <si>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</si>
  <si>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</si>
  <si>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</si>
  <si>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</si>
  <si>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</si>
  <si>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</si>
  <si>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</si>
  <si>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</si>
  <si>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</si>
  <si>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</si>
  <si>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</si>
  <si>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</si>
  <si>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</si>
  <si>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</si>
  <si>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</si>
  <si>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</si>
  <si>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</si>
  <si>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</si>
  <si>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</si>
  <si>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</si>
  <si>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</si>
  <si>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</si>
  <si>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</si>
  <si>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</si>
  <si>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</si>
  <si>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</si>
  <si>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</si>
  <si>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</si>
  <si>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</si>
  <si>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</si>
  <si>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</si>
  <si>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</si>
  <si>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</si>
  <si>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</si>
  <si>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</si>
  <si>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</si>
  <si>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</si>
  <si>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</si>
  <si>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</si>
  <si>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</si>
  <si>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</si>
  <si>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</si>
  <si>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</si>
  <si>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</si>
  <si>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</si>
  <si>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</si>
  <si>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</si>
  <si>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</si>
  <si>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</si>
  <si>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</si>
  <si>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</si>
  <si>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</si>
  <si>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</si>
  <si>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</si>
  <si>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</si>
  <si>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</si>
  <si>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</si>
  <si>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</si>
  <si>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</si>
  <si>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</si>
  <si>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</si>
  <si>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</si>
  <si>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</si>
  <si>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</si>
  <si>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</si>
  <si>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</si>
  <si>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</si>
  <si>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</si>
  <si>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</si>
  <si>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</si>
  <si>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</si>
  <si>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</si>
  <si>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</si>
  <si>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</si>
  <si>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</si>
  <si>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</si>
  <si>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</si>
  <si>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</si>
  <si>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</si>
  <si>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</si>
  <si>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</si>
  <si>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</si>
  <si>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</si>
  <si>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</si>
  <si>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</si>
  <si>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</si>
  <si>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</si>
  <si>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</si>
  <si>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</si>
  <si>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</si>
  <si>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</si>
  <si>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</si>
  <si>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</si>
  <si>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</si>
  <si>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</si>
  <si>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</si>
  <si>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</si>
  <si>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</si>
  <si>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</si>
  <si>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</si>
  <si>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</si>
  <si>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</si>
  <si>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</si>
  <si>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</si>
  <si>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</si>
  <si>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</si>
  <si>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</si>
  <si>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</si>
  <si>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</si>
  <si>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</si>
  <si>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</si>
  <si>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</si>
  <si>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</si>
  <si>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</si>
  <si>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</si>
  <si>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</si>
  <si>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</si>
  <si>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</si>
  <si>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</si>
  <si>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</si>
  <si>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</si>
  <si>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</si>
  <si>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</si>
  <si>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</si>
  <si>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</si>
  <si>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</si>
  <si>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</si>
  <si>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</si>
  <si>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</si>
  <si>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</si>
  <si>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</si>
  <si>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</si>
  <si>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</si>
  <si>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</si>
  <si>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</si>
  <si>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</si>
  <si>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</si>
  <si>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</si>
  <si>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</si>
  <si>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</si>
  <si>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</si>
  <si>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</si>
  <si>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</si>
  <si>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</si>
  <si>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</si>
  <si>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</si>
  <si>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</si>
  <si>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</si>
  <si>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</si>
  <si>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</si>
  <si>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</si>
  <si>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</si>
  <si>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</si>
  <si>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</si>
  <si>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</si>
  <si>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</si>
  <si>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</si>
  <si>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</si>
  <si>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</si>
  <si>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</si>
  <si>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</si>
  <si>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</si>
  <si>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</si>
  <si>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</si>
  <si>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</si>
  <si>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</si>
  <si>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</si>
  <si>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</si>
  <si>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</si>
  <si>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</si>
  <si>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</si>
  <si>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</si>
  <si>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</si>
  <si>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</si>
  <si>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</si>
  <si>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</si>
  <si>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</si>
  <si>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</si>
  <si>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</si>
  <si>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</si>
  <si>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</si>
  <si>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</si>
  <si>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</si>
  <si>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</si>
  <si>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</si>
  <si>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</si>
  <si>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</si>
  <si>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</si>
  <si>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</si>
  <si>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</si>
  <si>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</si>
  <si>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</si>
  <si>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</si>
  <si>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</si>
  <si>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</si>
  <si>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</si>
  <si>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</si>
  <si>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</si>
  <si>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</si>
  <si>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</si>
  <si>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</si>
  <si>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</si>
  <si>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</si>
  <si>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</si>
  <si>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</si>
  <si>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</si>
  <si>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</si>
  <si>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</si>
  <si>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</si>
  <si>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</si>
  <si>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</si>
  <si>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</si>
  <si>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</si>
  <si>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</si>
  <si>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</si>
  <si>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</si>
  <si>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</si>
  <si>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</si>
  <si>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</si>
  <si>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</si>
  <si>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</si>
  <si>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</si>
  <si>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</si>
  <si>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</si>
  <si>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</si>
  <si>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</si>
  <si>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</si>
  <si>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</si>
  <si>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</si>
  <si>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</si>
  <si>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</si>
  <si>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</si>
  <si>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</si>
  <si>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</si>
  <si>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</si>
  <si>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</si>
  <si>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</si>
  <si>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</si>
  <si>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</si>
  <si>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</si>
  <si>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</si>
  <si>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</si>
  <si>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</si>
  <si>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</si>
  <si>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</si>
  <si>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</si>
  <si>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</si>
  <si>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</si>
  <si>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</si>
  <si>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</si>
  <si>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</si>
  <si>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</si>
  <si>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</si>
  <si>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</si>
  <si>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</si>
  <si>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</si>
  <si>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</si>
  <si>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</si>
  <si>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</si>
  <si>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</si>
  <si>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</si>
  <si>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</si>
  <si>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</si>
  <si>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</si>
  <si>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</si>
  <si>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</si>
  <si>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</si>
  <si>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</si>
  <si>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</si>
  <si>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</si>
  <si>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</si>
  <si>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</si>
  <si>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</si>
  <si>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</si>
  <si>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</si>
  <si>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</si>
  <si>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</si>
  <si>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</si>
  <si>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</si>
  <si>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</si>
  <si>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</si>
  <si>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</si>
  <si>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</si>
  <si>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</si>
  <si>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</si>
  <si>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</si>
  <si>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</si>
  <si>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</si>
  <si>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</si>
  <si>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</si>
  <si>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</si>
  <si>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</si>
  <si>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</si>
  <si>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</si>
  <si>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</si>
  <si>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</si>
  <si>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</si>
  <si>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</si>
  <si>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</si>
  <si>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</si>
  <si>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</si>
  <si>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</si>
  <si>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</si>
  <si>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</si>
  <si>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</si>
  <si>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</si>
  <si>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</si>
  <si>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</si>
  <si>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</si>
  <si>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</si>
  <si>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</si>
  <si>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</si>
  <si>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</si>
  <si>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</si>
  <si>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</si>
  <si>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</si>
  <si>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</si>
  <si>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</si>
  <si>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</si>
  <si>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</si>
  <si>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</si>
  <si>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</si>
  <si>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</si>
  <si>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</si>
  <si>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</si>
  <si>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</si>
  <si>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</si>
  <si>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</si>
  <si>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</si>
  <si>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</si>
  <si>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</si>
  <si>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</si>
  <si>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</si>
  <si>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</si>
  <si>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</si>
  <si>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</si>
  <si>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</si>
  <si>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</si>
  <si>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</si>
  <si>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</si>
  <si>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</si>
  <si>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</si>
  <si>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</si>
  <si>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</si>
  <si>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</si>
  <si>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</si>
  <si>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</si>
  <si>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</si>
  <si>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</si>
  <si>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</si>
  <si>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</si>
  <si>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</si>
  <si>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</si>
  <si>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</si>
  <si>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</si>
  <si>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</si>
  <si>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</si>
  <si>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</si>
  <si>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</si>
  <si>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</si>
  <si>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</si>
  <si>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</si>
  <si>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</si>
  <si>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</si>
  <si>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</si>
  <si>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</si>
  <si>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</si>
  <si>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</si>
  <si>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</si>
  <si>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</si>
  <si>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</si>
  <si>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</si>
  <si>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</si>
  <si>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</si>
  <si>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</si>
  <si>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</si>
  <si>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</si>
  <si>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</si>
  <si>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</si>
  <si>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</si>
  <si>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</si>
  <si>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</si>
  <si>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</si>
  <si>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</si>
  <si>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</si>
  <si>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</si>
  <si>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</si>
  <si>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</si>
  <si>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</si>
  <si>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</si>
  <si>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</si>
  <si>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</si>
  <si>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</si>
  <si>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</si>
  <si>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</si>
  <si>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</si>
  <si>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</si>
  <si>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</si>
  <si>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</si>
  <si>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</si>
  <si>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</si>
  <si>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</si>
  <si>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</si>
  <si>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</si>
  <si>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</si>
  <si>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</si>
  <si>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</si>
  <si>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</si>
  <si>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</si>
  <si>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</si>
  <si>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</si>
  <si>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</si>
  <si>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</si>
  <si>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</si>
  <si>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</si>
  <si>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</si>
  <si>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</si>
  <si>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</si>
  <si>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</si>
  <si>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</si>
  <si>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</si>
  <si>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</si>
  <si>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</si>
  <si>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</si>
  <si>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</si>
  <si>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</si>
  <si>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</si>
  <si>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</si>
  <si>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</si>
  <si>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</si>
  <si>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</si>
  <si>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</si>
  <si>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</si>
  <si>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</si>
  <si>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</si>
  <si>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</si>
  <si>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</si>
  <si>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</si>
  <si>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</si>
  <si>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</si>
  <si>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</si>
  <si>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</si>
  <si>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</si>
  <si>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</si>
  <si>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</si>
  <si>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</si>
  <si>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</si>
  <si>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</si>
  <si>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</si>
  <si>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</si>
  <si>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</si>
  <si>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</si>
  <si>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</si>
  <si>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</si>
  <si>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</si>
  <si>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</si>
  <si>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</si>
  <si>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</si>
  <si>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</si>
  <si>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</si>
  <si>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</si>
  <si>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</si>
  <si>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</si>
  <si>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</si>
  <si>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</si>
  <si>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</si>
  <si>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</si>
  <si>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</si>
  <si>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</si>
  <si>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</si>
  <si>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</si>
  <si>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</si>
  <si>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</si>
  <si>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</si>
  <si>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</si>
  <si>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</si>
  <si>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</si>
  <si>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</si>
  <si>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</si>
  <si>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</si>
  <si>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</si>
  <si>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</si>
  <si>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</si>
  <si>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</si>
  <si>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</si>
  <si>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</si>
  <si>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</si>
  <si>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</si>
  <si>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</si>
  <si>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</si>
  <si>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</si>
  <si>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</si>
  <si>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</si>
  <si>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</si>
  <si>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</si>
  <si>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</si>
  <si>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</si>
  <si>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</si>
  <si>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</si>
  <si>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</si>
  <si>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</si>
  <si>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</si>
  <si>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</si>
  <si>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</si>
  <si>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</si>
  <si>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</si>
  <si>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</si>
  <si>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</si>
  <si>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</si>
  <si>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</si>
  <si>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</si>
  <si>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</si>
  <si>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</si>
  <si>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</si>
  <si>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</si>
  <si>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</si>
  <si>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</si>
  <si>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</si>
  <si>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</si>
  <si>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</si>
  <si>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</si>
  <si>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</si>
  <si>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</si>
  <si>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</si>
  <si>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</si>
  <si>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</si>
  <si>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</si>
  <si>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</si>
  <si>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</si>
  <si>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</si>
  <si>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</si>
  <si>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</si>
  <si>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</si>
  <si>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</si>
  <si>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</si>
  <si>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</si>
  <si>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</si>
  <si>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</si>
  <si>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</si>
  <si>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</si>
  <si>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</si>
  <si>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</si>
  <si>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</si>
  <si>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</si>
  <si>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</si>
  <si>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</si>
  <si>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</si>
  <si>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</si>
  <si>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</si>
  <si>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</si>
  <si>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</si>
  <si>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</si>
  <si>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</si>
  <si>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</si>
  <si>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</si>
  <si>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</si>
  <si>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</si>
  <si>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</si>
  <si>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</si>
  <si>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</si>
  <si>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</si>
  <si>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</si>
  <si>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</si>
  <si>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</si>
  <si>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</si>
  <si>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</si>
  <si>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</si>
  <si>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</si>
  <si>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</si>
  <si>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</si>
  <si>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</si>
  <si>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</si>
  <si>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</si>
  <si>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</si>
  <si>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</si>
  <si>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</si>
  <si>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</si>
  <si>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</si>
  <si>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</si>
  <si>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</si>
  <si>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</si>
  <si>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</si>
  <si>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</si>
  <si>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</si>
  <si>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</si>
  <si>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</si>
  <si>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</si>
  <si>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</si>
  <si>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</si>
  <si>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</si>
  <si>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</si>
  <si>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</si>
  <si>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</si>
  <si>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</si>
  <si>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</si>
  <si>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</si>
  <si>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</si>
  <si>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</si>
  <si>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</si>
  <si>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</si>
  <si>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</si>
  <si>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</si>
  <si>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</si>
  <si>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</si>
  <si>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</si>
  <si>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</si>
  <si>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</si>
  <si>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</si>
  <si>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</si>
  <si>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</si>
  <si>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</si>
  <si>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</si>
  <si>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</si>
  <si>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</si>
  <si>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</si>
  <si>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</si>
  <si>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</si>
  <si>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</si>
  <si>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</si>
  <si>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</si>
  <si>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</si>
  <si>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</si>
  <si>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</si>
  <si>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</si>
  <si>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</si>
  <si>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</si>
  <si>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</si>
  <si>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</si>
  <si>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</si>
  <si>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</si>
  <si>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</si>
  <si>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</si>
  <si>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</si>
  <si>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</si>
  <si>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</si>
  <si>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</si>
  <si>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</si>
  <si>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</si>
  <si>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</si>
  <si>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</si>
  <si>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</si>
  <si>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</si>
  <si>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</si>
  <si>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</si>
  <si>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</si>
  <si>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</si>
  <si>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</si>
  <si>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</si>
  <si>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</si>
  <si>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</si>
  <si>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</si>
  <si>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</si>
  <si>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</si>
  <si>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</si>
  <si>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</si>
  <si>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</si>
  <si>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</si>
  <si>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</si>
  <si>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</si>
  <si>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</si>
  <si>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</si>
  <si>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</si>
  <si>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</si>
  <si>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</si>
  <si>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</si>
  <si>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</si>
  <si>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</si>
  <si>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</si>
  <si>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</si>
  <si>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</si>
  <si>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1E+230</t>
  </si>
  <si>
    <t>1E+180</t>
  </si>
  <si>
    <t>430000000000</t>
  </si>
  <si>
    <t>虚无鹿</t>
  </si>
  <si>
    <t>1E+233</t>
  </si>
  <si>
    <t>1E+185</t>
  </si>
  <si>
    <t>440000000000</t>
  </si>
  <si>
    <t>虚无草人</t>
  </si>
  <si>
    <t>1E+210</t>
  </si>
  <si>
    <t>1E+236</t>
  </si>
  <si>
    <t>1E+97</t>
  </si>
  <si>
    <t>1E+190</t>
  </si>
  <si>
    <t>450000000000</t>
  </si>
  <si>
    <t>虚无猫</t>
  </si>
  <si>
    <t>1E+239</t>
  </si>
  <si>
    <t>1E+101</t>
  </si>
  <si>
    <t>460000000000</t>
  </si>
  <si>
    <t>虚无花</t>
  </si>
  <si>
    <t>1E+220</t>
  </si>
  <si>
    <t>1E+242</t>
  </si>
  <si>
    <t>470000000000</t>
  </si>
  <si>
    <t>虚无雪人</t>
  </si>
  <si>
    <t>1E+245</t>
  </si>
  <si>
    <t>1E+108</t>
  </si>
  <si>
    <t>480000000000</t>
  </si>
  <si>
    <t>虚无蝙蝠</t>
  </si>
  <si>
    <t>1E+248</t>
  </si>
  <si>
    <t>490000000000</t>
  </si>
  <si>
    <t>虚无骷髅</t>
  </si>
  <si>
    <t>1E+235</t>
  </si>
  <si>
    <t>1E+251</t>
  </si>
  <si>
    <t>1E+114</t>
  </si>
  <si>
    <t>500000000000</t>
  </si>
  <si>
    <t>虚无僵尸</t>
  </si>
  <si>
    <t>1E+240</t>
  </si>
  <si>
    <t>1E+254</t>
  </si>
  <si>
    <t>1E+117</t>
  </si>
  <si>
    <t>510000000000</t>
  </si>
  <si>
    <t>虚无毒蛇</t>
  </si>
  <si>
    <t>1E+257</t>
  </si>
  <si>
    <t>520000000000</t>
  </si>
  <si>
    <t>虚无野狼</t>
  </si>
  <si>
    <t>1E+260</t>
  </si>
  <si>
    <t>1E+123</t>
  </si>
  <si>
    <t>530000000000</t>
  </si>
  <si>
    <t>虚无沙虫</t>
  </si>
  <si>
    <t>1E+263</t>
  </si>
  <si>
    <t>540000000000</t>
  </si>
  <si>
    <t>虚无小鹰</t>
  </si>
  <si>
    <t>1E+266</t>
  </si>
  <si>
    <t>1E+129</t>
  </si>
  <si>
    <t>550000000000</t>
  </si>
  <si>
    <t>虚无角虫</t>
  </si>
  <si>
    <t>1E+269</t>
  </si>
  <si>
    <t>560000000000</t>
  </si>
  <si>
    <t>虚无蜈蚣</t>
  </si>
  <si>
    <t>1E+272</t>
  </si>
  <si>
    <t>1E+135</t>
  </si>
  <si>
    <t>1E+250</t>
  </si>
  <si>
    <t>570000000000</t>
  </si>
  <si>
    <t>虚无钳虫</t>
  </si>
  <si>
    <t>1E+275</t>
  </si>
  <si>
    <t>1E+252</t>
  </si>
  <si>
    <t>580000000000</t>
  </si>
  <si>
    <t>虚无蠕虫</t>
  </si>
  <si>
    <t>1E+278</t>
  </si>
  <si>
    <t>1E+141</t>
  </si>
  <si>
    <t>590000000000</t>
  </si>
  <si>
    <t>虚无黑猪</t>
  </si>
  <si>
    <t>1E+281</t>
  </si>
  <si>
    <t>1E+256</t>
  </si>
  <si>
    <t>600000000000</t>
  </si>
  <si>
    <t>虚无红猪</t>
  </si>
  <si>
    <t>1E+284</t>
  </si>
  <si>
    <t>1E+147</t>
  </si>
  <si>
    <t>1E+258</t>
  </si>
  <si>
    <t>610000000000</t>
  </si>
  <si>
    <t>虚无蝎蛇</t>
  </si>
  <si>
    <t>1E+287</t>
  </si>
  <si>
    <t>620000000000</t>
  </si>
  <si>
    <t>虚无恶魔</t>
  </si>
  <si>
    <t>1E+276</t>
  </si>
  <si>
    <t>1E+290</t>
  </si>
  <si>
    <t>1E+153</t>
  </si>
  <si>
    <t>1E+262</t>
  </si>
  <si>
    <t>630000000000</t>
  </si>
  <si>
    <t>虚无勇士</t>
  </si>
  <si>
    <t>1E+277</t>
  </si>
  <si>
    <t>1E+293</t>
  </si>
  <si>
    <t>1E+264</t>
  </si>
  <si>
    <t>640000000000</t>
  </si>
  <si>
    <t>虚无雕像</t>
  </si>
  <si>
    <t>1E+296</t>
  </si>
  <si>
    <t>1E+159</t>
  </si>
  <si>
    <t>650000000000</t>
  </si>
  <si>
    <t>虚无卫士</t>
  </si>
  <si>
    <t>1E+279</t>
  </si>
  <si>
    <t>1E+299</t>
  </si>
  <si>
    <t>1E+268</t>
  </si>
  <si>
    <t>660000000000</t>
  </si>
  <si>
    <t>虚无魔猪</t>
  </si>
  <si>
    <t>1E+280</t>
  </si>
  <si>
    <t>1E+302</t>
  </si>
  <si>
    <t>1E+165</t>
  </si>
  <si>
    <t>1E+270</t>
  </si>
  <si>
    <t>670000000000</t>
  </si>
  <si>
    <t>虚无树妖</t>
  </si>
  <si>
    <t>1E+305</t>
  </si>
  <si>
    <t>680000000000</t>
  </si>
  <si>
    <t>虚无侍卫</t>
  </si>
  <si>
    <t>1E+282</t>
  </si>
  <si>
    <t>1E+308</t>
  </si>
  <si>
    <t>1E+171</t>
  </si>
  <si>
    <t>1E+274</t>
  </si>
  <si>
    <t>690000000000</t>
  </si>
  <si>
    <t>虚无剧毒</t>
  </si>
  <si>
    <t>1E+283</t>
  </si>
  <si>
    <t>1E+311</t>
  </si>
  <si>
    <t>1E+174</t>
  </si>
  <si>
    <t>700000000000</t>
  </si>
  <si>
    <t>虚无锤兵</t>
  </si>
  <si>
    <t>1E+314</t>
  </si>
  <si>
    <t>1E+177</t>
  </si>
  <si>
    <t>720000000000</t>
  </si>
  <si>
    <t>虚无魔牛</t>
  </si>
  <si>
    <t>1E+285</t>
  </si>
  <si>
    <t>1E+317</t>
  </si>
  <si>
    <t>740000000000</t>
  </si>
  <si>
    <t>虚无水龙</t>
  </si>
  <si>
    <t>1E+286</t>
  </si>
  <si>
    <t>1E+320</t>
  </si>
  <si>
    <t>1E+183</t>
  </si>
  <si>
    <t>760000000000</t>
  </si>
  <si>
    <t>虚无土龙</t>
  </si>
  <si>
    <t>1E+323</t>
  </si>
  <si>
    <t>1E+186</t>
  </si>
  <si>
    <t>780000000000</t>
  </si>
  <si>
    <t>虚无毒龙</t>
  </si>
  <si>
    <t>1E+288</t>
  </si>
  <si>
    <t>1E+326</t>
  </si>
  <si>
    <t>800000000000</t>
  </si>
  <si>
    <t>虚无火龙</t>
  </si>
  <si>
    <t>1E+289</t>
  </si>
  <si>
    <t>1E+329</t>
  </si>
  <si>
    <t>1E+192</t>
  </si>
  <si>
    <t>820000000000</t>
  </si>
  <si>
    <t>虚无冰龙</t>
  </si>
  <si>
    <t>1E+332</t>
  </si>
  <si>
    <t>840000000000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</si>
</sst>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1" fillId="3" borderId="0" xfId="0" applyFont="1" applyFill="1"/>
    <xf numFmtId="0" fontId="1" fillId="0" borderId="0" xfId="0" applyNumberFormat="1" applyFont="1"/>
    <xf numFmtId="0" fontId="4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3" borderId="0" xfId="0" applyNumberFormat="1" applyFont="1" applyFill="1"/>
    <xf numFmtId="0" fontId="3" fillId="3" borderId="0" xfId="0" applyFont="1" applyFill="1"/>
    <xf numFmtId="176" fontId="3" fillId="3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3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0"/>
  <sheetViews>
    <sheetView tabSelected="1" topLeftCell="A210" workbookViewId="0">
      <selection activeCell="R216" sqref="R216:R250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0" customWidth="1"/>
    <col min="8" max="8" width="24.6666666666667" style="10" customWidth="1"/>
    <col min="9" max="9" width="21.75" style="10" customWidth="1"/>
    <col min="10" max="10" width="11.75" style="10" customWidth="1"/>
    <col min="11" max="11" width="8.75" style="10" customWidth="1"/>
    <col min="12" max="12" width="11.75" style="10" customWidth="1"/>
    <col min="13" max="13" width="12.75" style="10" customWidth="1"/>
    <col min="14" max="14" width="9.375" style="10" customWidth="1"/>
    <col min="15" max="15" width="9.125" style="10" customWidth="1"/>
    <col min="16" max="17" width="8.75" style="10" customWidth="1"/>
    <col min="18" max="18" width="9.87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1.125" style="1"/>
    <col min="24" max="24" width="9" style="1"/>
    <col min="25" max="25" width="13.625" style="10" customWidth="1"/>
    <col min="26" max="26" width="8.125" style="10" customWidth="1"/>
    <col min="27" max="27" width="9.625" style="10" customWidth="1"/>
    <col min="28" max="16384" width="9" style="10"/>
  </cols>
  <sheetData>
    <row r="1" s="1" customFormat="1" customHeight="1" spans="1:27">
      <c r="A1" s="10"/>
      <c r="B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Y1" s="10"/>
      <c r="Z1" s="10"/>
      <c r="AA1" s="10"/>
    </row>
    <row r="2" s="1" customFormat="1" customHeight="1" spans="1:27">
      <c r="A2" s="10"/>
      <c r="B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Y2" s="10"/>
      <c r="Z2" s="10"/>
      <c r="AA2" s="10"/>
    </row>
    <row r="3" s="1" customFormat="1" customHeight="1" spans="1:27">
      <c r="A3" s="10"/>
      <c r="B3" s="10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Y3" s="10"/>
      <c r="Z3" s="10"/>
      <c r="AA3" s="10"/>
    </row>
    <row r="4" s="1" customFormat="1" customHeight="1" spans="1:27">
      <c r="A4" s="10"/>
      <c r="B4" s="10"/>
      <c r="C4" s="11" t="s">
        <v>20</v>
      </c>
      <c r="D4" s="11" t="s">
        <v>21</v>
      </c>
      <c r="E4" s="11" t="s">
        <v>2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26</v>
      </c>
      <c r="V4" s="11" t="s">
        <v>27</v>
      </c>
      <c r="Y4" s="10"/>
      <c r="Z4" s="10"/>
      <c r="AA4" s="10"/>
    </row>
    <row r="5" s="1" customFormat="1" customHeight="1" spans="1:27">
      <c r="A5" s="10"/>
      <c r="B5" s="10"/>
      <c r="C5" s="11" t="s">
        <v>28</v>
      </c>
      <c r="D5" s="11" t="s">
        <v>28</v>
      </c>
      <c r="E5" s="11" t="s">
        <v>28</v>
      </c>
      <c r="F5" s="11" t="s">
        <v>29</v>
      </c>
      <c r="G5" s="11" t="s">
        <v>29</v>
      </c>
      <c r="H5" s="11" t="s">
        <v>29</v>
      </c>
      <c r="I5" s="11" t="s">
        <v>29</v>
      </c>
      <c r="J5" s="11" t="s">
        <v>29</v>
      </c>
      <c r="K5" s="11" t="s">
        <v>29</v>
      </c>
      <c r="L5" s="11" t="s">
        <v>29</v>
      </c>
      <c r="M5" s="11" t="s">
        <v>28</v>
      </c>
      <c r="N5" s="11" t="s">
        <v>28</v>
      </c>
      <c r="O5" s="11" t="s">
        <v>28</v>
      </c>
      <c r="P5" s="11" t="s">
        <v>28</v>
      </c>
      <c r="Q5" s="11" t="s">
        <v>28</v>
      </c>
      <c r="R5" s="11" t="s">
        <v>28</v>
      </c>
      <c r="S5" s="11" t="s">
        <v>28</v>
      </c>
      <c r="T5" s="11" t="s">
        <v>30</v>
      </c>
      <c r="U5" s="11" t="s">
        <v>31</v>
      </c>
      <c r="V5" s="11" t="s">
        <v>31</v>
      </c>
      <c r="Y5" s="10"/>
      <c r="Z5" s="10"/>
      <c r="AA5" s="10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29" t="s">
        <v>35</v>
      </c>
      <c r="H6" s="29" t="s">
        <v>36</v>
      </c>
      <c r="I6" s="29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266</v>
      </c>
      <c r="V40" s="1" t="s">
        <v>266</v>
      </c>
    </row>
    <row r="41" s="1" customFormat="1" hidden="1" customHeight="1" spans="1:27">
      <c r="A41" s="10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273</v>
      </c>
      <c r="V41" s="1" t="s">
        <v>273</v>
      </c>
      <c r="Y41" s="10"/>
      <c r="Z41" s="10"/>
      <c r="AA41" s="10"/>
    </row>
    <row r="42" s="1" customFormat="1" hidden="1" customHeight="1" spans="1:27">
      <c r="A42" s="10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280</v>
      </c>
      <c r="V42" s="1" t="s">
        <v>280</v>
      </c>
      <c r="Y42" s="10"/>
      <c r="Z42" s="10"/>
      <c r="AA42" s="10"/>
    </row>
    <row r="43" s="1" customFormat="1" hidden="1" customHeight="1" spans="1:27">
      <c r="A43" s="10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287</v>
      </c>
      <c r="V43" s="1" t="s">
        <v>287</v>
      </c>
      <c r="Y43" s="10"/>
      <c r="Z43" s="10"/>
      <c r="AA43" s="10"/>
    </row>
    <row r="44" s="1" customFormat="1" hidden="1" customHeight="1" spans="1:27">
      <c r="A44" s="10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294</v>
      </c>
      <c r="V44" s="1" t="s">
        <v>294</v>
      </c>
      <c r="Y44" s="10"/>
      <c r="Z44" s="10"/>
      <c r="AA44" s="10"/>
    </row>
    <row r="45" s="1" customFormat="1" hidden="1" customHeight="1" spans="1:27">
      <c r="A45" s="10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301</v>
      </c>
      <c r="V45" s="1" t="s">
        <v>301</v>
      </c>
      <c r="Y45" s="10"/>
      <c r="Z45" s="10"/>
      <c r="AA45" s="10"/>
    </row>
    <row r="46" s="1" customFormat="1" hidden="1" customHeight="1" spans="1:27">
      <c r="A46" s="10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308</v>
      </c>
      <c r="V46" s="1" t="s">
        <v>308</v>
      </c>
      <c r="W46" s="10"/>
      <c r="X46" s="10"/>
      <c r="Y46" s="10"/>
      <c r="Z46" s="10"/>
      <c r="AA46" s="10"/>
    </row>
    <row r="47" s="1" customFormat="1" hidden="1" customHeight="1" spans="1:27">
      <c r="A47" s="10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315</v>
      </c>
      <c r="V47" s="1" t="s">
        <v>315</v>
      </c>
      <c r="W47" s="10"/>
      <c r="X47" s="10"/>
      <c r="Y47" s="10"/>
      <c r="Z47" s="10"/>
      <c r="AA47" s="10"/>
    </row>
    <row r="48" s="1" customFormat="1" hidden="1" customHeight="1" spans="1:27">
      <c r="A48" s="10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322</v>
      </c>
      <c r="V48" s="1" t="s">
        <v>322</v>
      </c>
      <c r="W48" s="10"/>
      <c r="X48" s="10"/>
      <c r="Y48" s="10"/>
      <c r="Z48" s="10"/>
      <c r="AA48" s="10"/>
    </row>
    <row r="49" s="1" customFormat="1" hidden="1" customHeight="1" spans="1:27">
      <c r="A49" s="10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329</v>
      </c>
      <c r="V49" s="1" t="s">
        <v>329</v>
      </c>
      <c r="W49" s="10"/>
      <c r="X49" s="10"/>
      <c r="Y49" s="10"/>
      <c r="Z49" s="10"/>
      <c r="AA49" s="10"/>
    </row>
    <row r="50" s="1" customFormat="1" hidden="1" customHeight="1" spans="1:27">
      <c r="A50" s="10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336</v>
      </c>
      <c r="V50" s="1" t="s">
        <v>336</v>
      </c>
      <c r="W50" s="10"/>
      <c r="X50" s="10"/>
      <c r="Y50" s="10"/>
      <c r="Z50" s="10"/>
      <c r="AA50" s="10"/>
    </row>
    <row r="51" s="1" customFormat="1" hidden="1" customHeight="1" spans="1:27">
      <c r="A51" s="10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343</v>
      </c>
      <c r="V51" s="1" t="s">
        <v>343</v>
      </c>
      <c r="W51" s="10"/>
      <c r="X51" s="10"/>
      <c r="Y51" s="10"/>
      <c r="Z51" s="10"/>
      <c r="AA51" s="10"/>
    </row>
    <row r="52" s="1" customFormat="1" hidden="1" customHeight="1" spans="1:27">
      <c r="A52" s="10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350</v>
      </c>
      <c r="V52" s="1" t="s">
        <v>350</v>
      </c>
      <c r="W52" s="10"/>
      <c r="X52" s="10"/>
      <c r="Y52" s="10"/>
      <c r="Z52" s="10"/>
      <c r="AA52" s="10"/>
    </row>
    <row r="53" s="1" customFormat="1" hidden="1" customHeight="1" spans="1:27">
      <c r="A53" s="10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357</v>
      </c>
      <c r="V53" s="1" t="s">
        <v>357</v>
      </c>
      <c r="W53" s="10"/>
      <c r="X53" s="10"/>
      <c r="Y53" s="10"/>
      <c r="Z53" s="10"/>
      <c r="AA53" s="10"/>
    </row>
    <row r="54" s="1" customFormat="1" hidden="1" customHeight="1" spans="1:27">
      <c r="A54" s="10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364</v>
      </c>
      <c r="V54" s="1" t="s">
        <v>364</v>
      </c>
      <c r="W54" s="10"/>
      <c r="X54" s="10"/>
      <c r="Y54" s="10"/>
      <c r="Z54" s="10"/>
      <c r="AA54" s="10"/>
    </row>
    <row r="55" s="1" customFormat="1" hidden="1" customHeight="1" spans="1:27">
      <c r="A55" s="10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371</v>
      </c>
      <c r="V55" s="1" t="s">
        <v>371</v>
      </c>
      <c r="W55" s="10"/>
      <c r="X55" s="10"/>
      <c r="Y55" s="10"/>
      <c r="Z55" s="10"/>
      <c r="AA55" s="10"/>
    </row>
    <row r="56" s="1" customFormat="1" hidden="1" customHeight="1" spans="1:27">
      <c r="A56" s="10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378</v>
      </c>
      <c r="V56" s="1" t="s">
        <v>378</v>
      </c>
      <c r="W56" s="10"/>
      <c r="X56" s="10"/>
      <c r="Y56" s="10"/>
      <c r="Z56" s="10"/>
      <c r="AA56" s="10"/>
    </row>
    <row r="57" s="1" customFormat="1" hidden="1" customHeight="1" spans="1:27">
      <c r="A57" s="10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385</v>
      </c>
      <c r="V57" s="1" t="s">
        <v>385</v>
      </c>
      <c r="W57" s="10"/>
      <c r="X57" s="10"/>
      <c r="Y57" s="10"/>
      <c r="Z57" s="10"/>
      <c r="AA57" s="10"/>
    </row>
    <row r="58" s="1" customFormat="1" hidden="1" customHeight="1" spans="1:27">
      <c r="A58" s="10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392</v>
      </c>
      <c r="V58" s="1" t="s">
        <v>392</v>
      </c>
      <c r="W58" s="10"/>
      <c r="X58" s="10"/>
      <c r="Y58" s="10"/>
      <c r="Z58" s="10"/>
      <c r="AA58" s="10"/>
    </row>
    <row r="59" s="1" customFormat="1" hidden="1" customHeight="1" spans="1:27">
      <c r="A59" s="10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399</v>
      </c>
      <c r="V59" s="1" t="s">
        <v>399</v>
      </c>
      <c r="W59" s="10"/>
      <c r="X59" s="10"/>
      <c r="Y59" s="10"/>
      <c r="Z59" s="10"/>
      <c r="AA59" s="10"/>
    </row>
    <row r="60" s="1" customFormat="1" hidden="1" customHeight="1" spans="1:27">
      <c r="A60" s="10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406</v>
      </c>
      <c r="V60" s="1" t="s">
        <v>406</v>
      </c>
      <c r="W60" s="10"/>
      <c r="X60" s="10"/>
      <c r="Y60" s="10"/>
      <c r="Z60" s="10"/>
      <c r="AA60" s="10"/>
    </row>
    <row r="61" s="1" customFormat="1" hidden="1" customHeight="1" spans="1:27">
      <c r="A61" s="10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413</v>
      </c>
      <c r="V61" s="1" t="s">
        <v>413</v>
      </c>
      <c r="W61" s="10"/>
      <c r="X61" s="10"/>
      <c r="Y61" s="10"/>
      <c r="Z61" s="10"/>
      <c r="AA61" s="10"/>
    </row>
    <row r="62" s="1" customFormat="1" hidden="1" customHeight="1" spans="1:27">
      <c r="A62" s="10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420</v>
      </c>
      <c r="V62" s="1" t="s">
        <v>420</v>
      </c>
      <c r="W62" s="10"/>
      <c r="X62" s="10"/>
      <c r="Y62" s="10"/>
      <c r="Z62" s="10"/>
      <c r="AA62" s="10"/>
    </row>
    <row r="63" s="1" customFormat="1" hidden="1" customHeight="1" spans="1:27">
      <c r="A63" s="10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427</v>
      </c>
      <c r="V63" s="1" t="s">
        <v>427</v>
      </c>
      <c r="W63" s="10"/>
      <c r="X63" s="10"/>
      <c r="Y63" s="10"/>
      <c r="Z63" s="10"/>
      <c r="AA63" s="10"/>
    </row>
    <row r="64" s="1" customFormat="1" hidden="1" customHeight="1" spans="1:27">
      <c r="A64" s="10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434</v>
      </c>
      <c r="V64" s="1" t="s">
        <v>434</v>
      </c>
      <c r="W64" s="10"/>
      <c r="X64" s="10"/>
      <c r="Y64" s="10"/>
      <c r="Z64" s="10"/>
      <c r="AA64" s="10"/>
    </row>
    <row r="65" s="1" customFormat="1" hidden="1" customHeight="1" spans="1:27">
      <c r="A65" s="10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9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441</v>
      </c>
      <c r="V65" s="1" t="s">
        <v>441</v>
      </c>
      <c r="W65" s="10"/>
      <c r="X65" s="10"/>
      <c r="Y65" s="10"/>
      <c r="Z65" s="10"/>
      <c r="AA65" s="10"/>
    </row>
    <row r="66" s="1" customFormat="1" hidden="1" customHeight="1" spans="1:27">
      <c r="A66" s="10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9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2">
        <v>0</v>
      </c>
      <c r="S66" s="12">
        <v>0</v>
      </c>
      <c r="T66" s="12">
        <v>0</v>
      </c>
      <c r="U66" s="1" t="s">
        <v>448</v>
      </c>
      <c r="V66" s="1" t="s">
        <v>448</v>
      </c>
      <c r="W66" s="10"/>
      <c r="X66" s="10"/>
      <c r="Y66" s="10"/>
      <c r="Z66" s="10"/>
      <c r="AA66" s="10"/>
    </row>
    <row r="67" s="1" customFormat="1" hidden="1" customHeight="1" spans="1:27">
      <c r="A67" s="10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9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2">
        <v>0</v>
      </c>
      <c r="S67" s="12">
        <v>0</v>
      </c>
      <c r="T67" s="12">
        <v>0</v>
      </c>
      <c r="U67" s="1" t="s">
        <v>455</v>
      </c>
      <c r="V67" s="1" t="s">
        <v>455</v>
      </c>
      <c r="W67" s="10"/>
      <c r="X67" s="10"/>
      <c r="Y67" s="10"/>
      <c r="Z67" s="10"/>
      <c r="AA67" s="10"/>
    </row>
    <row r="68" s="1" customFormat="1" hidden="1" customHeight="1" spans="1:27">
      <c r="A68" s="10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9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2">
        <v>0</v>
      </c>
      <c r="S68" s="12">
        <v>0</v>
      </c>
      <c r="T68" s="12">
        <v>0</v>
      </c>
      <c r="U68" s="1" t="s">
        <v>462</v>
      </c>
      <c r="V68" s="1" t="s">
        <v>462</v>
      </c>
      <c r="W68" s="10"/>
      <c r="X68" s="10"/>
      <c r="Y68" s="10"/>
      <c r="Z68" s="10"/>
      <c r="AA68" s="10"/>
    </row>
    <row r="69" s="1" customFormat="1" hidden="1" customHeight="1" spans="1:27">
      <c r="A69" s="10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9" t="s">
        <v>467</v>
      </c>
      <c r="I69" s="29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2">
        <v>0</v>
      </c>
      <c r="S69" s="12">
        <v>0</v>
      </c>
      <c r="T69" s="12">
        <v>0</v>
      </c>
      <c r="U69" s="1" t="s">
        <v>469</v>
      </c>
      <c r="V69" s="1" t="s">
        <v>469</v>
      </c>
      <c r="W69" s="10"/>
      <c r="X69" s="10"/>
      <c r="Y69" s="10"/>
      <c r="Z69" s="10"/>
      <c r="AA69" s="10"/>
    </row>
    <row r="70" s="1" customFormat="1" hidden="1" customHeight="1" spans="1:27">
      <c r="A70" s="10"/>
      <c r="C70" s="1" t="s">
        <v>470</v>
      </c>
      <c r="D70" s="1" t="s">
        <v>471</v>
      </c>
      <c r="E70" s="1">
        <v>2</v>
      </c>
      <c r="F70" s="1" t="s">
        <v>472</v>
      </c>
      <c r="G70" s="29" t="s">
        <v>473</v>
      </c>
      <c r="H70" s="29" t="s">
        <v>474</v>
      </c>
      <c r="I70" s="29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2">
        <v>0</v>
      </c>
      <c r="S70" s="12">
        <v>0</v>
      </c>
      <c r="T70" s="12">
        <v>0</v>
      </c>
      <c r="U70" s="1" t="s">
        <v>476</v>
      </c>
      <c r="V70" s="1" t="s">
        <v>476</v>
      </c>
      <c r="W70" s="10"/>
      <c r="X70" s="10"/>
      <c r="Y70" s="10"/>
      <c r="Z70" s="10"/>
      <c r="AA70" s="10"/>
    </row>
    <row r="71" s="1" customFormat="1" hidden="1" customHeight="1" spans="1:27">
      <c r="A71" s="10"/>
      <c r="C71" s="1" t="s">
        <v>477</v>
      </c>
      <c r="D71" s="1" t="s">
        <v>478</v>
      </c>
      <c r="E71" s="1">
        <v>2</v>
      </c>
      <c r="F71" s="1" t="s">
        <v>479</v>
      </c>
      <c r="G71" s="29" t="s">
        <v>480</v>
      </c>
      <c r="H71" s="29" t="s">
        <v>481</v>
      </c>
      <c r="I71" s="29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2">
        <v>0</v>
      </c>
      <c r="S71" s="12">
        <v>0</v>
      </c>
      <c r="T71" s="12">
        <v>0</v>
      </c>
      <c r="U71" s="1" t="s">
        <v>483</v>
      </c>
      <c r="V71" s="1" t="s">
        <v>483</v>
      </c>
      <c r="W71" s="10"/>
      <c r="X71" s="10"/>
      <c r="Y71" s="10"/>
      <c r="Z71" s="10"/>
      <c r="AA71" s="10"/>
    </row>
    <row r="72" s="1" customFormat="1" hidden="1" customHeight="1" spans="1:27">
      <c r="A72" s="10"/>
      <c r="C72" s="1" t="s">
        <v>484</v>
      </c>
      <c r="D72" s="1" t="s">
        <v>485</v>
      </c>
      <c r="E72" s="1">
        <v>2</v>
      </c>
      <c r="F72" s="1" t="s">
        <v>486</v>
      </c>
      <c r="G72" s="29" t="s">
        <v>487</v>
      </c>
      <c r="H72" s="29" t="s">
        <v>488</v>
      </c>
      <c r="I72" s="29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2">
        <v>0</v>
      </c>
      <c r="S72" s="12">
        <v>0</v>
      </c>
      <c r="T72" s="12">
        <v>0</v>
      </c>
      <c r="U72" s="1" t="s">
        <v>490</v>
      </c>
      <c r="V72" s="1" t="s">
        <v>490</v>
      </c>
      <c r="W72" s="10"/>
      <c r="X72" s="10"/>
      <c r="Y72" s="10"/>
      <c r="Z72" s="10"/>
      <c r="AA72" s="10"/>
    </row>
    <row r="73" s="1" customFormat="1" hidden="1" customHeight="1" spans="1:27">
      <c r="A73" s="10"/>
      <c r="C73" s="1" t="s">
        <v>491</v>
      </c>
      <c r="D73" s="1" t="s">
        <v>492</v>
      </c>
      <c r="E73" s="1">
        <v>2</v>
      </c>
      <c r="F73" s="1" t="s">
        <v>493</v>
      </c>
      <c r="G73" s="29" t="s">
        <v>494</v>
      </c>
      <c r="H73" s="29" t="s">
        <v>495</v>
      </c>
      <c r="I73" s="29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2">
        <v>0</v>
      </c>
      <c r="S73" s="12">
        <v>0</v>
      </c>
      <c r="T73" s="12">
        <v>0</v>
      </c>
      <c r="U73" s="1" t="s">
        <v>497</v>
      </c>
      <c r="V73" s="1" t="s">
        <v>497</v>
      </c>
      <c r="W73" s="10"/>
      <c r="X73" s="10"/>
      <c r="Y73" s="10"/>
      <c r="Z73" s="10"/>
      <c r="AA73" s="10"/>
    </row>
    <row r="74" s="1" customFormat="1" hidden="1" customHeight="1" spans="1:27">
      <c r="A74" s="10"/>
      <c r="C74" s="1" t="s">
        <v>498</v>
      </c>
      <c r="D74" s="1" t="s">
        <v>499</v>
      </c>
      <c r="E74" s="1">
        <v>2</v>
      </c>
      <c r="F74" s="1" t="s">
        <v>500</v>
      </c>
      <c r="G74" s="29" t="s">
        <v>501</v>
      </c>
      <c r="H74" s="29" t="s">
        <v>502</v>
      </c>
      <c r="I74" s="29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2">
        <v>0</v>
      </c>
      <c r="S74" s="12">
        <v>0</v>
      </c>
      <c r="T74" s="12">
        <v>0</v>
      </c>
      <c r="U74" s="1" t="s">
        <v>504</v>
      </c>
      <c r="V74" s="1" t="s">
        <v>504</v>
      </c>
      <c r="W74" s="10"/>
      <c r="X74" s="10"/>
      <c r="Y74" s="10"/>
      <c r="Z74" s="10"/>
      <c r="AA74" s="10"/>
    </row>
    <row r="75" s="1" customFormat="1" hidden="1" customHeight="1" spans="1:27">
      <c r="A75" s="10"/>
      <c r="C75" s="1" t="s">
        <v>505</v>
      </c>
      <c r="D75" s="1" t="s">
        <v>506</v>
      </c>
      <c r="E75" s="1">
        <v>2</v>
      </c>
      <c r="F75" s="1" t="s">
        <v>507</v>
      </c>
      <c r="G75" s="29" t="s">
        <v>508</v>
      </c>
      <c r="H75" s="29" t="s">
        <v>509</v>
      </c>
      <c r="I75" s="29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2">
        <v>0</v>
      </c>
      <c r="S75" s="12">
        <v>0</v>
      </c>
      <c r="T75" s="12">
        <v>0</v>
      </c>
      <c r="U75" s="1" t="s">
        <v>511</v>
      </c>
      <c r="V75" s="29" t="s">
        <v>511</v>
      </c>
      <c r="W75" s="10"/>
      <c r="X75" s="10"/>
      <c r="Y75" s="10"/>
      <c r="Z75" s="10"/>
      <c r="AA75" s="10"/>
    </row>
    <row r="76" s="1" customFormat="1" hidden="1" customHeight="1" spans="1:27">
      <c r="A76" s="10"/>
      <c r="B76" s="10"/>
      <c r="C76" s="1" t="s">
        <v>512</v>
      </c>
      <c r="D76" s="1" t="s">
        <v>513</v>
      </c>
      <c r="E76" s="1">
        <v>3</v>
      </c>
      <c r="F76" s="1" t="s">
        <v>514</v>
      </c>
      <c r="G76" s="29" t="s">
        <v>515</v>
      </c>
      <c r="H76" s="29" t="s">
        <v>516</v>
      </c>
      <c r="I76" s="29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2">
        <v>0</v>
      </c>
      <c r="S76" s="12">
        <v>0</v>
      </c>
      <c r="T76" s="12">
        <v>0</v>
      </c>
      <c r="U76" s="1">
        <v>229385000</v>
      </c>
      <c r="V76" s="1">
        <v>229385000</v>
      </c>
      <c r="Y76" s="10"/>
      <c r="Z76" s="10"/>
      <c r="AA76" s="10"/>
    </row>
    <row r="77" s="1" customFormat="1" hidden="1" customHeight="1" spans="1:27">
      <c r="A77" s="10"/>
      <c r="B77" s="10"/>
      <c r="C77" s="1" t="s">
        <v>518</v>
      </c>
      <c r="D77" s="1" t="s">
        <v>519</v>
      </c>
      <c r="E77" s="1">
        <v>3</v>
      </c>
      <c r="F77" s="1" t="s">
        <v>520</v>
      </c>
      <c r="G77" s="29" t="s">
        <v>521</v>
      </c>
      <c r="H77" s="29" t="s">
        <v>522</v>
      </c>
      <c r="I77" s="29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2">
        <v>0</v>
      </c>
      <c r="S77" s="12">
        <v>0</v>
      </c>
      <c r="T77" s="12">
        <v>0</v>
      </c>
      <c r="U77" s="1">
        <v>239385000</v>
      </c>
      <c r="V77" s="1">
        <v>239385000</v>
      </c>
      <c r="Y77" s="10"/>
      <c r="Z77" s="10"/>
      <c r="AA77" s="10"/>
    </row>
    <row r="78" s="1" customFormat="1" hidden="1" customHeight="1" spans="1:27">
      <c r="A78" s="10"/>
      <c r="B78" s="10"/>
      <c r="C78" s="1" t="s">
        <v>524</v>
      </c>
      <c r="D78" s="1" t="s">
        <v>525</v>
      </c>
      <c r="E78" s="1">
        <v>3</v>
      </c>
      <c r="F78" s="1" t="s">
        <v>526</v>
      </c>
      <c r="G78" s="29" t="s">
        <v>527</v>
      </c>
      <c r="H78" s="29" t="s">
        <v>528</v>
      </c>
      <c r="I78" s="29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2">
        <v>0</v>
      </c>
      <c r="S78" s="12">
        <v>0</v>
      </c>
      <c r="T78" s="12">
        <v>0</v>
      </c>
      <c r="U78" s="1">
        <v>249385000</v>
      </c>
      <c r="V78" s="1">
        <v>249385000</v>
      </c>
      <c r="Y78" s="10"/>
      <c r="Z78" s="10"/>
      <c r="AA78" s="10"/>
    </row>
    <row r="79" s="1" customFormat="1" hidden="1" customHeight="1" spans="1:27">
      <c r="A79" s="10"/>
      <c r="B79" s="10"/>
      <c r="C79" s="1" t="s">
        <v>530</v>
      </c>
      <c r="D79" s="1" t="s">
        <v>531</v>
      </c>
      <c r="E79" s="1">
        <v>3</v>
      </c>
      <c r="F79" s="1" t="s">
        <v>532</v>
      </c>
      <c r="G79" s="29" t="s">
        <v>533</v>
      </c>
      <c r="H79" s="29" t="s">
        <v>534</v>
      </c>
      <c r="I79" s="29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2">
        <v>0</v>
      </c>
      <c r="S79" s="12">
        <v>0</v>
      </c>
      <c r="T79" s="12">
        <v>0</v>
      </c>
      <c r="U79" s="1">
        <v>259385000</v>
      </c>
      <c r="V79" s="1">
        <v>259385000</v>
      </c>
      <c r="Y79" s="10"/>
      <c r="Z79" s="10"/>
      <c r="AA79" s="10"/>
    </row>
    <row r="80" s="1" customFormat="1" hidden="1" customHeight="1" spans="1:27">
      <c r="A80" s="10"/>
      <c r="B80" s="10"/>
      <c r="C80" s="1" t="s">
        <v>536</v>
      </c>
      <c r="D80" s="1" t="s">
        <v>537</v>
      </c>
      <c r="E80" s="1">
        <v>3</v>
      </c>
      <c r="F80" s="1" t="s">
        <v>538</v>
      </c>
      <c r="G80" s="29" t="s">
        <v>539</v>
      </c>
      <c r="H80" s="29" t="s">
        <v>540</v>
      </c>
      <c r="I80" s="29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2">
        <v>0</v>
      </c>
      <c r="S80" s="12">
        <v>0</v>
      </c>
      <c r="T80" s="12">
        <v>0</v>
      </c>
      <c r="U80" s="1">
        <v>269385000</v>
      </c>
      <c r="V80" s="1">
        <v>269385000</v>
      </c>
      <c r="Y80" s="10"/>
      <c r="Z80" s="10"/>
      <c r="AA80" s="10"/>
    </row>
    <row r="81" s="1" customFormat="1" hidden="1" customHeight="1" spans="1:27">
      <c r="A81" s="10"/>
      <c r="B81" s="10"/>
      <c r="C81" s="1" t="s">
        <v>542</v>
      </c>
      <c r="D81" s="1" t="s">
        <v>543</v>
      </c>
      <c r="E81" s="1">
        <v>3</v>
      </c>
      <c r="F81" s="1" t="s">
        <v>544</v>
      </c>
      <c r="G81" s="29" t="s">
        <v>545</v>
      </c>
      <c r="H81" s="29" t="s">
        <v>546</v>
      </c>
      <c r="I81" s="29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2">
        <v>0</v>
      </c>
      <c r="S81" s="12">
        <v>0</v>
      </c>
      <c r="T81" s="12">
        <v>0</v>
      </c>
      <c r="U81" s="1">
        <v>300000000</v>
      </c>
      <c r="V81" s="1">
        <v>300000000</v>
      </c>
      <c r="W81" s="10"/>
      <c r="X81" s="10"/>
      <c r="Y81" s="10"/>
      <c r="Z81" s="10"/>
      <c r="AA81" s="10"/>
    </row>
    <row r="82" s="1" customFormat="1" hidden="1" customHeight="1" spans="1:27">
      <c r="A82" s="10"/>
      <c r="B82" s="10"/>
      <c r="C82" s="1" t="s">
        <v>548</v>
      </c>
      <c r="D82" s="1" t="s">
        <v>549</v>
      </c>
      <c r="E82" s="1">
        <v>3</v>
      </c>
      <c r="F82" s="1" t="s">
        <v>550</v>
      </c>
      <c r="G82" s="29" t="s">
        <v>551</v>
      </c>
      <c r="H82" s="29" t="s">
        <v>552</v>
      </c>
      <c r="I82" s="29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2">
        <v>0</v>
      </c>
      <c r="S82" s="12">
        <v>0</v>
      </c>
      <c r="T82" s="12">
        <v>0</v>
      </c>
      <c r="U82" s="1">
        <v>320000000</v>
      </c>
      <c r="V82" s="1">
        <v>320000000</v>
      </c>
      <c r="W82" s="10"/>
      <c r="X82" s="10"/>
      <c r="Y82" s="10"/>
      <c r="Z82" s="10"/>
      <c r="AA82" s="10"/>
    </row>
    <row r="83" s="1" customFormat="1" hidden="1" customHeight="1" spans="1:27">
      <c r="A83" s="10"/>
      <c r="B83" s="10"/>
      <c r="C83" s="1" t="s">
        <v>554</v>
      </c>
      <c r="D83" s="1" t="s">
        <v>555</v>
      </c>
      <c r="E83" s="1">
        <v>3</v>
      </c>
      <c r="F83" s="1" t="s">
        <v>556</v>
      </c>
      <c r="G83" s="29" t="s">
        <v>557</v>
      </c>
      <c r="H83" s="29" t="s">
        <v>558</v>
      </c>
      <c r="I83" s="29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2">
        <v>0</v>
      </c>
      <c r="S83" s="12">
        <v>0</v>
      </c>
      <c r="T83" s="12">
        <v>0</v>
      </c>
      <c r="U83" s="1">
        <v>340000000</v>
      </c>
      <c r="V83" s="1">
        <v>340000000</v>
      </c>
      <c r="W83" s="10"/>
      <c r="X83" s="10"/>
      <c r="Y83" s="10"/>
      <c r="Z83" s="10"/>
      <c r="AA83" s="10"/>
    </row>
    <row r="84" s="1" customFormat="1" hidden="1" customHeight="1" spans="1:27">
      <c r="A84" s="10"/>
      <c r="B84" s="10"/>
      <c r="C84" s="1" t="s">
        <v>560</v>
      </c>
      <c r="D84" s="1" t="s">
        <v>561</v>
      </c>
      <c r="E84" s="1">
        <v>3</v>
      </c>
      <c r="F84" s="1" t="s">
        <v>562</v>
      </c>
      <c r="G84" s="29" t="s">
        <v>563</v>
      </c>
      <c r="H84" s="29" t="s">
        <v>564</v>
      </c>
      <c r="I84" s="29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2">
        <v>0</v>
      </c>
      <c r="S84" s="12">
        <v>0</v>
      </c>
      <c r="T84" s="12">
        <v>0</v>
      </c>
      <c r="U84" s="1">
        <v>370000000</v>
      </c>
      <c r="V84" s="1">
        <v>370000000</v>
      </c>
      <c r="W84" s="10"/>
      <c r="X84" s="10"/>
      <c r="Y84" s="10"/>
      <c r="Z84" s="10"/>
      <c r="AA84" s="10"/>
    </row>
    <row r="85" s="1" customFormat="1" hidden="1" customHeight="1" spans="1:27">
      <c r="A85" s="10"/>
      <c r="B85" s="10"/>
      <c r="C85" s="1" t="s">
        <v>566</v>
      </c>
      <c r="D85" s="1" t="s">
        <v>567</v>
      </c>
      <c r="E85" s="1">
        <v>3</v>
      </c>
      <c r="F85" s="1" t="s">
        <v>568</v>
      </c>
      <c r="G85" s="29" t="s">
        <v>569</v>
      </c>
      <c r="H85" s="29" t="s">
        <v>570</v>
      </c>
      <c r="I85" s="29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2">
        <v>0</v>
      </c>
      <c r="S85" s="12">
        <v>0</v>
      </c>
      <c r="T85" s="12">
        <v>0</v>
      </c>
      <c r="U85" s="1">
        <v>400000000</v>
      </c>
      <c r="V85" s="1">
        <v>400000000</v>
      </c>
      <c r="W85" s="10"/>
      <c r="X85" s="10"/>
      <c r="Y85" s="10"/>
      <c r="Z85" s="10"/>
      <c r="AA85" s="10"/>
    </row>
    <row r="86" s="1" customFormat="1" hidden="1" customHeight="1" spans="1:27">
      <c r="A86" s="10"/>
      <c r="B86" s="10"/>
      <c r="C86" s="1" t="s">
        <v>572</v>
      </c>
      <c r="D86" s="1" t="s">
        <v>573</v>
      </c>
      <c r="E86" s="1">
        <v>3</v>
      </c>
      <c r="F86" s="1" t="s">
        <v>574</v>
      </c>
      <c r="G86" s="29" t="s">
        <v>575</v>
      </c>
      <c r="H86" s="29" t="s">
        <v>539</v>
      </c>
      <c r="I86" s="29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2">
        <v>0</v>
      </c>
      <c r="S86" s="12">
        <v>0</v>
      </c>
      <c r="T86" s="12">
        <v>0</v>
      </c>
      <c r="U86" s="1">
        <v>500000000</v>
      </c>
      <c r="V86" s="1">
        <v>500000000</v>
      </c>
      <c r="W86" s="10"/>
      <c r="X86" s="10"/>
      <c r="Y86" s="10"/>
      <c r="Z86" s="10"/>
      <c r="AA86" s="10"/>
    </row>
    <row r="87" s="1" customFormat="1" hidden="1" customHeight="1" spans="1:27">
      <c r="A87" s="10"/>
      <c r="B87" s="10"/>
      <c r="C87" s="1" t="s">
        <v>577</v>
      </c>
      <c r="D87" s="1" t="s">
        <v>578</v>
      </c>
      <c r="E87" s="1">
        <v>3</v>
      </c>
      <c r="F87" s="1" t="s">
        <v>579</v>
      </c>
      <c r="G87" s="29" t="s">
        <v>580</v>
      </c>
      <c r="H87" s="29" t="s">
        <v>581</v>
      </c>
      <c r="I87" s="29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2">
        <v>0</v>
      </c>
      <c r="S87" s="12">
        <v>0</v>
      </c>
      <c r="T87" s="12">
        <v>0</v>
      </c>
      <c r="U87" s="1">
        <v>600000000</v>
      </c>
      <c r="V87" s="1">
        <v>600000000</v>
      </c>
      <c r="W87" s="10"/>
      <c r="X87" s="10"/>
      <c r="Y87" s="10"/>
      <c r="Z87" s="10"/>
      <c r="AA87" s="10"/>
    </row>
    <row r="88" s="1" customFormat="1" hidden="1" customHeight="1" spans="1:27">
      <c r="A88" s="10"/>
      <c r="B88" s="10"/>
      <c r="C88" s="1" t="s">
        <v>583</v>
      </c>
      <c r="D88" s="1" t="s">
        <v>584</v>
      </c>
      <c r="E88" s="1">
        <v>3</v>
      </c>
      <c r="F88" s="1" t="s">
        <v>585</v>
      </c>
      <c r="G88" s="29" t="s">
        <v>489</v>
      </c>
      <c r="H88" s="29" t="s">
        <v>454</v>
      </c>
      <c r="I88" s="29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2">
        <v>0</v>
      </c>
      <c r="S88" s="12">
        <v>0</v>
      </c>
      <c r="T88" s="12">
        <v>0</v>
      </c>
      <c r="U88" s="1">
        <v>700000000</v>
      </c>
      <c r="V88" s="1">
        <v>700000000</v>
      </c>
      <c r="W88" s="10"/>
      <c r="X88" s="10"/>
      <c r="Y88" s="10"/>
      <c r="Z88" s="10"/>
      <c r="AA88" s="10"/>
    </row>
    <row r="89" s="1" customFormat="1" hidden="1" customHeight="1" spans="1:27">
      <c r="A89" s="10"/>
      <c r="B89" s="10"/>
      <c r="C89" s="1" t="s">
        <v>587</v>
      </c>
      <c r="D89" s="1" t="s">
        <v>588</v>
      </c>
      <c r="E89" s="1">
        <v>3</v>
      </c>
      <c r="F89" s="1" t="s">
        <v>589</v>
      </c>
      <c r="G89" s="29" t="s">
        <v>503</v>
      </c>
      <c r="H89" s="29" t="s">
        <v>590</v>
      </c>
      <c r="I89" s="29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2">
        <v>0</v>
      </c>
      <c r="S89" s="12">
        <v>0</v>
      </c>
      <c r="T89" s="12">
        <v>0</v>
      </c>
      <c r="U89" s="1">
        <v>800000000</v>
      </c>
      <c r="V89" s="1">
        <v>800000000</v>
      </c>
      <c r="W89" s="10"/>
      <c r="X89" s="10"/>
      <c r="Y89" s="10"/>
      <c r="Z89" s="10"/>
      <c r="AA89" s="10"/>
    </row>
    <row r="90" s="1" customFormat="1" hidden="1" customHeight="1" spans="1:27">
      <c r="A90" s="10"/>
      <c r="B90" s="10"/>
      <c r="C90" s="1" t="s">
        <v>592</v>
      </c>
      <c r="D90" s="1" t="s">
        <v>593</v>
      </c>
      <c r="E90" s="1">
        <v>3</v>
      </c>
      <c r="F90" s="1" t="s">
        <v>594</v>
      </c>
      <c r="G90" s="29" t="s">
        <v>595</v>
      </c>
      <c r="H90" s="29" t="s">
        <v>580</v>
      </c>
      <c r="I90" s="29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2">
        <v>0</v>
      </c>
      <c r="S90" s="12">
        <v>0</v>
      </c>
      <c r="T90" s="12">
        <v>0</v>
      </c>
      <c r="U90" s="1">
        <v>1000000000</v>
      </c>
      <c r="V90" s="1">
        <v>1000000000</v>
      </c>
      <c r="W90" s="10"/>
      <c r="X90" s="10"/>
      <c r="Y90" s="10"/>
      <c r="Z90" s="10"/>
      <c r="AA90" s="10"/>
    </row>
    <row r="91" s="1" customFormat="1" hidden="1" customHeight="1" spans="1:27">
      <c r="A91" s="10"/>
      <c r="B91" s="10"/>
      <c r="C91" s="1" t="s">
        <v>597</v>
      </c>
      <c r="D91" s="1" t="s">
        <v>598</v>
      </c>
      <c r="E91" s="1">
        <v>3</v>
      </c>
      <c r="F91" s="1" t="s">
        <v>599</v>
      </c>
      <c r="G91" s="29" t="s">
        <v>600</v>
      </c>
      <c r="H91" s="29" t="s">
        <v>601</v>
      </c>
      <c r="I91" s="29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2">
        <v>0</v>
      </c>
      <c r="S91" s="12">
        <v>0</v>
      </c>
      <c r="T91" s="12">
        <v>0</v>
      </c>
      <c r="U91" s="1">
        <v>1100000000</v>
      </c>
      <c r="V91" s="1">
        <v>1100000000</v>
      </c>
      <c r="W91" s="10"/>
      <c r="X91" s="10"/>
      <c r="Y91" s="10"/>
      <c r="Z91" s="10"/>
      <c r="AA91" s="10"/>
    </row>
    <row r="92" s="1" customFormat="1" hidden="1" customHeight="1" spans="1:27">
      <c r="A92" s="10"/>
      <c r="B92" s="10"/>
      <c r="C92" s="1" t="s">
        <v>603</v>
      </c>
      <c r="D92" s="1" t="s">
        <v>604</v>
      </c>
      <c r="E92" s="1">
        <v>3</v>
      </c>
      <c r="F92" s="1" t="s">
        <v>605</v>
      </c>
      <c r="G92" s="29" t="s">
        <v>606</v>
      </c>
      <c r="H92" s="29" t="s">
        <v>607</v>
      </c>
      <c r="I92" s="29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2">
        <v>0</v>
      </c>
      <c r="S92" s="12">
        <v>0</v>
      </c>
      <c r="T92" s="12">
        <v>0</v>
      </c>
      <c r="U92" s="1">
        <v>1200000000</v>
      </c>
      <c r="V92" s="1">
        <v>1200000000</v>
      </c>
      <c r="W92" s="10"/>
      <c r="X92" s="10"/>
      <c r="Y92" s="10"/>
      <c r="Z92" s="10"/>
      <c r="AA92" s="10"/>
    </row>
    <row r="93" s="1" customFormat="1" hidden="1" customHeight="1" spans="1:27">
      <c r="A93" s="10"/>
      <c r="B93" s="10"/>
      <c r="C93" s="1" t="s">
        <v>609</v>
      </c>
      <c r="D93" s="1" t="s">
        <v>610</v>
      </c>
      <c r="E93" s="1">
        <v>3</v>
      </c>
      <c r="F93" s="1" t="s">
        <v>611</v>
      </c>
      <c r="G93" s="29" t="s">
        <v>612</v>
      </c>
      <c r="H93" s="29" t="s">
        <v>613</v>
      </c>
      <c r="I93" s="29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2">
        <v>0</v>
      </c>
      <c r="S93" s="12">
        <v>0</v>
      </c>
      <c r="T93" s="12">
        <v>0</v>
      </c>
      <c r="U93" s="1">
        <v>1300000000</v>
      </c>
      <c r="V93" s="1">
        <v>1300000000</v>
      </c>
      <c r="W93" s="10"/>
      <c r="X93" s="10"/>
      <c r="Y93" s="10"/>
      <c r="Z93" s="10"/>
      <c r="AA93" s="10"/>
    </row>
    <row r="94" s="1" customFormat="1" hidden="1" customHeight="1" spans="1:27">
      <c r="A94" s="10"/>
      <c r="B94" s="10"/>
      <c r="C94" s="1" t="s">
        <v>615</v>
      </c>
      <c r="D94" s="1" t="s">
        <v>616</v>
      </c>
      <c r="E94" s="1">
        <v>3</v>
      </c>
      <c r="F94" s="1" t="s">
        <v>617</v>
      </c>
      <c r="G94" s="29" t="s">
        <v>571</v>
      </c>
      <c r="H94" s="29" t="s">
        <v>618</v>
      </c>
      <c r="I94" s="29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2">
        <v>0</v>
      </c>
      <c r="S94" s="12">
        <v>0</v>
      </c>
      <c r="T94" s="12">
        <v>0</v>
      </c>
      <c r="U94" s="1">
        <v>1400000000</v>
      </c>
      <c r="V94" s="1">
        <v>1400000000</v>
      </c>
      <c r="W94" s="10"/>
      <c r="X94" s="10"/>
      <c r="Y94" s="10"/>
      <c r="Z94" s="10"/>
      <c r="AA94" s="10"/>
    </row>
    <row r="95" s="1" customFormat="1" hidden="1" customHeight="1" spans="1:27">
      <c r="A95" s="10"/>
      <c r="B95" s="10"/>
      <c r="C95" s="1" t="s">
        <v>620</v>
      </c>
      <c r="D95" s="1" t="s">
        <v>621</v>
      </c>
      <c r="E95" s="1">
        <v>3</v>
      </c>
      <c r="F95" s="1" t="s">
        <v>622</v>
      </c>
      <c r="G95" s="29" t="s">
        <v>576</v>
      </c>
      <c r="H95" s="29" t="s">
        <v>623</v>
      </c>
      <c r="I95" s="29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2">
        <v>0</v>
      </c>
      <c r="S95" s="12">
        <v>0</v>
      </c>
      <c r="T95" s="12">
        <v>0</v>
      </c>
      <c r="U95" s="1">
        <v>1500000000</v>
      </c>
      <c r="V95" s="1">
        <v>1500000000</v>
      </c>
      <c r="W95" s="10"/>
      <c r="X95" s="10"/>
      <c r="Y95" s="10"/>
      <c r="Z95" s="10"/>
      <c r="AA95" s="10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29" t="s">
        <v>582</v>
      </c>
      <c r="H96" s="29" t="s">
        <v>628</v>
      </c>
      <c r="I96" s="29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2">
        <v>0</v>
      </c>
      <c r="S96" s="12">
        <v>0</v>
      </c>
      <c r="T96" s="12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29" t="s">
        <v>586</v>
      </c>
      <c r="H97" s="29" t="s">
        <v>633</v>
      </c>
      <c r="I97" s="29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2">
        <v>0</v>
      </c>
      <c r="S97" s="12">
        <v>0</v>
      </c>
      <c r="T97" s="12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29" t="s">
        <v>638</v>
      </c>
      <c r="H98" s="29" t="s">
        <v>639</v>
      </c>
      <c r="I98" s="29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2">
        <v>0</v>
      </c>
      <c r="S98" s="12">
        <v>0</v>
      </c>
      <c r="T98" s="12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29" t="s">
        <v>644</v>
      </c>
      <c r="H99" s="29" t="s">
        <v>645</v>
      </c>
      <c r="I99" s="29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2">
        <v>0</v>
      </c>
      <c r="S99" s="12">
        <v>0</v>
      </c>
      <c r="T99" s="12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29" t="s">
        <v>650</v>
      </c>
      <c r="H100" s="29" t="s">
        <v>651</v>
      </c>
      <c r="I100" s="29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2">
        <v>0</v>
      </c>
      <c r="S100" s="12">
        <v>0</v>
      </c>
      <c r="T100" s="12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29" t="s">
        <v>656</v>
      </c>
      <c r="H101" s="29" t="s">
        <v>657</v>
      </c>
      <c r="I101" s="29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2">
        <v>0</v>
      </c>
      <c r="S101" s="12">
        <v>0</v>
      </c>
      <c r="T101" s="12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29" t="s">
        <v>662</v>
      </c>
      <c r="H102" s="29" t="s">
        <v>663</v>
      </c>
      <c r="I102" s="29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2">
        <v>0</v>
      </c>
      <c r="S102" s="12">
        <v>0</v>
      </c>
      <c r="T102" s="12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29" t="s">
        <v>668</v>
      </c>
      <c r="H103" s="29" t="s">
        <v>669</v>
      </c>
      <c r="I103" s="29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2">
        <v>0</v>
      </c>
      <c r="S103" s="12">
        <v>0</v>
      </c>
      <c r="T103" s="12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29" t="s">
        <v>674</v>
      </c>
      <c r="H104" s="29" t="s">
        <v>668</v>
      </c>
      <c r="I104" s="29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2">
        <v>0</v>
      </c>
      <c r="S104" s="12">
        <v>0</v>
      </c>
      <c r="T104" s="12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29" t="s">
        <v>679</v>
      </c>
      <c r="H105" s="29" t="s">
        <v>674</v>
      </c>
      <c r="I105" s="29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2">
        <v>0</v>
      </c>
      <c r="S105" s="12">
        <v>0</v>
      </c>
      <c r="T105" s="12">
        <v>0</v>
      </c>
      <c r="U105" s="1">
        <v>2500000000</v>
      </c>
      <c r="V105" s="1">
        <v>2500000000</v>
      </c>
    </row>
    <row r="106" s="1" customFormat="1" hidden="1" customHeight="1" spans="1:27">
      <c r="A106" s="10"/>
      <c r="B106" s="10"/>
      <c r="C106" s="1" t="s">
        <v>681</v>
      </c>
      <c r="D106" s="1" t="s">
        <v>682</v>
      </c>
      <c r="E106" s="1">
        <v>3</v>
      </c>
      <c r="F106" s="1" t="s">
        <v>683</v>
      </c>
      <c r="G106" s="29" t="s">
        <v>684</v>
      </c>
      <c r="H106" s="29" t="s">
        <v>685</v>
      </c>
      <c r="I106" s="29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2">
        <v>0</v>
      </c>
      <c r="S106" s="12">
        <v>0</v>
      </c>
      <c r="T106" s="12">
        <v>0</v>
      </c>
      <c r="U106" s="1">
        <v>2600000000</v>
      </c>
      <c r="V106" s="1">
        <v>2600000000</v>
      </c>
      <c r="W106" s="10"/>
      <c r="X106" s="10"/>
      <c r="Y106" s="10"/>
      <c r="Z106" s="10"/>
      <c r="AA106" s="10"/>
    </row>
    <row r="107" s="1" customFormat="1" hidden="1" customHeight="1" spans="1:27">
      <c r="A107" s="10"/>
      <c r="B107" s="10"/>
      <c r="C107" s="1" t="s">
        <v>687</v>
      </c>
      <c r="D107" s="1" t="s">
        <v>688</v>
      </c>
      <c r="E107" s="1">
        <v>3</v>
      </c>
      <c r="F107" s="1" t="s">
        <v>689</v>
      </c>
      <c r="G107" s="29" t="s">
        <v>690</v>
      </c>
      <c r="H107" s="29" t="s">
        <v>691</v>
      </c>
      <c r="I107" s="29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2">
        <v>0</v>
      </c>
      <c r="S107" s="12">
        <v>0</v>
      </c>
      <c r="T107" s="12">
        <v>0</v>
      </c>
      <c r="U107" s="1">
        <v>2700000000</v>
      </c>
      <c r="V107" s="1">
        <v>2700000000</v>
      </c>
      <c r="W107" s="10"/>
      <c r="X107" s="10"/>
      <c r="Y107" s="10"/>
      <c r="Z107" s="10"/>
      <c r="AA107" s="10"/>
    </row>
    <row r="108" s="1" customFormat="1" hidden="1" customHeight="1" spans="1:27">
      <c r="A108" s="10"/>
      <c r="B108" s="10"/>
      <c r="C108" s="1" t="s">
        <v>693</v>
      </c>
      <c r="D108" s="1" t="s">
        <v>694</v>
      </c>
      <c r="E108" s="1">
        <v>3</v>
      </c>
      <c r="F108" s="1" t="s">
        <v>695</v>
      </c>
      <c r="G108" s="29" t="s">
        <v>696</v>
      </c>
      <c r="H108" s="29" t="s">
        <v>697</v>
      </c>
      <c r="I108" s="29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2">
        <v>0</v>
      </c>
      <c r="S108" s="12">
        <v>0</v>
      </c>
      <c r="T108" s="12">
        <v>0</v>
      </c>
      <c r="U108" s="1">
        <v>2800000000</v>
      </c>
      <c r="V108" s="1">
        <v>2800000000</v>
      </c>
      <c r="W108" s="10"/>
      <c r="X108" s="10"/>
      <c r="Y108" s="10"/>
      <c r="Z108" s="10"/>
      <c r="AA108" s="10"/>
    </row>
    <row r="109" s="1" customFormat="1" hidden="1" customHeight="1" spans="1:27">
      <c r="A109" s="10"/>
      <c r="B109" s="10"/>
      <c r="C109" s="1" t="s">
        <v>699</v>
      </c>
      <c r="D109" s="1" t="s">
        <v>700</v>
      </c>
      <c r="E109" s="1">
        <v>3</v>
      </c>
      <c r="F109" s="1" t="s">
        <v>701</v>
      </c>
      <c r="G109" s="29" t="s">
        <v>702</v>
      </c>
      <c r="H109" s="29" t="s">
        <v>703</v>
      </c>
      <c r="I109" s="29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2">
        <v>0</v>
      </c>
      <c r="S109" s="12">
        <v>0</v>
      </c>
      <c r="T109" s="12">
        <v>0</v>
      </c>
      <c r="U109" s="1">
        <v>2900000000</v>
      </c>
      <c r="V109" s="1">
        <v>2900000000</v>
      </c>
      <c r="W109" s="10"/>
      <c r="X109" s="10"/>
      <c r="Y109" s="10"/>
      <c r="Z109" s="10"/>
      <c r="AA109" s="10"/>
    </row>
    <row r="110" s="1" customFormat="1" hidden="1" customHeight="1" spans="1:27">
      <c r="A110" s="10"/>
      <c r="B110" s="10"/>
      <c r="C110" s="1" t="s">
        <v>705</v>
      </c>
      <c r="D110" s="1" t="s">
        <v>706</v>
      </c>
      <c r="E110" s="1">
        <v>3</v>
      </c>
      <c r="F110" s="1" t="s">
        <v>707</v>
      </c>
      <c r="G110" s="29" t="s">
        <v>708</v>
      </c>
      <c r="H110" s="29" t="s">
        <v>709</v>
      </c>
      <c r="I110" s="29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2">
        <v>0</v>
      </c>
      <c r="S110" s="12">
        <v>0</v>
      </c>
      <c r="T110" s="12">
        <v>0</v>
      </c>
      <c r="U110" s="1">
        <v>3000000000</v>
      </c>
      <c r="V110" s="1">
        <v>3000000000</v>
      </c>
      <c r="W110" s="10"/>
      <c r="X110" s="10"/>
      <c r="Y110" s="10"/>
      <c r="Z110" s="10"/>
      <c r="AA110" s="10"/>
    </row>
    <row r="111" s="1" customFormat="1" hidden="1" customHeight="1" spans="1:27">
      <c r="A111" s="10"/>
      <c r="B111" s="10"/>
      <c r="C111" s="1" t="s">
        <v>711</v>
      </c>
      <c r="D111" s="1" t="s">
        <v>712</v>
      </c>
      <c r="E111" s="1">
        <v>4</v>
      </c>
      <c r="F111" s="1" t="s">
        <v>713</v>
      </c>
      <c r="G111" s="30" t="s">
        <v>714</v>
      </c>
      <c r="H111" s="31" t="s">
        <v>714</v>
      </c>
      <c r="I111" s="32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0">
        <v>30</v>
      </c>
      <c r="S111" s="12">
        <v>0</v>
      </c>
      <c r="T111" s="10">
        <v>90</v>
      </c>
      <c r="U111" s="29" t="s">
        <v>716</v>
      </c>
      <c r="V111" s="29" t="s">
        <v>716</v>
      </c>
      <c r="Y111" s="10"/>
      <c r="Z111" s="10"/>
      <c r="AA111" s="10"/>
    </row>
    <row r="112" s="1" customFormat="1" hidden="1" customHeight="1" spans="1:27">
      <c r="A112" s="10"/>
      <c r="B112" s="10"/>
      <c r="C112" s="1" t="s">
        <v>717</v>
      </c>
      <c r="D112" s="1" t="s">
        <v>718</v>
      </c>
      <c r="E112" s="1">
        <v>4</v>
      </c>
      <c r="F112" s="1" t="s">
        <v>719</v>
      </c>
      <c r="G112" s="33" t="s">
        <v>720</v>
      </c>
      <c r="H112" s="29" t="s">
        <v>720</v>
      </c>
      <c r="I112" s="34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0">
        <f t="shared" ref="R112:R145" si="28">R111+1</f>
        <v>31</v>
      </c>
      <c r="S112" s="12">
        <v>0</v>
      </c>
      <c r="T112" s="10">
        <v>90</v>
      </c>
      <c r="U112" s="29" t="s">
        <v>722</v>
      </c>
      <c r="V112" s="29" t="s">
        <v>722</v>
      </c>
      <c r="Y112" s="10"/>
      <c r="Z112" s="10"/>
      <c r="AA112" s="10"/>
    </row>
    <row r="113" s="1" customFormat="1" hidden="1" customHeight="1" spans="1:27">
      <c r="A113" s="10"/>
      <c r="B113" s="10"/>
      <c r="C113" s="1" t="s">
        <v>723</v>
      </c>
      <c r="D113" s="1" t="s">
        <v>724</v>
      </c>
      <c r="E113" s="1">
        <v>4</v>
      </c>
      <c r="F113" s="1" t="s">
        <v>725</v>
      </c>
      <c r="G113" s="33" t="s">
        <v>726</v>
      </c>
      <c r="H113" s="29" t="s">
        <v>726</v>
      </c>
      <c r="I113" s="34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0">
        <f t="shared" si="28"/>
        <v>32</v>
      </c>
      <c r="S113" s="12">
        <v>0</v>
      </c>
      <c r="T113" s="10">
        <v>90</v>
      </c>
      <c r="U113" s="29" t="s">
        <v>728</v>
      </c>
      <c r="V113" s="29" t="s">
        <v>728</v>
      </c>
      <c r="Y113" s="10"/>
      <c r="Z113" s="10"/>
      <c r="AA113" s="10"/>
    </row>
    <row r="114" s="1" customFormat="1" hidden="1" customHeight="1" spans="1:27">
      <c r="A114" s="10"/>
      <c r="B114" s="10"/>
      <c r="C114" s="1" t="s">
        <v>729</v>
      </c>
      <c r="D114" s="1" t="s">
        <v>730</v>
      </c>
      <c r="E114" s="1">
        <v>4</v>
      </c>
      <c r="F114" s="1" t="s">
        <v>731</v>
      </c>
      <c r="G114" s="33" t="s">
        <v>732</v>
      </c>
      <c r="H114" s="29" t="s">
        <v>732</v>
      </c>
      <c r="I114" s="34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0">
        <f t="shared" si="28"/>
        <v>33</v>
      </c>
      <c r="S114" s="12">
        <v>0</v>
      </c>
      <c r="T114" s="10">
        <v>90</v>
      </c>
      <c r="U114" s="29" t="s">
        <v>734</v>
      </c>
      <c r="V114" s="29" t="s">
        <v>734</v>
      </c>
      <c r="Y114" s="10"/>
      <c r="Z114" s="10"/>
      <c r="AA114" s="10"/>
    </row>
    <row r="115" s="1" customFormat="1" hidden="1" customHeight="1" spans="1:27">
      <c r="A115" s="10"/>
      <c r="B115" s="10"/>
      <c r="C115" s="1" t="s">
        <v>735</v>
      </c>
      <c r="D115" s="1" t="s">
        <v>736</v>
      </c>
      <c r="E115" s="1">
        <v>4</v>
      </c>
      <c r="F115" s="1" t="s">
        <v>737</v>
      </c>
      <c r="G115" s="33" t="s">
        <v>738</v>
      </c>
      <c r="H115" s="29" t="s">
        <v>738</v>
      </c>
      <c r="I115" s="34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0">
        <f t="shared" si="28"/>
        <v>34</v>
      </c>
      <c r="S115" s="12">
        <v>0</v>
      </c>
      <c r="T115" s="10">
        <v>90</v>
      </c>
      <c r="U115" s="29" t="s">
        <v>740</v>
      </c>
      <c r="V115" s="29" t="s">
        <v>740</v>
      </c>
      <c r="Y115" s="10"/>
      <c r="Z115" s="10"/>
      <c r="AA115" s="10"/>
    </row>
    <row r="116" s="1" customFormat="1" hidden="1" customHeight="1" spans="1:27">
      <c r="A116" s="10"/>
      <c r="B116" s="10"/>
      <c r="C116" s="1" t="s">
        <v>741</v>
      </c>
      <c r="D116" s="1" t="s">
        <v>742</v>
      </c>
      <c r="E116" s="1">
        <v>4</v>
      </c>
      <c r="F116" s="1" t="s">
        <v>743</v>
      </c>
      <c r="G116" s="33" t="s">
        <v>744</v>
      </c>
      <c r="H116" s="29" t="s">
        <v>744</v>
      </c>
      <c r="I116" s="34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0">
        <f t="shared" si="28"/>
        <v>35</v>
      </c>
      <c r="S116" s="12">
        <v>0</v>
      </c>
      <c r="T116" s="10">
        <v>90</v>
      </c>
      <c r="U116" s="29" t="s">
        <v>746</v>
      </c>
      <c r="V116" s="29" t="s">
        <v>746</v>
      </c>
      <c r="W116" s="10"/>
      <c r="X116" s="10"/>
      <c r="Y116" s="10"/>
      <c r="Z116" s="10"/>
      <c r="AA116" s="10"/>
    </row>
    <row r="117" s="1" customFormat="1" hidden="1" customHeight="1" spans="1:27">
      <c r="A117" s="10"/>
      <c r="B117" s="10"/>
      <c r="C117" s="1" t="s">
        <v>747</v>
      </c>
      <c r="D117" s="1" t="s">
        <v>748</v>
      </c>
      <c r="E117" s="1">
        <v>4</v>
      </c>
      <c r="F117" s="1" t="s">
        <v>749</v>
      </c>
      <c r="G117" s="33" t="s">
        <v>750</v>
      </c>
      <c r="H117" s="29" t="s">
        <v>750</v>
      </c>
      <c r="I117" s="34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0">
        <f t="shared" si="28"/>
        <v>36</v>
      </c>
      <c r="S117" s="12">
        <v>0</v>
      </c>
      <c r="T117" s="10">
        <v>90</v>
      </c>
      <c r="U117" s="29" t="s">
        <v>752</v>
      </c>
      <c r="V117" s="29" t="s">
        <v>752</v>
      </c>
      <c r="W117" s="10"/>
      <c r="X117" s="10"/>
      <c r="Y117" s="10"/>
      <c r="Z117" s="10"/>
      <c r="AA117" s="10"/>
    </row>
    <row r="118" s="1" customFormat="1" hidden="1" customHeight="1" spans="1:27">
      <c r="A118" s="10"/>
      <c r="B118" s="10"/>
      <c r="C118" s="1" t="s">
        <v>753</v>
      </c>
      <c r="D118" s="1" t="s">
        <v>754</v>
      </c>
      <c r="E118" s="1">
        <v>4</v>
      </c>
      <c r="F118" s="1" t="s">
        <v>755</v>
      </c>
      <c r="G118" s="33" t="s">
        <v>756</v>
      </c>
      <c r="H118" s="29" t="s">
        <v>756</v>
      </c>
      <c r="I118" s="34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0">
        <f t="shared" si="28"/>
        <v>37</v>
      </c>
      <c r="S118" s="12">
        <v>0</v>
      </c>
      <c r="T118" s="10">
        <v>90</v>
      </c>
      <c r="U118" s="29" t="s">
        <v>758</v>
      </c>
      <c r="V118" s="29" t="s">
        <v>758</v>
      </c>
      <c r="W118" s="10"/>
      <c r="X118" s="10"/>
      <c r="Y118" s="10"/>
      <c r="Z118" s="10"/>
      <c r="AA118" s="10"/>
    </row>
    <row r="119" s="1" customFormat="1" hidden="1" customHeight="1" spans="1:27">
      <c r="A119" s="10"/>
      <c r="B119" s="10"/>
      <c r="C119" s="1" t="s">
        <v>759</v>
      </c>
      <c r="D119" s="1" t="s">
        <v>760</v>
      </c>
      <c r="E119" s="1">
        <v>4</v>
      </c>
      <c r="F119" s="1" t="s">
        <v>761</v>
      </c>
      <c r="G119" s="33" t="s">
        <v>762</v>
      </c>
      <c r="H119" s="29" t="s">
        <v>762</v>
      </c>
      <c r="I119" s="34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0">
        <f t="shared" si="28"/>
        <v>38</v>
      </c>
      <c r="S119" s="12">
        <v>0</v>
      </c>
      <c r="T119" s="10">
        <v>90</v>
      </c>
      <c r="U119" s="29" t="s">
        <v>764</v>
      </c>
      <c r="V119" s="29" t="s">
        <v>764</v>
      </c>
      <c r="W119" s="10"/>
      <c r="X119" s="10"/>
      <c r="Y119" s="10"/>
      <c r="Z119" s="10"/>
      <c r="AA119" s="10"/>
    </row>
    <row r="120" s="1" customFormat="1" hidden="1" customHeight="1" spans="1:27">
      <c r="A120" s="10"/>
      <c r="B120" s="10"/>
      <c r="C120" s="1" t="s">
        <v>765</v>
      </c>
      <c r="D120" s="1" t="s">
        <v>766</v>
      </c>
      <c r="E120" s="1">
        <v>4</v>
      </c>
      <c r="F120" s="1" t="s">
        <v>767</v>
      </c>
      <c r="G120" s="33" t="s">
        <v>768</v>
      </c>
      <c r="H120" s="29" t="s">
        <v>768</v>
      </c>
      <c r="I120" s="34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0">
        <f t="shared" si="28"/>
        <v>39</v>
      </c>
      <c r="S120" s="12">
        <v>0</v>
      </c>
      <c r="T120" s="10">
        <v>90</v>
      </c>
      <c r="U120" s="29" t="s">
        <v>770</v>
      </c>
      <c r="V120" s="29" t="s">
        <v>770</v>
      </c>
      <c r="W120" s="10"/>
      <c r="X120" s="10"/>
      <c r="Y120" s="10"/>
      <c r="Z120" s="10"/>
      <c r="AA120" s="10"/>
    </row>
    <row r="121" s="1" customFormat="1" hidden="1" customHeight="1" spans="1:27">
      <c r="A121" s="10"/>
      <c r="B121" s="10"/>
      <c r="C121" s="1" t="s">
        <v>771</v>
      </c>
      <c r="D121" s="1" t="s">
        <v>772</v>
      </c>
      <c r="E121" s="1">
        <v>4</v>
      </c>
      <c r="F121" s="1" t="s">
        <v>773</v>
      </c>
      <c r="G121" s="33" t="s">
        <v>715</v>
      </c>
      <c r="H121" s="29" t="s">
        <v>715</v>
      </c>
      <c r="I121" s="34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0">
        <f t="shared" si="28"/>
        <v>40</v>
      </c>
      <c r="S121" s="12">
        <v>3</v>
      </c>
      <c r="T121" s="10">
        <v>90</v>
      </c>
      <c r="U121" s="29" t="s">
        <v>775</v>
      </c>
      <c r="V121" s="29" t="s">
        <v>775</v>
      </c>
      <c r="W121" s="10"/>
      <c r="X121" s="10"/>
      <c r="Y121" s="10"/>
      <c r="Z121" s="10"/>
      <c r="AA121" s="10"/>
    </row>
    <row r="122" s="1" customFormat="1" hidden="1" customHeight="1" spans="1:27">
      <c r="A122" s="10"/>
      <c r="B122" s="10"/>
      <c r="C122" s="1" t="s">
        <v>776</v>
      </c>
      <c r="D122" s="1" t="s">
        <v>777</v>
      </c>
      <c r="E122" s="1">
        <v>4</v>
      </c>
      <c r="F122" s="1" t="s">
        <v>778</v>
      </c>
      <c r="G122" s="33" t="s">
        <v>779</v>
      </c>
      <c r="H122" s="29" t="s">
        <v>779</v>
      </c>
      <c r="I122" s="34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0">
        <f t="shared" si="28"/>
        <v>41</v>
      </c>
      <c r="S122" s="10">
        <f t="shared" ref="S122:S130" si="31">S121+3</f>
        <v>6</v>
      </c>
      <c r="T122" s="10">
        <v>90</v>
      </c>
      <c r="U122" s="29" t="s">
        <v>781</v>
      </c>
      <c r="V122" s="29" t="s">
        <v>781</v>
      </c>
      <c r="W122" s="10"/>
      <c r="X122" s="10"/>
      <c r="Y122" s="10"/>
      <c r="Z122" s="10"/>
      <c r="AA122" s="10"/>
    </row>
    <row r="123" s="1" customFormat="1" hidden="1" customHeight="1" spans="1:27">
      <c r="A123" s="10"/>
      <c r="B123" s="10"/>
      <c r="C123" s="1" t="s">
        <v>782</v>
      </c>
      <c r="D123" s="1" t="s">
        <v>783</v>
      </c>
      <c r="E123" s="1">
        <v>4</v>
      </c>
      <c r="F123" s="1" t="s">
        <v>784</v>
      </c>
      <c r="G123" s="33" t="s">
        <v>785</v>
      </c>
      <c r="H123" s="29" t="s">
        <v>785</v>
      </c>
      <c r="I123" s="34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0">
        <f t="shared" si="28"/>
        <v>42</v>
      </c>
      <c r="S123" s="10">
        <f t="shared" si="31"/>
        <v>9</v>
      </c>
      <c r="T123" s="10">
        <v>90</v>
      </c>
      <c r="U123" s="29" t="s">
        <v>787</v>
      </c>
      <c r="V123" s="29" t="s">
        <v>787</v>
      </c>
      <c r="W123" s="10"/>
      <c r="X123" s="10"/>
      <c r="Y123" s="10"/>
      <c r="Z123" s="10"/>
      <c r="AA123" s="10"/>
    </row>
    <row r="124" s="1" customFormat="1" hidden="1" customHeight="1" spans="1:27">
      <c r="A124" s="10"/>
      <c r="B124" s="10"/>
      <c r="C124" s="1" t="s">
        <v>788</v>
      </c>
      <c r="D124" s="1" t="s">
        <v>789</v>
      </c>
      <c r="E124" s="1">
        <v>4</v>
      </c>
      <c r="F124" s="1" t="s">
        <v>790</v>
      </c>
      <c r="G124" s="33" t="s">
        <v>791</v>
      </c>
      <c r="H124" s="29" t="s">
        <v>791</v>
      </c>
      <c r="I124" s="34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0">
        <f t="shared" si="28"/>
        <v>43</v>
      </c>
      <c r="S124" s="10">
        <f t="shared" si="31"/>
        <v>12</v>
      </c>
      <c r="T124" s="10">
        <v>90</v>
      </c>
      <c r="U124" s="29" t="s">
        <v>793</v>
      </c>
      <c r="V124" s="29" t="s">
        <v>793</v>
      </c>
      <c r="W124" s="10"/>
      <c r="X124" s="10"/>
      <c r="Y124" s="10"/>
      <c r="Z124" s="10"/>
      <c r="AA124" s="10"/>
    </row>
    <row r="125" s="1" customFormat="1" hidden="1" customHeight="1" spans="1:27">
      <c r="A125" s="10"/>
      <c r="B125" s="10"/>
      <c r="C125" s="1" t="s">
        <v>794</v>
      </c>
      <c r="D125" s="1" t="s">
        <v>795</v>
      </c>
      <c r="E125" s="1">
        <v>4</v>
      </c>
      <c r="F125" s="1" t="s">
        <v>796</v>
      </c>
      <c r="G125" s="33" t="s">
        <v>797</v>
      </c>
      <c r="H125" s="29" t="s">
        <v>797</v>
      </c>
      <c r="I125" s="34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0">
        <f t="shared" si="28"/>
        <v>44</v>
      </c>
      <c r="S125" s="10">
        <f t="shared" si="31"/>
        <v>15</v>
      </c>
      <c r="T125" s="10">
        <v>90</v>
      </c>
      <c r="U125" s="29" t="s">
        <v>799</v>
      </c>
      <c r="V125" s="29" t="s">
        <v>799</v>
      </c>
      <c r="W125" s="10"/>
      <c r="X125" s="10"/>
      <c r="Y125" s="10"/>
      <c r="Z125" s="10"/>
      <c r="AA125" s="10"/>
    </row>
    <row r="126" s="1" customFormat="1" hidden="1" customHeight="1" spans="1:27">
      <c r="A126" s="10"/>
      <c r="B126" s="10"/>
      <c r="C126" s="1" t="s">
        <v>800</v>
      </c>
      <c r="D126" s="1" t="s">
        <v>801</v>
      </c>
      <c r="E126" s="1">
        <v>4</v>
      </c>
      <c r="F126" s="1" t="s">
        <v>802</v>
      </c>
      <c r="G126" s="33" t="s">
        <v>803</v>
      </c>
      <c r="H126" s="29" t="s">
        <v>803</v>
      </c>
      <c r="I126" s="34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0">
        <f t="shared" si="28"/>
        <v>45</v>
      </c>
      <c r="S126" s="10">
        <f t="shared" si="31"/>
        <v>18</v>
      </c>
      <c r="T126" s="10">
        <v>90</v>
      </c>
      <c r="U126" s="29" t="s">
        <v>805</v>
      </c>
      <c r="V126" s="29" t="s">
        <v>805</v>
      </c>
      <c r="W126" s="10"/>
      <c r="X126" s="10"/>
      <c r="Y126" s="10"/>
      <c r="Z126" s="10"/>
      <c r="AA126" s="10"/>
    </row>
    <row r="127" s="1" customFormat="1" hidden="1" customHeight="1" spans="1:27">
      <c r="A127" s="10"/>
      <c r="B127" s="10"/>
      <c r="C127" s="1" t="s">
        <v>806</v>
      </c>
      <c r="D127" s="1" t="s">
        <v>807</v>
      </c>
      <c r="E127" s="1">
        <v>4</v>
      </c>
      <c r="F127" s="1" t="s">
        <v>808</v>
      </c>
      <c r="G127" s="33" t="s">
        <v>809</v>
      </c>
      <c r="H127" s="29" t="s">
        <v>809</v>
      </c>
      <c r="I127" s="34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0">
        <f t="shared" si="28"/>
        <v>46</v>
      </c>
      <c r="S127" s="10">
        <f t="shared" si="31"/>
        <v>21</v>
      </c>
      <c r="T127" s="10">
        <v>90</v>
      </c>
      <c r="U127" s="29" t="s">
        <v>811</v>
      </c>
      <c r="V127" s="29" t="s">
        <v>811</v>
      </c>
      <c r="W127" s="10"/>
      <c r="X127" s="10"/>
      <c r="Y127" s="10"/>
      <c r="Z127" s="10"/>
      <c r="AA127" s="10"/>
    </row>
    <row r="128" s="1" customFormat="1" hidden="1" customHeight="1" spans="1:27">
      <c r="A128" s="10"/>
      <c r="B128" s="10"/>
      <c r="C128" s="1" t="s">
        <v>812</v>
      </c>
      <c r="D128" s="1" t="s">
        <v>813</v>
      </c>
      <c r="E128" s="1">
        <v>4</v>
      </c>
      <c r="F128" s="1" t="s">
        <v>814</v>
      </c>
      <c r="G128" s="33" t="s">
        <v>815</v>
      </c>
      <c r="H128" s="29" t="s">
        <v>815</v>
      </c>
      <c r="I128" s="34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0">
        <f t="shared" si="28"/>
        <v>47</v>
      </c>
      <c r="S128" s="10">
        <f t="shared" si="31"/>
        <v>24</v>
      </c>
      <c r="T128" s="10">
        <v>90</v>
      </c>
      <c r="U128" s="29" t="s">
        <v>817</v>
      </c>
      <c r="V128" s="29" t="s">
        <v>817</v>
      </c>
      <c r="W128" s="10"/>
      <c r="X128" s="10"/>
      <c r="Y128" s="10"/>
      <c r="Z128" s="10"/>
      <c r="AA128" s="10"/>
    </row>
    <row r="129" s="1" customFormat="1" hidden="1" customHeight="1" spans="1:27">
      <c r="A129" s="10"/>
      <c r="B129" s="10"/>
      <c r="C129" s="1" t="s">
        <v>818</v>
      </c>
      <c r="D129" s="1" t="s">
        <v>819</v>
      </c>
      <c r="E129" s="1">
        <v>4</v>
      </c>
      <c r="F129" s="1" t="s">
        <v>820</v>
      </c>
      <c r="G129" s="33" t="s">
        <v>821</v>
      </c>
      <c r="H129" s="29" t="s">
        <v>821</v>
      </c>
      <c r="I129" s="34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0">
        <f t="shared" si="28"/>
        <v>48</v>
      </c>
      <c r="S129" s="10">
        <f t="shared" si="31"/>
        <v>27</v>
      </c>
      <c r="T129" s="10">
        <v>90</v>
      </c>
      <c r="U129" s="29" t="s">
        <v>823</v>
      </c>
      <c r="V129" s="29" t="s">
        <v>823</v>
      </c>
      <c r="W129" s="10"/>
      <c r="X129" s="10"/>
      <c r="Y129" s="10"/>
      <c r="Z129" s="10"/>
      <c r="AA129" s="10"/>
    </row>
    <row r="130" s="1" customFormat="1" hidden="1" customHeight="1" spans="1:27">
      <c r="A130" s="10"/>
      <c r="B130" s="10"/>
      <c r="C130" s="1" t="s">
        <v>824</v>
      </c>
      <c r="D130" s="1" t="s">
        <v>825</v>
      </c>
      <c r="E130" s="1">
        <v>4</v>
      </c>
      <c r="F130" s="1" t="s">
        <v>826</v>
      </c>
      <c r="G130" s="33" t="s">
        <v>827</v>
      </c>
      <c r="H130" s="29" t="s">
        <v>827</v>
      </c>
      <c r="I130" s="34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0">
        <f t="shared" si="28"/>
        <v>49</v>
      </c>
      <c r="S130" s="10">
        <f t="shared" si="31"/>
        <v>30</v>
      </c>
      <c r="T130" s="10">
        <v>90</v>
      </c>
      <c r="U130" s="29" t="s">
        <v>829</v>
      </c>
      <c r="V130" s="29" t="s">
        <v>829</v>
      </c>
      <c r="W130" s="10"/>
      <c r="X130" s="10"/>
      <c r="Y130" s="10"/>
      <c r="Z130" s="10"/>
      <c r="AA130" s="10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3" t="s">
        <v>833</v>
      </c>
      <c r="H131" s="29" t="s">
        <v>833</v>
      </c>
      <c r="I131" s="34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0">
        <f t="shared" ref="R131:R145" si="36">R130+2</f>
        <v>51</v>
      </c>
      <c r="S131" s="10">
        <f t="shared" ref="S131:S180" si="37">S130+4</f>
        <v>34</v>
      </c>
      <c r="T131" s="10">
        <v>92</v>
      </c>
      <c r="U131" s="29" t="s">
        <v>835</v>
      </c>
      <c r="V131" s="29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3" t="s">
        <v>839</v>
      </c>
      <c r="H132" s="29" t="s">
        <v>839</v>
      </c>
      <c r="I132" s="34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0">
        <f t="shared" si="36"/>
        <v>53</v>
      </c>
      <c r="S132" s="10">
        <f t="shared" si="37"/>
        <v>38</v>
      </c>
      <c r="T132" s="10">
        <v>94</v>
      </c>
      <c r="U132" s="29" t="s">
        <v>841</v>
      </c>
      <c r="V132" s="29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3" t="s">
        <v>845</v>
      </c>
      <c r="H133" s="29" t="s">
        <v>845</v>
      </c>
      <c r="I133" s="34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0">
        <f t="shared" si="36"/>
        <v>55</v>
      </c>
      <c r="S133" s="10">
        <f t="shared" si="37"/>
        <v>42</v>
      </c>
      <c r="T133" s="10">
        <v>96</v>
      </c>
      <c r="U133" s="29" t="s">
        <v>847</v>
      </c>
      <c r="V133" s="29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3" t="s">
        <v>851</v>
      </c>
      <c r="H134" s="29" t="s">
        <v>851</v>
      </c>
      <c r="I134" s="34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0">
        <f t="shared" si="36"/>
        <v>57</v>
      </c>
      <c r="S134" s="10">
        <f t="shared" si="37"/>
        <v>46</v>
      </c>
      <c r="T134" s="10">
        <v>98</v>
      </c>
      <c r="U134" s="29" t="s">
        <v>853</v>
      </c>
      <c r="V134" s="29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3" t="s">
        <v>857</v>
      </c>
      <c r="H135" s="29" t="s">
        <v>857</v>
      </c>
      <c r="I135" s="34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0">
        <f t="shared" si="36"/>
        <v>59</v>
      </c>
      <c r="S135" s="10">
        <f t="shared" si="37"/>
        <v>50</v>
      </c>
      <c r="T135" s="10">
        <v>99</v>
      </c>
      <c r="U135" s="29" t="s">
        <v>859</v>
      </c>
      <c r="V135" s="29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3" t="s">
        <v>863</v>
      </c>
      <c r="H136" s="29" t="s">
        <v>863</v>
      </c>
      <c r="I136" s="34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0">
        <f t="shared" si="36"/>
        <v>61</v>
      </c>
      <c r="S136" s="10">
        <f t="shared" si="37"/>
        <v>54</v>
      </c>
      <c r="T136" s="10">
        <v>99.2</v>
      </c>
      <c r="U136" s="29" t="s">
        <v>865</v>
      </c>
      <c r="V136" s="29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3" t="s">
        <v>869</v>
      </c>
      <c r="H137" s="29" t="s">
        <v>869</v>
      </c>
      <c r="I137" s="34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0">
        <f t="shared" si="36"/>
        <v>63</v>
      </c>
      <c r="S137" s="10">
        <f t="shared" si="37"/>
        <v>58</v>
      </c>
      <c r="T137" s="10">
        <v>99.4</v>
      </c>
      <c r="U137" s="29" t="s">
        <v>871</v>
      </c>
      <c r="V137" s="29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3" t="s">
        <v>875</v>
      </c>
      <c r="H138" s="29" t="s">
        <v>875</v>
      </c>
      <c r="I138" s="34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0">
        <f t="shared" si="36"/>
        <v>65</v>
      </c>
      <c r="S138" s="10">
        <f t="shared" si="37"/>
        <v>62</v>
      </c>
      <c r="T138" s="10">
        <v>99.6</v>
      </c>
      <c r="U138" s="29" t="s">
        <v>877</v>
      </c>
      <c r="V138" s="29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3" t="s">
        <v>881</v>
      </c>
      <c r="H139" s="29" t="s">
        <v>881</v>
      </c>
      <c r="I139" s="34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0">
        <f t="shared" si="36"/>
        <v>67</v>
      </c>
      <c r="S139" s="10">
        <f t="shared" si="37"/>
        <v>66</v>
      </c>
      <c r="T139" s="10">
        <v>99.8</v>
      </c>
      <c r="U139" s="29" t="s">
        <v>883</v>
      </c>
      <c r="V139" s="29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3" t="s">
        <v>887</v>
      </c>
      <c r="H140" s="29" t="s">
        <v>887</v>
      </c>
      <c r="I140" s="34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0">
        <f t="shared" si="36"/>
        <v>69</v>
      </c>
      <c r="S140" s="10">
        <f t="shared" si="37"/>
        <v>70</v>
      </c>
      <c r="T140" s="10">
        <v>99.9</v>
      </c>
      <c r="U140" s="29" t="s">
        <v>889</v>
      </c>
      <c r="V140" s="29" t="s">
        <v>889</v>
      </c>
    </row>
    <row r="141" s="1" customFormat="1" hidden="1" customHeight="1" spans="1:27">
      <c r="A141" s="10"/>
      <c r="B141" s="10"/>
      <c r="C141" s="1" t="s">
        <v>890</v>
      </c>
      <c r="D141" s="1" t="s">
        <v>891</v>
      </c>
      <c r="E141" s="1">
        <v>4</v>
      </c>
      <c r="F141" s="1" t="s">
        <v>892</v>
      </c>
      <c r="G141" s="33" t="s">
        <v>893</v>
      </c>
      <c r="H141" s="29" t="s">
        <v>893</v>
      </c>
      <c r="I141" s="34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0">
        <f t="shared" si="36"/>
        <v>71</v>
      </c>
      <c r="S141" s="10">
        <f t="shared" si="37"/>
        <v>74</v>
      </c>
      <c r="T141" s="10">
        <v>99.92</v>
      </c>
      <c r="U141" s="29" t="s">
        <v>895</v>
      </c>
      <c r="V141" s="29" t="s">
        <v>895</v>
      </c>
      <c r="W141" s="10"/>
      <c r="X141" s="10"/>
      <c r="Y141" s="10"/>
      <c r="Z141" s="10"/>
      <c r="AA141" s="10"/>
    </row>
    <row r="142" s="1" customFormat="1" hidden="1" customHeight="1" spans="1:27">
      <c r="A142" s="10"/>
      <c r="B142" s="10"/>
      <c r="C142" s="1" t="s">
        <v>896</v>
      </c>
      <c r="D142" s="1" t="s">
        <v>897</v>
      </c>
      <c r="E142" s="1">
        <v>4</v>
      </c>
      <c r="F142" s="1" t="s">
        <v>898</v>
      </c>
      <c r="G142" s="33" t="s">
        <v>899</v>
      </c>
      <c r="H142" s="29" t="s">
        <v>899</v>
      </c>
      <c r="I142" s="34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0">
        <f t="shared" si="36"/>
        <v>73</v>
      </c>
      <c r="S142" s="10">
        <f t="shared" si="37"/>
        <v>78</v>
      </c>
      <c r="T142" s="10">
        <v>99.94</v>
      </c>
      <c r="U142" s="29" t="s">
        <v>901</v>
      </c>
      <c r="V142" s="29" t="s">
        <v>901</v>
      </c>
      <c r="W142" s="10"/>
      <c r="X142" s="10"/>
      <c r="Y142" s="10"/>
      <c r="Z142" s="10"/>
      <c r="AA142" s="10"/>
    </row>
    <row r="143" s="1" customFormat="1" hidden="1" customHeight="1" spans="1:27">
      <c r="A143" s="10"/>
      <c r="B143" s="10"/>
      <c r="C143" s="1" t="s">
        <v>902</v>
      </c>
      <c r="D143" s="1" t="s">
        <v>903</v>
      </c>
      <c r="E143" s="1">
        <v>4</v>
      </c>
      <c r="F143" s="1" t="s">
        <v>904</v>
      </c>
      <c r="G143" s="33" t="s">
        <v>905</v>
      </c>
      <c r="H143" s="29" t="s">
        <v>905</v>
      </c>
      <c r="I143" s="34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0">
        <f t="shared" si="36"/>
        <v>75</v>
      </c>
      <c r="S143" s="10">
        <f t="shared" si="37"/>
        <v>82</v>
      </c>
      <c r="T143" s="10">
        <v>99.96</v>
      </c>
      <c r="U143" s="29" t="s">
        <v>907</v>
      </c>
      <c r="V143" s="29" t="s">
        <v>907</v>
      </c>
      <c r="W143" s="10"/>
      <c r="X143" s="10"/>
      <c r="Y143" s="10"/>
      <c r="Z143" s="10"/>
      <c r="AA143" s="10"/>
    </row>
    <row r="144" s="1" customFormat="1" hidden="1" customHeight="1" spans="1:27">
      <c r="A144" s="10"/>
      <c r="B144" s="10"/>
      <c r="C144" s="1" t="s">
        <v>908</v>
      </c>
      <c r="D144" s="1" t="s">
        <v>909</v>
      </c>
      <c r="E144" s="1">
        <v>4</v>
      </c>
      <c r="F144" s="1" t="s">
        <v>910</v>
      </c>
      <c r="G144" s="33" t="s">
        <v>911</v>
      </c>
      <c r="H144" s="29" t="s">
        <v>911</v>
      </c>
      <c r="I144" s="34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0">
        <f t="shared" si="36"/>
        <v>77</v>
      </c>
      <c r="S144" s="10">
        <f t="shared" si="37"/>
        <v>86</v>
      </c>
      <c r="T144" s="10">
        <v>99.98</v>
      </c>
      <c r="U144" s="29" t="s">
        <v>913</v>
      </c>
      <c r="V144" s="29" t="s">
        <v>913</v>
      </c>
      <c r="W144" s="10"/>
      <c r="X144" s="10"/>
      <c r="Y144" s="10"/>
      <c r="Z144" s="10"/>
      <c r="AA144" s="10"/>
    </row>
    <row r="145" s="1" customFormat="1" hidden="1" customHeight="1" spans="1:27">
      <c r="A145" s="10"/>
      <c r="B145" s="10"/>
      <c r="C145" s="1" t="s">
        <v>914</v>
      </c>
      <c r="D145" s="1" t="s">
        <v>915</v>
      </c>
      <c r="E145" s="1">
        <v>4</v>
      </c>
      <c r="F145" s="1" t="s">
        <v>916</v>
      </c>
      <c r="G145" s="16" t="s">
        <v>917</v>
      </c>
      <c r="H145" s="16" t="s">
        <v>917</v>
      </c>
      <c r="I145" s="17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0">
        <f t="shared" si="36"/>
        <v>79</v>
      </c>
      <c r="S145" s="10">
        <f t="shared" si="37"/>
        <v>90</v>
      </c>
      <c r="T145" s="10">
        <v>99.99</v>
      </c>
      <c r="U145" s="29" t="s">
        <v>919</v>
      </c>
      <c r="V145" s="29" t="s">
        <v>919</v>
      </c>
      <c r="W145" s="10"/>
      <c r="X145" s="10"/>
      <c r="Y145" s="10"/>
      <c r="Z145" s="10"/>
      <c r="AA145" s="10"/>
    </row>
    <row r="146" s="2" customFormat="1" hidden="1" customHeight="1" spans="1:27">
      <c r="A146" s="18"/>
      <c r="B146" s="18"/>
      <c r="C146" s="2" t="s">
        <v>920</v>
      </c>
      <c r="D146" s="2" t="s">
        <v>921</v>
      </c>
      <c r="E146" s="2">
        <v>5</v>
      </c>
      <c r="F146" s="2" t="s">
        <v>922</v>
      </c>
      <c r="G146" s="19" t="s">
        <v>923</v>
      </c>
      <c r="H146" s="2" t="s">
        <v>924</v>
      </c>
      <c r="I146" s="20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8">
        <f t="shared" ref="R146:R160" si="46">R145+3</f>
        <v>82</v>
      </c>
      <c r="S146" s="18">
        <v>150</v>
      </c>
      <c r="T146" s="18">
        <v>99.99</v>
      </c>
      <c r="U146" s="35" t="s">
        <v>927</v>
      </c>
      <c r="V146" s="35" t="s">
        <v>927</v>
      </c>
      <c r="Y146" s="18"/>
      <c r="Z146" s="18"/>
      <c r="AA146" s="18"/>
    </row>
    <row r="147" s="1" customFormat="1" hidden="1" customHeight="1" spans="1:27">
      <c r="A147" s="10"/>
      <c r="B147" s="10"/>
      <c r="C147" s="1" t="s">
        <v>928</v>
      </c>
      <c r="D147" s="1" t="s">
        <v>929</v>
      </c>
      <c r="E147" s="1">
        <v>5</v>
      </c>
      <c r="F147" s="1" t="s">
        <v>930</v>
      </c>
      <c r="G147" s="16" t="s">
        <v>931</v>
      </c>
      <c r="H147" s="16" t="s">
        <v>932</v>
      </c>
      <c r="I147" s="17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0">
        <f t="shared" si="46"/>
        <v>85</v>
      </c>
      <c r="S147" s="10">
        <f t="shared" si="37"/>
        <v>154</v>
      </c>
      <c r="T147" s="10">
        <v>99.99</v>
      </c>
      <c r="U147" s="29" t="s">
        <v>935</v>
      </c>
      <c r="V147" s="29" t="s">
        <v>935</v>
      </c>
      <c r="Y147" s="10"/>
      <c r="Z147" s="10"/>
      <c r="AA147" s="10"/>
    </row>
    <row r="148" s="1" customFormat="1" hidden="1" customHeight="1" spans="1:27">
      <c r="A148" s="10"/>
      <c r="B148" s="10"/>
      <c r="C148" s="1" t="s">
        <v>936</v>
      </c>
      <c r="D148" s="1" t="s">
        <v>937</v>
      </c>
      <c r="E148" s="1">
        <v>5</v>
      </c>
      <c r="F148" s="1" t="s">
        <v>938</v>
      </c>
      <c r="G148" s="16" t="s">
        <v>939</v>
      </c>
      <c r="H148" s="16" t="s">
        <v>940</v>
      </c>
      <c r="I148" s="17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0">
        <f t="shared" si="46"/>
        <v>88</v>
      </c>
      <c r="S148" s="10">
        <f t="shared" si="37"/>
        <v>158</v>
      </c>
      <c r="T148" s="10">
        <v>99.99</v>
      </c>
      <c r="U148" s="29" t="s">
        <v>943</v>
      </c>
      <c r="V148" s="29" t="s">
        <v>943</v>
      </c>
      <c r="Y148" s="10"/>
      <c r="Z148" s="10"/>
      <c r="AA148" s="10"/>
    </row>
    <row r="149" s="1" customFormat="1" hidden="1" customHeight="1" spans="1:27">
      <c r="A149" s="10"/>
      <c r="B149" s="10"/>
      <c r="C149" s="1" t="s">
        <v>944</v>
      </c>
      <c r="D149" s="1" t="s">
        <v>945</v>
      </c>
      <c r="E149" s="1">
        <v>5</v>
      </c>
      <c r="F149" s="1" t="s">
        <v>946</v>
      </c>
      <c r="G149" s="16" t="s">
        <v>947</v>
      </c>
      <c r="H149" s="16" t="s">
        <v>948</v>
      </c>
      <c r="I149" s="17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0">
        <f t="shared" si="46"/>
        <v>91</v>
      </c>
      <c r="S149" s="10">
        <f t="shared" si="37"/>
        <v>162</v>
      </c>
      <c r="T149" s="10">
        <v>99.99</v>
      </c>
      <c r="U149" s="29" t="s">
        <v>951</v>
      </c>
      <c r="V149" s="29" t="s">
        <v>951</v>
      </c>
      <c r="Y149" s="10"/>
      <c r="Z149" s="10"/>
      <c r="AA149" s="10"/>
    </row>
    <row r="150" s="1" customFormat="1" hidden="1" customHeight="1" spans="1:27">
      <c r="A150" s="10"/>
      <c r="B150" s="10"/>
      <c r="C150" s="1" t="s">
        <v>952</v>
      </c>
      <c r="D150" s="1" t="s">
        <v>953</v>
      </c>
      <c r="E150" s="1">
        <v>5</v>
      </c>
      <c r="F150" s="1" t="s">
        <v>954</v>
      </c>
      <c r="G150" s="16" t="s">
        <v>955</v>
      </c>
      <c r="H150" s="16" t="s">
        <v>956</v>
      </c>
      <c r="I150" s="17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0">
        <f t="shared" si="46"/>
        <v>94</v>
      </c>
      <c r="S150" s="10">
        <f t="shared" si="37"/>
        <v>166</v>
      </c>
      <c r="T150" s="10">
        <v>99.99</v>
      </c>
      <c r="U150" s="29" t="s">
        <v>959</v>
      </c>
      <c r="V150" s="29" t="s">
        <v>959</v>
      </c>
      <c r="Y150" s="10"/>
      <c r="Z150" s="10"/>
      <c r="AA150" s="10"/>
    </row>
    <row r="151" s="1" customFormat="1" hidden="1" customHeight="1" spans="1:27">
      <c r="A151" s="10"/>
      <c r="B151" s="10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6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0">
        <f t="shared" si="46"/>
        <v>97</v>
      </c>
      <c r="S151" s="10">
        <f t="shared" si="37"/>
        <v>170</v>
      </c>
      <c r="T151" s="10">
        <v>99.99</v>
      </c>
      <c r="U151" s="29" t="s">
        <v>968</v>
      </c>
      <c r="V151" s="29" t="s">
        <v>968</v>
      </c>
      <c r="W151" s="10"/>
      <c r="X151" s="10"/>
      <c r="Y151" s="10"/>
      <c r="Z151" s="10"/>
      <c r="AA151" s="10"/>
    </row>
    <row r="152" s="1" customFormat="1" hidden="1" customHeight="1" spans="1:27">
      <c r="A152" s="10"/>
      <c r="B152" s="10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6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0">
        <f t="shared" si="46"/>
        <v>100</v>
      </c>
      <c r="S152" s="10">
        <f t="shared" si="37"/>
        <v>174</v>
      </c>
      <c r="T152" s="10">
        <v>99.99</v>
      </c>
      <c r="U152" s="29" t="s">
        <v>977</v>
      </c>
      <c r="V152" s="29" t="s">
        <v>977</v>
      </c>
      <c r="W152" s="10"/>
      <c r="X152" s="10"/>
      <c r="Y152" s="10"/>
      <c r="Z152" s="10"/>
      <c r="AA152" s="10"/>
    </row>
    <row r="153" s="1" customFormat="1" hidden="1" customHeight="1" spans="1:27">
      <c r="A153" s="10"/>
      <c r="B153" s="10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6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0">
        <f t="shared" si="46"/>
        <v>103</v>
      </c>
      <c r="S153" s="10">
        <f t="shared" si="37"/>
        <v>178</v>
      </c>
      <c r="T153" s="10">
        <v>99.99</v>
      </c>
      <c r="U153" s="29" t="s">
        <v>986</v>
      </c>
      <c r="V153" s="29" t="s">
        <v>986</v>
      </c>
      <c r="W153" s="10"/>
      <c r="X153" s="10"/>
      <c r="Y153" s="10"/>
      <c r="Z153" s="10"/>
      <c r="AA153" s="10"/>
    </row>
    <row r="154" s="1" customFormat="1" hidden="1" customHeight="1" spans="1:27">
      <c r="A154" s="10"/>
      <c r="B154" s="10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6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0">
        <f t="shared" si="46"/>
        <v>106</v>
      </c>
      <c r="S154" s="10">
        <f t="shared" si="37"/>
        <v>182</v>
      </c>
      <c r="T154" s="10">
        <v>99.99</v>
      </c>
      <c r="U154" s="29" t="s">
        <v>995</v>
      </c>
      <c r="V154" s="29" t="s">
        <v>995</v>
      </c>
      <c r="W154" s="10"/>
      <c r="X154" s="10"/>
      <c r="Y154" s="10"/>
      <c r="Z154" s="10"/>
      <c r="AA154" s="10"/>
    </row>
    <row r="155" s="1" customFormat="1" hidden="1" customHeight="1" spans="1:27">
      <c r="A155" s="10"/>
      <c r="B155" s="10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6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0">
        <f t="shared" si="46"/>
        <v>109</v>
      </c>
      <c r="S155" s="10">
        <f t="shared" si="37"/>
        <v>186</v>
      </c>
      <c r="T155" s="10">
        <v>99.99</v>
      </c>
      <c r="U155" s="29" t="s">
        <v>1004</v>
      </c>
      <c r="V155" s="29" t="s">
        <v>1004</v>
      </c>
      <c r="W155" s="10"/>
      <c r="X155" s="10"/>
      <c r="Y155" s="10"/>
      <c r="Z155" s="10"/>
      <c r="AA155" s="10"/>
    </row>
    <row r="156" s="1" customFormat="1" hidden="1" customHeight="1" spans="1:27">
      <c r="A156" s="10"/>
      <c r="B156" s="10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6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0">
        <f t="shared" si="46"/>
        <v>112</v>
      </c>
      <c r="S156" s="10">
        <f t="shared" si="37"/>
        <v>190</v>
      </c>
      <c r="T156" s="10">
        <v>99.99</v>
      </c>
      <c r="U156" s="29" t="s">
        <v>1013</v>
      </c>
      <c r="V156" s="29" t="s">
        <v>1013</v>
      </c>
      <c r="W156" s="10"/>
      <c r="X156" s="10"/>
      <c r="Y156" s="10"/>
      <c r="Z156" s="10"/>
      <c r="AA156" s="10"/>
    </row>
    <row r="157" s="1" customFormat="1" hidden="1" customHeight="1" spans="1:27">
      <c r="A157" s="10"/>
      <c r="B157" s="10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6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0">
        <f t="shared" si="46"/>
        <v>115</v>
      </c>
      <c r="S157" s="10">
        <f t="shared" si="37"/>
        <v>194</v>
      </c>
      <c r="T157" s="10">
        <v>99.99</v>
      </c>
      <c r="U157" s="29" t="s">
        <v>1022</v>
      </c>
      <c r="V157" s="29" t="s">
        <v>1022</v>
      </c>
      <c r="W157" s="10"/>
      <c r="X157" s="10"/>
      <c r="Y157" s="10"/>
      <c r="Z157" s="10"/>
      <c r="AA157" s="10"/>
    </row>
    <row r="158" s="1" customFormat="1" hidden="1" customHeight="1" spans="1:27">
      <c r="A158" s="10"/>
      <c r="B158" s="10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6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0">
        <f t="shared" si="46"/>
        <v>118</v>
      </c>
      <c r="S158" s="10">
        <f t="shared" si="37"/>
        <v>198</v>
      </c>
      <c r="T158" s="10">
        <v>99.99</v>
      </c>
      <c r="U158" s="29" t="s">
        <v>1031</v>
      </c>
      <c r="V158" s="29" t="s">
        <v>1031</v>
      </c>
      <c r="W158" s="10"/>
      <c r="X158" s="10"/>
      <c r="Y158" s="10"/>
      <c r="Z158" s="10"/>
      <c r="AA158" s="10"/>
    </row>
    <row r="159" s="1" customFormat="1" hidden="1" customHeight="1" spans="1:27">
      <c r="A159" s="10"/>
      <c r="B159" s="10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6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0">
        <f t="shared" si="46"/>
        <v>121</v>
      </c>
      <c r="S159" s="10">
        <f t="shared" si="37"/>
        <v>202</v>
      </c>
      <c r="T159" s="10">
        <v>99.99</v>
      </c>
      <c r="U159" s="29" t="s">
        <v>1040</v>
      </c>
      <c r="V159" s="29" t="s">
        <v>1040</v>
      </c>
      <c r="W159" s="10"/>
      <c r="X159" s="10"/>
      <c r="Y159" s="10"/>
      <c r="Z159" s="10"/>
      <c r="AA159" s="10"/>
    </row>
    <row r="160" s="1" customFormat="1" hidden="1" customHeight="1" spans="1:27">
      <c r="A160" s="10"/>
      <c r="B160" s="10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6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0">
        <f t="shared" si="46"/>
        <v>124</v>
      </c>
      <c r="S160" s="10">
        <f t="shared" si="37"/>
        <v>206</v>
      </c>
      <c r="T160" s="10">
        <v>99.99</v>
      </c>
      <c r="U160" s="29" t="s">
        <v>1049</v>
      </c>
      <c r="V160" s="29" t="s">
        <v>1049</v>
      </c>
      <c r="W160" s="10"/>
      <c r="X160" s="10"/>
      <c r="Y160" s="10"/>
      <c r="Z160" s="10"/>
      <c r="AA160" s="10"/>
    </row>
    <row r="161" s="1" customFormat="1" hidden="1" customHeight="1" spans="1:27">
      <c r="A161" s="10"/>
      <c r="B161" s="10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6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0">
        <f>R160+4</f>
        <v>128</v>
      </c>
      <c r="S161" s="10">
        <f>S160+5</f>
        <v>211</v>
      </c>
      <c r="T161" s="10">
        <v>99.99</v>
      </c>
      <c r="U161" s="29" t="s">
        <v>1058</v>
      </c>
      <c r="V161" s="29" t="s">
        <v>1058</v>
      </c>
      <c r="W161" s="10"/>
      <c r="X161" s="10"/>
      <c r="Y161" s="10"/>
      <c r="Z161" s="10"/>
      <c r="AA161" s="10"/>
    </row>
    <row r="162" s="1" customFormat="1" hidden="1" customHeight="1" spans="1:27">
      <c r="A162" s="10"/>
      <c r="B162" s="10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6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0">
        <f>R161+4</f>
        <v>132</v>
      </c>
      <c r="S162" s="10">
        <f>S161+5</f>
        <v>216</v>
      </c>
      <c r="T162" s="10">
        <v>99.99</v>
      </c>
      <c r="U162" s="29" t="s">
        <v>1067</v>
      </c>
      <c r="V162" s="29" t="s">
        <v>1067</v>
      </c>
      <c r="W162" s="10"/>
      <c r="X162" s="10"/>
      <c r="Y162" s="10"/>
      <c r="Z162" s="10"/>
      <c r="AA162" s="10"/>
    </row>
    <row r="163" s="1" customFormat="1" hidden="1" customHeight="1" spans="1:27">
      <c r="A163" s="10"/>
      <c r="B163" s="10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6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0">
        <f>R162+4</f>
        <v>136</v>
      </c>
      <c r="S163" s="10">
        <f>S162+5</f>
        <v>221</v>
      </c>
      <c r="T163" s="10">
        <v>99.99</v>
      </c>
      <c r="U163" s="29" t="s">
        <v>1076</v>
      </c>
      <c r="V163" s="29" t="s">
        <v>1076</v>
      </c>
      <c r="W163" s="10"/>
      <c r="X163" s="10"/>
      <c r="Y163" s="10"/>
      <c r="Z163" s="10"/>
      <c r="AA163" s="10"/>
    </row>
    <row r="164" s="3" customFormat="1" hidden="1" customHeight="1" spans="1:27">
      <c r="A164" s="21"/>
      <c r="B164" s="21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1">
        <f>R163+4</f>
        <v>140</v>
      </c>
      <c r="S164" s="21">
        <f>S163+5</f>
        <v>226</v>
      </c>
      <c r="T164" s="21">
        <v>99.99</v>
      </c>
      <c r="U164" s="36" t="s">
        <v>1085</v>
      </c>
      <c r="V164" s="36" t="s">
        <v>1085</v>
      </c>
      <c r="W164" s="21"/>
      <c r="X164" s="21"/>
      <c r="Y164" s="21"/>
      <c r="Z164" s="21"/>
      <c r="AA164" s="21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7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8" t="s">
        <v>1094</v>
      </c>
      <c r="V165" s="38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39" t="s">
        <v>1098</v>
      </c>
      <c r="H166" s="39" t="s">
        <v>1099</v>
      </c>
      <c r="I166" s="39" t="s">
        <v>1100</v>
      </c>
      <c r="J166" s="39" t="s">
        <v>1101</v>
      </c>
      <c r="K166" s="1"/>
      <c r="L166" s="39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0">
        <f>R165+5</f>
        <v>149</v>
      </c>
      <c r="S166" s="10">
        <f>S165+6</f>
        <v>237</v>
      </c>
      <c r="T166" s="10">
        <v>99.99</v>
      </c>
      <c r="U166" s="29" t="s">
        <v>1103</v>
      </c>
      <c r="V166" s="29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39" t="s">
        <v>1107</v>
      </c>
      <c r="H167" s="39" t="s">
        <v>1108</v>
      </c>
      <c r="I167" s="39" t="s">
        <v>1109</v>
      </c>
      <c r="J167" s="39" t="s">
        <v>1110</v>
      </c>
      <c r="K167" s="1"/>
      <c r="L167" s="39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0">
        <f>R166+5</f>
        <v>154</v>
      </c>
      <c r="S167" s="10">
        <f>S166+6</f>
        <v>243</v>
      </c>
      <c r="T167" s="10">
        <v>99.99</v>
      </c>
      <c r="U167" s="29" t="s">
        <v>1112</v>
      </c>
      <c r="V167" s="29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39" t="s">
        <v>1116</v>
      </c>
      <c r="H168" s="39" t="s">
        <v>1117</v>
      </c>
      <c r="I168" s="39" t="s">
        <v>1118</v>
      </c>
      <c r="J168" s="39" t="s">
        <v>1119</v>
      </c>
      <c r="K168" s="1"/>
      <c r="L168" s="39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0">
        <f>R167+5</f>
        <v>159</v>
      </c>
      <c r="S168" s="10">
        <f>S167+6</f>
        <v>249</v>
      </c>
      <c r="T168" s="10">
        <v>99.99</v>
      </c>
      <c r="U168" s="29" t="s">
        <v>1121</v>
      </c>
      <c r="V168" s="29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39" t="s">
        <v>1125</v>
      </c>
      <c r="H169" s="39" t="s">
        <v>1126</v>
      </c>
      <c r="I169" s="39" t="s">
        <v>1127</v>
      </c>
      <c r="J169" s="39" t="s">
        <v>1128</v>
      </c>
      <c r="K169" s="1"/>
      <c r="L169" s="39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0">
        <f>R168+5</f>
        <v>164</v>
      </c>
      <c r="S169" s="10">
        <f>S168+6</f>
        <v>255</v>
      </c>
      <c r="T169" s="10">
        <v>99.99</v>
      </c>
      <c r="U169" s="29" t="s">
        <v>1130</v>
      </c>
      <c r="V169" s="29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39" t="s">
        <v>1134</v>
      </c>
      <c r="H170" s="39" t="s">
        <v>1135</v>
      </c>
      <c r="I170" s="39" t="s">
        <v>1136</v>
      </c>
      <c r="J170" s="39" t="s">
        <v>1137</v>
      </c>
      <c r="K170" s="1"/>
      <c r="L170" s="39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0">
        <f>R169+5</f>
        <v>169</v>
      </c>
      <c r="S170" s="10">
        <f>S169+6</f>
        <v>261</v>
      </c>
      <c r="T170" s="10">
        <v>99.99</v>
      </c>
      <c r="U170" s="29" t="s">
        <v>1139</v>
      </c>
      <c r="V170" s="29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39" t="s">
        <v>1143</v>
      </c>
      <c r="H171" s="39" t="s">
        <v>1144</v>
      </c>
      <c r="I171" s="39" t="s">
        <v>1145</v>
      </c>
      <c r="J171" s="39" t="s">
        <v>1146</v>
      </c>
      <c r="K171" s="1"/>
      <c r="L171" s="39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0">
        <f t="shared" ref="R171:R175" si="52">R170+6</f>
        <v>175</v>
      </c>
      <c r="S171" s="10">
        <f t="shared" ref="S171:S175" si="53">S170+7</f>
        <v>268</v>
      </c>
      <c r="T171" s="10">
        <v>99.99</v>
      </c>
      <c r="U171" s="29" t="s">
        <v>1148</v>
      </c>
      <c r="V171" s="29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39" t="s">
        <v>1152</v>
      </c>
      <c r="H172" s="39" t="s">
        <v>1153</v>
      </c>
      <c r="I172" s="39" t="s">
        <v>1154</v>
      </c>
      <c r="J172" s="39" t="s">
        <v>1155</v>
      </c>
      <c r="K172" s="1"/>
      <c r="L172" s="39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0">
        <f t="shared" si="52"/>
        <v>181</v>
      </c>
      <c r="S172" s="10">
        <f t="shared" si="53"/>
        <v>275</v>
      </c>
      <c r="T172" s="10">
        <v>99.99</v>
      </c>
      <c r="U172" s="29" t="s">
        <v>1157</v>
      </c>
      <c r="V172" s="29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39" t="s">
        <v>1161</v>
      </c>
      <c r="H173" s="39" t="s">
        <v>1162</v>
      </c>
      <c r="I173" s="39" t="s">
        <v>1163</v>
      </c>
      <c r="J173" s="39" t="s">
        <v>1164</v>
      </c>
      <c r="K173" s="1"/>
      <c r="L173" s="39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0">
        <f t="shared" si="52"/>
        <v>187</v>
      </c>
      <c r="S173" s="10">
        <f t="shared" si="53"/>
        <v>282</v>
      </c>
      <c r="T173" s="10">
        <v>99.99</v>
      </c>
      <c r="U173" s="29" t="s">
        <v>1166</v>
      </c>
      <c r="V173" s="29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39" t="s">
        <v>1170</v>
      </c>
      <c r="H174" s="39" t="s">
        <v>1171</v>
      </c>
      <c r="I174" s="39" t="s">
        <v>1172</v>
      </c>
      <c r="J174" s="39" t="s">
        <v>1173</v>
      </c>
      <c r="K174" s="1"/>
      <c r="L174" s="39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0">
        <f t="shared" si="52"/>
        <v>193</v>
      </c>
      <c r="S174" s="10">
        <f t="shared" si="53"/>
        <v>289</v>
      </c>
      <c r="T174" s="10">
        <v>99.99</v>
      </c>
      <c r="U174" s="29" t="s">
        <v>1175</v>
      </c>
      <c r="V174" s="29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39" t="s">
        <v>1179</v>
      </c>
      <c r="H175" s="39" t="s">
        <v>1180</v>
      </c>
      <c r="I175" s="39" t="s">
        <v>1181</v>
      </c>
      <c r="J175" s="39" t="s">
        <v>1182</v>
      </c>
      <c r="K175" s="1"/>
      <c r="L175" s="39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0">
        <f t="shared" si="52"/>
        <v>199</v>
      </c>
      <c r="S175" s="10">
        <f t="shared" si="53"/>
        <v>296</v>
      </c>
      <c r="T175" s="10">
        <v>99.99</v>
      </c>
      <c r="U175" s="29" t="s">
        <v>1184</v>
      </c>
      <c r="V175" s="29" t="s">
        <v>1184</v>
      </c>
    </row>
    <row r="176" s="1" customFormat="1" hidden="1" customHeight="1" spans="1:27">
      <c r="A176" s="10"/>
      <c r="B176" s="10"/>
      <c r="C176" s="1" t="s">
        <v>1185</v>
      </c>
      <c r="D176" s="1" t="s">
        <v>1186</v>
      </c>
      <c r="E176" s="1">
        <v>5</v>
      </c>
      <c r="F176" s="1" t="s">
        <v>1187</v>
      </c>
      <c r="G176" s="39" t="s">
        <v>1188</v>
      </c>
      <c r="H176" s="39" t="s">
        <v>1189</v>
      </c>
      <c r="I176" s="39" t="s">
        <v>1190</v>
      </c>
      <c r="J176" s="39" t="s">
        <v>1191</v>
      </c>
      <c r="L176" s="39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0">
        <f t="shared" ref="R176:R180" si="56">R175+7</f>
        <v>206</v>
      </c>
      <c r="S176" s="10">
        <f t="shared" ref="S176:S180" si="57">S175+8</f>
        <v>304</v>
      </c>
      <c r="T176" s="10">
        <v>99.99</v>
      </c>
      <c r="U176" s="29" t="s">
        <v>1193</v>
      </c>
      <c r="V176" s="29" t="s">
        <v>1193</v>
      </c>
      <c r="W176" s="10"/>
      <c r="X176" s="10"/>
      <c r="Y176" s="10"/>
      <c r="Z176" s="10"/>
      <c r="AA176" s="10"/>
    </row>
    <row r="177" s="1" customFormat="1" hidden="1" customHeight="1" spans="1:27">
      <c r="A177" s="10"/>
      <c r="B177" s="10"/>
      <c r="C177" s="1" t="s">
        <v>1194</v>
      </c>
      <c r="D177" s="1" t="s">
        <v>1195</v>
      </c>
      <c r="E177" s="1">
        <v>5</v>
      </c>
      <c r="F177" s="1" t="s">
        <v>1196</v>
      </c>
      <c r="G177" s="39" t="s">
        <v>1197</v>
      </c>
      <c r="H177" s="39" t="s">
        <v>1198</v>
      </c>
      <c r="I177" s="39" t="s">
        <v>1199</v>
      </c>
      <c r="J177" s="39" t="s">
        <v>1200</v>
      </c>
      <c r="L177" s="39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0">
        <f t="shared" si="56"/>
        <v>213</v>
      </c>
      <c r="S177" s="10">
        <f t="shared" si="57"/>
        <v>312</v>
      </c>
      <c r="T177" s="10">
        <v>99.99</v>
      </c>
      <c r="U177" s="29" t="s">
        <v>1202</v>
      </c>
      <c r="V177" s="29" t="s">
        <v>1202</v>
      </c>
      <c r="W177" s="10"/>
      <c r="X177" s="10"/>
      <c r="Y177" s="10"/>
      <c r="Z177" s="10"/>
      <c r="AA177" s="10"/>
    </row>
    <row r="178" s="1" customFormat="1" hidden="1" customHeight="1" spans="1:27">
      <c r="A178" s="10"/>
      <c r="B178" s="10"/>
      <c r="C178" s="1" t="s">
        <v>1203</v>
      </c>
      <c r="D178" s="1" t="s">
        <v>1204</v>
      </c>
      <c r="E178" s="1">
        <v>5</v>
      </c>
      <c r="F178" s="1" t="s">
        <v>1205</v>
      </c>
      <c r="G178" s="39" t="s">
        <v>1206</v>
      </c>
      <c r="H178" s="39" t="s">
        <v>1207</v>
      </c>
      <c r="I178" s="39" t="s">
        <v>1208</v>
      </c>
      <c r="J178" s="39" t="s">
        <v>1209</v>
      </c>
      <c r="L178" s="39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0">
        <f t="shared" si="56"/>
        <v>220</v>
      </c>
      <c r="S178" s="10">
        <f t="shared" si="57"/>
        <v>320</v>
      </c>
      <c r="T178" s="10">
        <v>99.99</v>
      </c>
      <c r="U178" s="29" t="s">
        <v>1211</v>
      </c>
      <c r="V178" s="29" t="s">
        <v>1211</v>
      </c>
      <c r="W178" s="10"/>
      <c r="X178" s="10"/>
      <c r="Y178" s="10"/>
      <c r="Z178" s="10"/>
      <c r="AA178" s="10"/>
    </row>
    <row r="179" s="1" customFormat="1" hidden="1" customHeight="1" spans="1:27">
      <c r="A179" s="10"/>
      <c r="B179" s="10"/>
      <c r="C179" s="1" t="s">
        <v>1212</v>
      </c>
      <c r="D179" s="1" t="s">
        <v>1213</v>
      </c>
      <c r="E179" s="1">
        <v>5</v>
      </c>
      <c r="F179" s="1" t="s">
        <v>1214</v>
      </c>
      <c r="G179" s="39" t="s">
        <v>1215</v>
      </c>
      <c r="H179" s="39" t="s">
        <v>1216</v>
      </c>
      <c r="I179" s="39" t="s">
        <v>1217</v>
      </c>
      <c r="J179" s="39" t="s">
        <v>1218</v>
      </c>
      <c r="L179" s="39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0">
        <f t="shared" si="56"/>
        <v>227</v>
      </c>
      <c r="S179" s="10">
        <f t="shared" si="57"/>
        <v>328</v>
      </c>
      <c r="T179" s="10">
        <v>99.99</v>
      </c>
      <c r="U179" s="29" t="s">
        <v>1220</v>
      </c>
      <c r="V179" s="29" t="s">
        <v>1220</v>
      </c>
      <c r="W179" s="10"/>
      <c r="X179" s="10"/>
      <c r="Y179" s="10"/>
      <c r="Z179" s="10"/>
      <c r="AA179" s="10"/>
    </row>
    <row r="180" s="1" customFormat="1" hidden="1" customHeight="1" spans="1:27">
      <c r="A180" s="10"/>
      <c r="B180" s="10"/>
      <c r="C180" s="1" t="s">
        <v>1221</v>
      </c>
      <c r="D180" s="1" t="s">
        <v>1222</v>
      </c>
      <c r="E180" s="1">
        <v>5</v>
      </c>
      <c r="F180" s="1" t="s">
        <v>1223</v>
      </c>
      <c r="G180" s="39" t="s">
        <v>1224</v>
      </c>
      <c r="H180" s="39" t="s">
        <v>1225</v>
      </c>
      <c r="I180" s="39" t="s">
        <v>1226</v>
      </c>
      <c r="J180" s="39" t="s">
        <v>1227</v>
      </c>
      <c r="L180" s="39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0">
        <f t="shared" si="56"/>
        <v>234</v>
      </c>
      <c r="S180" s="10">
        <f t="shared" si="57"/>
        <v>336</v>
      </c>
      <c r="T180" s="10">
        <v>99.99</v>
      </c>
      <c r="U180" s="29" t="s">
        <v>1229</v>
      </c>
      <c r="V180" s="29" t="s">
        <v>1229</v>
      </c>
      <c r="W180" s="10"/>
      <c r="X180" s="10"/>
      <c r="Y180" s="10"/>
      <c r="Z180" s="10"/>
      <c r="AA180" s="10"/>
    </row>
    <row r="181" s="2" customFormat="1" customHeight="1" spans="1:27">
      <c r="A181" s="18"/>
      <c r="B181" s="18"/>
      <c r="C181" s="2">
        <v>10176</v>
      </c>
      <c r="D181" s="2">
        <v>1175</v>
      </c>
      <c r="E181" s="2">
        <v>6</v>
      </c>
      <c r="F181" s="2" t="s">
        <v>1230</v>
      </c>
      <c r="G181" s="40" t="s">
        <v>1231</v>
      </c>
      <c r="H181" s="40" t="s">
        <v>1232</v>
      </c>
      <c r="I181" s="40" t="s">
        <v>1233</v>
      </c>
      <c r="J181" s="40" t="s">
        <v>1234</v>
      </c>
      <c r="K181" s="35" t="s">
        <v>1235</v>
      </c>
      <c r="L181" s="40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8">
        <f t="shared" ref="R181:R190" si="58">R180+9</f>
        <v>243</v>
      </c>
      <c r="S181" s="18">
        <f>S180+10</f>
        <v>346</v>
      </c>
      <c r="T181" s="18">
        <v>99.99</v>
      </c>
      <c r="U181" s="35" t="s">
        <v>1237</v>
      </c>
      <c r="V181" s="35" t="s">
        <v>1237</v>
      </c>
      <c r="Y181" s="18"/>
      <c r="Z181" s="18"/>
      <c r="AA181" s="18"/>
    </row>
    <row r="182" s="5" customFormat="1" customHeight="1" spans="1:27">
      <c r="A182" s="12"/>
      <c r="B182" s="12"/>
      <c r="C182" s="5">
        <v>10177</v>
      </c>
      <c r="D182" s="5">
        <v>1176</v>
      </c>
      <c r="E182" s="5">
        <v>6</v>
      </c>
      <c r="F182" s="5" t="s">
        <v>1238</v>
      </c>
      <c r="G182" s="39" t="s">
        <v>1239</v>
      </c>
      <c r="H182" s="39" t="s">
        <v>1240</v>
      </c>
      <c r="I182" s="39" t="s">
        <v>1241</v>
      </c>
      <c r="J182" s="39" t="s">
        <v>1242</v>
      </c>
      <c r="K182" s="41" t="s">
        <v>1243</v>
      </c>
      <c r="L182" s="39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2">
        <f t="shared" si="58"/>
        <v>252</v>
      </c>
      <c r="S182" s="10">
        <f>S181+10</f>
        <v>356</v>
      </c>
      <c r="T182" s="12">
        <v>99.99</v>
      </c>
      <c r="U182" s="41" t="s">
        <v>1245</v>
      </c>
      <c r="V182" s="41" t="s">
        <v>1245</v>
      </c>
      <c r="Y182" s="12"/>
      <c r="Z182" s="12"/>
      <c r="AA182" s="12"/>
    </row>
    <row r="183" s="5" customFormat="1" customHeight="1" spans="1:27">
      <c r="A183" s="12"/>
      <c r="B183" s="12"/>
      <c r="C183" s="5">
        <v>10178</v>
      </c>
      <c r="D183" s="5">
        <v>1177</v>
      </c>
      <c r="E183" s="5">
        <v>6</v>
      </c>
      <c r="F183" s="5" t="s">
        <v>1246</v>
      </c>
      <c r="G183" s="39" t="s">
        <v>1247</v>
      </c>
      <c r="H183" s="39" t="s">
        <v>1248</v>
      </c>
      <c r="I183" s="39" t="s">
        <v>1249</v>
      </c>
      <c r="J183" s="39" t="s">
        <v>1250</v>
      </c>
      <c r="K183" s="41" t="s">
        <v>1251</v>
      </c>
      <c r="L183" s="39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2">
        <f t="shared" si="58"/>
        <v>261</v>
      </c>
      <c r="S183" s="10">
        <f>S182+10</f>
        <v>366</v>
      </c>
      <c r="T183" s="12">
        <v>99.99</v>
      </c>
      <c r="U183" s="41" t="s">
        <v>1253</v>
      </c>
      <c r="V183" s="41" t="s">
        <v>1253</v>
      </c>
      <c r="Y183" s="12"/>
      <c r="Z183" s="12"/>
      <c r="AA183" s="12"/>
    </row>
    <row r="184" s="5" customFormat="1" customHeight="1" spans="1:27">
      <c r="A184" s="12"/>
      <c r="B184" s="12"/>
      <c r="C184" s="5">
        <v>10179</v>
      </c>
      <c r="D184" s="5">
        <v>1178</v>
      </c>
      <c r="E184" s="5">
        <v>6</v>
      </c>
      <c r="F184" s="5" t="s">
        <v>1254</v>
      </c>
      <c r="G184" s="39" t="s">
        <v>1255</v>
      </c>
      <c r="H184" s="39" t="s">
        <v>1256</v>
      </c>
      <c r="I184" s="39" t="s">
        <v>1257</v>
      </c>
      <c r="J184" s="39" t="s">
        <v>1258</v>
      </c>
      <c r="K184" s="41" t="s">
        <v>1259</v>
      </c>
      <c r="L184" s="39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2">
        <f t="shared" si="58"/>
        <v>270</v>
      </c>
      <c r="S184" s="10">
        <f>S183+10</f>
        <v>376</v>
      </c>
      <c r="T184" s="12">
        <v>99.99</v>
      </c>
      <c r="U184" s="41" t="s">
        <v>1261</v>
      </c>
      <c r="V184" s="41" t="s">
        <v>1261</v>
      </c>
      <c r="Y184" s="12"/>
      <c r="Z184" s="12"/>
      <c r="AA184" s="12"/>
    </row>
    <row r="185" s="5" customFormat="1" customHeight="1" spans="1:27">
      <c r="A185" s="12"/>
      <c r="B185" s="12"/>
      <c r="C185" s="5">
        <v>10180</v>
      </c>
      <c r="D185" s="5">
        <v>1179</v>
      </c>
      <c r="E185" s="5">
        <v>6</v>
      </c>
      <c r="F185" s="5" t="s">
        <v>1262</v>
      </c>
      <c r="G185" s="39" t="s">
        <v>1263</v>
      </c>
      <c r="H185" s="39" t="s">
        <v>1264</v>
      </c>
      <c r="I185" s="39" t="s">
        <v>1265</v>
      </c>
      <c r="J185" s="39" t="s">
        <v>1266</v>
      </c>
      <c r="K185" s="41" t="s">
        <v>1267</v>
      </c>
      <c r="L185" s="39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2">
        <f t="shared" si="58"/>
        <v>279</v>
      </c>
      <c r="S185" s="10">
        <f>S184+10</f>
        <v>386</v>
      </c>
      <c r="T185" s="12">
        <v>99.99</v>
      </c>
      <c r="U185" s="41" t="s">
        <v>1269</v>
      </c>
      <c r="V185" s="41" t="s">
        <v>1269</v>
      </c>
      <c r="Y185" s="12"/>
      <c r="Z185" s="12"/>
      <c r="AA185" s="12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9" t="s">
        <v>1271</v>
      </c>
      <c r="H186" s="37" t="s">
        <v>1272</v>
      </c>
      <c r="I186" s="37" t="s">
        <v>1273</v>
      </c>
      <c r="J186" s="37" t="s">
        <v>1274</v>
      </c>
      <c r="K186" s="41" t="s">
        <v>1275</v>
      </c>
      <c r="L186" s="37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200" si="66">R185+10</f>
        <v>289</v>
      </c>
      <c r="S186" s="7">
        <f t="shared" ref="S186:S190" si="67">S185+12</f>
        <v>398</v>
      </c>
      <c r="T186" s="7">
        <v>99.99</v>
      </c>
      <c r="U186" s="42" t="s">
        <v>1277</v>
      </c>
      <c r="V186" s="42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39" t="s">
        <v>1279</v>
      </c>
      <c r="H187" s="37" t="s">
        <v>1280</v>
      </c>
      <c r="I187" s="37" t="s">
        <v>1281</v>
      </c>
      <c r="J187" s="37" t="s">
        <v>1282</v>
      </c>
      <c r="K187" s="41" t="s">
        <v>1283</v>
      </c>
      <c r="L187" s="37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38" t="s">
        <v>1285</v>
      </c>
      <c r="V187" s="38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39" t="s">
        <v>1232</v>
      </c>
      <c r="H188" s="37" t="s">
        <v>1287</v>
      </c>
      <c r="I188" s="37" t="s">
        <v>1288</v>
      </c>
      <c r="J188" s="37" t="s">
        <v>1289</v>
      </c>
      <c r="K188" s="41" t="s">
        <v>1290</v>
      </c>
      <c r="L188" s="37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38" t="s">
        <v>1291</v>
      </c>
      <c r="V188" s="38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39" t="s">
        <v>1293</v>
      </c>
      <c r="H189" s="37" t="s">
        <v>1294</v>
      </c>
      <c r="I189" s="37" t="s">
        <v>1295</v>
      </c>
      <c r="J189" s="37" t="s">
        <v>1296</v>
      </c>
      <c r="K189" s="41" t="s">
        <v>1297</v>
      </c>
      <c r="L189" s="37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38" t="s">
        <v>1299</v>
      </c>
      <c r="V189" s="38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39" t="s">
        <v>1301</v>
      </c>
      <c r="H190" s="37" t="s">
        <v>1302</v>
      </c>
      <c r="I190" s="37" t="s">
        <v>1303</v>
      </c>
      <c r="J190" s="37" t="s">
        <v>1304</v>
      </c>
      <c r="K190" s="41" t="s">
        <v>1305</v>
      </c>
      <c r="L190" s="37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38" t="s">
        <v>1307</v>
      </c>
      <c r="V190" s="38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39" t="s">
        <v>1248</v>
      </c>
      <c r="H191" s="37" t="s">
        <v>1302</v>
      </c>
      <c r="I191" s="37" t="s">
        <v>1309</v>
      </c>
      <c r="J191" s="37" t="s">
        <v>1183</v>
      </c>
      <c r="K191" s="41" t="s">
        <v>1310</v>
      </c>
      <c r="L191" s="37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 t="shared" si="66"/>
        <v>339</v>
      </c>
      <c r="S191" s="7">
        <f t="shared" ref="S191:S200" si="68">S190+10</f>
        <v>456</v>
      </c>
      <c r="T191" s="7">
        <v>99.99</v>
      </c>
      <c r="U191" s="42" t="s">
        <v>1312</v>
      </c>
      <c r="V191" s="42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39" t="s">
        <v>1314</v>
      </c>
      <c r="H192" s="37" t="s">
        <v>1302</v>
      </c>
      <c r="I192" s="37" t="s">
        <v>1315</v>
      </c>
      <c r="J192" s="37" t="s">
        <v>1316</v>
      </c>
      <c r="K192" s="41" t="s">
        <v>1317</v>
      </c>
      <c r="L192" s="37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 t="shared" si="66"/>
        <v>349</v>
      </c>
      <c r="S192" s="8">
        <f t="shared" si="68"/>
        <v>466</v>
      </c>
      <c r="T192" s="8">
        <v>99.99</v>
      </c>
      <c r="U192" s="38" t="s">
        <v>1318</v>
      </c>
      <c r="V192" s="38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39" t="s">
        <v>1256</v>
      </c>
      <c r="H193" s="37" t="s">
        <v>1302</v>
      </c>
      <c r="I193" s="37" t="s">
        <v>1320</v>
      </c>
      <c r="J193" s="37" t="s">
        <v>1321</v>
      </c>
      <c r="K193" s="41" t="s">
        <v>1322</v>
      </c>
      <c r="L193" s="37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 t="shared" si="66"/>
        <v>359</v>
      </c>
      <c r="S193" s="8">
        <f t="shared" si="68"/>
        <v>476</v>
      </c>
      <c r="T193" s="8">
        <v>99.99</v>
      </c>
      <c r="U193" s="38" t="s">
        <v>432</v>
      </c>
      <c r="V193" s="38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39" t="s">
        <v>1154</v>
      </c>
      <c r="H194" s="37" t="s">
        <v>1302</v>
      </c>
      <c r="I194" s="37" t="s">
        <v>1325</v>
      </c>
      <c r="J194" s="37" t="s">
        <v>1326</v>
      </c>
      <c r="K194" s="41" t="s">
        <v>1327</v>
      </c>
      <c r="L194" s="37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 t="shared" si="66"/>
        <v>369</v>
      </c>
      <c r="S194" s="8">
        <f t="shared" si="68"/>
        <v>486</v>
      </c>
      <c r="T194" s="8">
        <v>99.99</v>
      </c>
      <c r="U194" s="38" t="s">
        <v>1329</v>
      </c>
      <c r="V194" s="38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39" t="s">
        <v>1264</v>
      </c>
      <c r="H195" s="37" t="s">
        <v>1302</v>
      </c>
      <c r="I195" s="37" t="s">
        <v>1331</v>
      </c>
      <c r="J195" s="37" t="s">
        <v>1332</v>
      </c>
      <c r="K195" s="41" t="s">
        <v>1333</v>
      </c>
      <c r="L195" s="37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 t="shared" si="66"/>
        <v>379</v>
      </c>
      <c r="S195" s="8">
        <f t="shared" si="68"/>
        <v>496</v>
      </c>
      <c r="T195" s="8">
        <v>99.99</v>
      </c>
      <c r="U195" s="38" t="s">
        <v>1334</v>
      </c>
      <c r="V195" s="38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39" t="s">
        <v>1336</v>
      </c>
      <c r="H196" s="37" t="s">
        <v>1302</v>
      </c>
      <c r="I196" s="37" t="s">
        <v>1337</v>
      </c>
      <c r="J196" s="37" t="s">
        <v>1338</v>
      </c>
      <c r="K196" s="41" t="s">
        <v>1339</v>
      </c>
      <c r="L196" s="37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 t="shared" si="66"/>
        <v>389</v>
      </c>
      <c r="S196" s="7">
        <f t="shared" si="68"/>
        <v>506</v>
      </c>
      <c r="T196" s="7">
        <v>99.99</v>
      </c>
      <c r="U196" s="42" t="s">
        <v>1340</v>
      </c>
      <c r="V196" s="42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39" t="s">
        <v>1342</v>
      </c>
      <c r="H197" s="37" t="s">
        <v>1302</v>
      </c>
      <c r="I197" s="37" t="s">
        <v>1343</v>
      </c>
      <c r="J197" s="37" t="s">
        <v>1344</v>
      </c>
      <c r="K197" s="41" t="s">
        <v>1345</v>
      </c>
      <c r="L197" s="37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 t="shared" si="66"/>
        <v>399</v>
      </c>
      <c r="S197" s="8">
        <f t="shared" si="68"/>
        <v>516</v>
      </c>
      <c r="T197" s="8">
        <v>99.99</v>
      </c>
      <c r="U197" s="38" t="s">
        <v>1346</v>
      </c>
      <c r="V197" s="38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39" t="s">
        <v>1280</v>
      </c>
      <c r="H198" s="37" t="s">
        <v>1302</v>
      </c>
      <c r="I198" s="37" t="s">
        <v>1348</v>
      </c>
      <c r="J198" s="37" t="s">
        <v>1349</v>
      </c>
      <c r="K198" s="41" t="s">
        <v>1350</v>
      </c>
      <c r="L198" s="37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 t="shared" si="66"/>
        <v>409</v>
      </c>
      <c r="S198" s="8">
        <f t="shared" si="68"/>
        <v>526</v>
      </c>
      <c r="T198" s="8">
        <v>99.99</v>
      </c>
      <c r="U198" s="38" t="s">
        <v>1351</v>
      </c>
      <c r="V198" s="38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39" t="s">
        <v>1353</v>
      </c>
      <c r="H199" s="37" t="s">
        <v>1302</v>
      </c>
      <c r="I199" s="37" t="s">
        <v>1354</v>
      </c>
      <c r="J199" s="37" t="s">
        <v>1355</v>
      </c>
      <c r="K199" s="41" t="s">
        <v>1356</v>
      </c>
      <c r="L199" s="37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 t="shared" si="66"/>
        <v>419</v>
      </c>
      <c r="S199" s="8">
        <f t="shared" si="68"/>
        <v>536</v>
      </c>
      <c r="T199" s="8">
        <v>99.99</v>
      </c>
      <c r="U199" s="38" t="s">
        <v>1357</v>
      </c>
      <c r="V199" s="38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39" t="s">
        <v>1359</v>
      </c>
      <c r="H200" s="37" t="s">
        <v>1302</v>
      </c>
      <c r="I200" s="37" t="s">
        <v>1360</v>
      </c>
      <c r="J200" s="37" t="s">
        <v>1236</v>
      </c>
      <c r="K200" s="41" t="s">
        <v>1361</v>
      </c>
      <c r="L200" s="37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 t="shared" si="66"/>
        <v>429</v>
      </c>
      <c r="S200" s="8">
        <f t="shared" si="68"/>
        <v>546</v>
      </c>
      <c r="T200" s="8">
        <v>99.99</v>
      </c>
      <c r="U200" s="38" t="s">
        <v>1362</v>
      </c>
      <c r="V200" s="38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7" t="s">
        <v>1364</v>
      </c>
      <c r="H201" s="37" t="s">
        <v>1302</v>
      </c>
      <c r="I201" s="37" t="s">
        <v>1365</v>
      </c>
      <c r="J201" s="37" t="s">
        <v>1366</v>
      </c>
      <c r="K201" s="41" t="s">
        <v>1242</v>
      </c>
      <c r="L201" s="37" t="s">
        <v>1264</v>
      </c>
      <c r="M201" s="6">
        <f t="shared" ref="M201:P201" si="69">M200+5000</f>
        <v>61000</v>
      </c>
      <c r="N201" s="6">
        <f t="shared" si="69"/>
        <v>61000</v>
      </c>
      <c r="O201" s="6">
        <f t="shared" si="69"/>
        <v>32750</v>
      </c>
      <c r="P201" s="6">
        <f t="shared" si="69"/>
        <v>32750</v>
      </c>
      <c r="Q201" s="6">
        <f t="shared" ref="Q201:Q215" si="70">Q200+6</f>
        <v>113</v>
      </c>
      <c r="R201" s="7">
        <f>R200+15</f>
        <v>444</v>
      </c>
      <c r="S201" s="7">
        <f t="shared" ref="S201:S215" si="71">S200+15</f>
        <v>561</v>
      </c>
      <c r="T201" s="7">
        <v>99.99</v>
      </c>
      <c r="U201" s="42" t="s">
        <v>1367</v>
      </c>
      <c r="V201" s="42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7" t="s">
        <v>1369</v>
      </c>
      <c r="H202" s="37" t="s">
        <v>1302</v>
      </c>
      <c r="I202" s="37" t="s">
        <v>1370</v>
      </c>
      <c r="J202" s="37" t="s">
        <v>1371</v>
      </c>
      <c r="K202" s="41" t="s">
        <v>1372</v>
      </c>
      <c r="L202" s="37" t="s">
        <v>1336</v>
      </c>
      <c r="M202" s="4">
        <f t="shared" ref="M202:P202" si="72">M201+5000</f>
        <v>66000</v>
      </c>
      <c r="N202" s="4">
        <f t="shared" si="72"/>
        <v>66000</v>
      </c>
      <c r="O202" s="4">
        <f t="shared" si="72"/>
        <v>37750</v>
      </c>
      <c r="P202" s="4">
        <f t="shared" si="72"/>
        <v>37750</v>
      </c>
      <c r="Q202" s="4">
        <f t="shared" si="70"/>
        <v>119</v>
      </c>
      <c r="R202" s="7">
        <f>R201+15</f>
        <v>459</v>
      </c>
      <c r="S202" s="8">
        <f t="shared" si="71"/>
        <v>576</v>
      </c>
      <c r="T202" s="8">
        <v>99.99</v>
      </c>
      <c r="U202" s="38" t="s">
        <v>1373</v>
      </c>
      <c r="V202" s="38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7" t="s">
        <v>1375</v>
      </c>
      <c r="H203" s="37" t="s">
        <v>1302</v>
      </c>
      <c r="I203" s="37" t="s">
        <v>1376</v>
      </c>
      <c r="J203" s="37" t="s">
        <v>1377</v>
      </c>
      <c r="K203" s="41" t="s">
        <v>1266</v>
      </c>
      <c r="L203" s="37" t="s">
        <v>1342</v>
      </c>
      <c r="M203" s="4">
        <f t="shared" ref="M203:P203" si="73">M202+5000</f>
        <v>71000</v>
      </c>
      <c r="N203" s="4">
        <f t="shared" si="73"/>
        <v>71000</v>
      </c>
      <c r="O203" s="4">
        <f t="shared" si="73"/>
        <v>42750</v>
      </c>
      <c r="P203" s="4">
        <f t="shared" si="73"/>
        <v>42750</v>
      </c>
      <c r="Q203" s="4">
        <f t="shared" si="70"/>
        <v>125</v>
      </c>
      <c r="R203" s="7">
        <f>R202+15</f>
        <v>474</v>
      </c>
      <c r="S203" s="8">
        <f t="shared" si="71"/>
        <v>591</v>
      </c>
      <c r="T203" s="8">
        <v>99.99</v>
      </c>
      <c r="U203" s="38" t="s">
        <v>1378</v>
      </c>
      <c r="V203" s="38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7" t="s">
        <v>1380</v>
      </c>
      <c r="H204" s="37" t="s">
        <v>1302</v>
      </c>
      <c r="I204" s="37" t="s">
        <v>1381</v>
      </c>
      <c r="J204" s="37" t="s">
        <v>1244</v>
      </c>
      <c r="K204" s="41" t="s">
        <v>1382</v>
      </c>
      <c r="L204" s="37" t="s">
        <v>1280</v>
      </c>
      <c r="M204" s="4">
        <f t="shared" ref="M204:P204" si="74">M203+5000</f>
        <v>76000</v>
      </c>
      <c r="N204" s="4">
        <f t="shared" si="74"/>
        <v>76000</v>
      </c>
      <c r="O204" s="4">
        <f t="shared" si="74"/>
        <v>47750</v>
      </c>
      <c r="P204" s="4">
        <f t="shared" si="74"/>
        <v>47750</v>
      </c>
      <c r="Q204" s="4">
        <f t="shared" si="70"/>
        <v>131</v>
      </c>
      <c r="R204" s="7">
        <f>R203+15</f>
        <v>489</v>
      </c>
      <c r="S204" s="8">
        <f t="shared" si="71"/>
        <v>606</v>
      </c>
      <c r="T204" s="8">
        <v>99.99</v>
      </c>
      <c r="U204" s="38" t="s">
        <v>1383</v>
      </c>
      <c r="V204" s="38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7" t="s">
        <v>1385</v>
      </c>
      <c r="H205" s="37" t="s">
        <v>1302</v>
      </c>
      <c r="I205" s="37" t="s">
        <v>1386</v>
      </c>
      <c r="J205" s="37" t="s">
        <v>1387</v>
      </c>
      <c r="K205" s="41" t="s">
        <v>1289</v>
      </c>
      <c r="L205" s="37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0"/>
        <v>137</v>
      </c>
      <c r="R205" s="7">
        <f>R204+15</f>
        <v>504</v>
      </c>
      <c r="S205" s="8">
        <f t="shared" si="71"/>
        <v>621</v>
      </c>
      <c r="T205" s="8">
        <v>99.99</v>
      </c>
      <c r="U205" s="38" t="s">
        <v>1388</v>
      </c>
      <c r="V205" s="38" t="s">
        <v>1388</v>
      </c>
      <c r="W205" s="4"/>
      <c r="X205" s="4"/>
    </row>
    <row r="206" s="7" customFormat="1" customHeight="1" spans="1:27">
      <c r="C206" s="6">
        <v>10201</v>
      </c>
      <c r="D206" s="6">
        <v>1200</v>
      </c>
      <c r="E206" s="6">
        <v>6</v>
      </c>
      <c r="F206" s="6" t="s">
        <v>1389</v>
      </c>
      <c r="G206" s="37" t="s">
        <v>1249</v>
      </c>
      <c r="H206" s="37" t="s">
        <v>1302</v>
      </c>
      <c r="I206" s="37" t="s">
        <v>1390</v>
      </c>
      <c r="J206" s="37" t="s">
        <v>1391</v>
      </c>
      <c r="K206" s="41" t="s">
        <v>1392</v>
      </c>
      <c r="L206" s="37" t="s">
        <v>1359</v>
      </c>
      <c r="M206" s="6">
        <f t="shared" ref="M206:M210" si="75">M205+10000</f>
        <v>91000</v>
      </c>
      <c r="N206" s="6">
        <f t="shared" ref="N206:N210" si="76">N205+10000</f>
        <v>91000</v>
      </c>
      <c r="O206" s="6">
        <f t="shared" ref="O206:O210" si="77">O205+10000</f>
        <v>62750</v>
      </c>
      <c r="P206" s="6">
        <f t="shared" ref="P206:P210" si="78">P205+10000</f>
        <v>62750</v>
      </c>
      <c r="Q206" s="6">
        <f t="shared" si="70"/>
        <v>143</v>
      </c>
      <c r="R206" s="7">
        <f>R205+15</f>
        <v>519</v>
      </c>
      <c r="S206" s="7">
        <f t="shared" si="71"/>
        <v>636</v>
      </c>
      <c r="T206" s="7">
        <v>99.99</v>
      </c>
      <c r="U206" s="42" t="s">
        <v>1393</v>
      </c>
      <c r="V206" s="42" t="s">
        <v>1393</v>
      </c>
      <c r="W206" s="6"/>
      <c r="X206" s="6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7" t="s">
        <v>1395</v>
      </c>
      <c r="H207" s="37" t="s">
        <v>1302</v>
      </c>
      <c r="I207" s="37" t="s">
        <v>1396</v>
      </c>
      <c r="J207" s="37" t="s">
        <v>1397</v>
      </c>
      <c r="K207" s="41" t="s">
        <v>1183</v>
      </c>
      <c r="L207" s="37" t="s">
        <v>1294</v>
      </c>
      <c r="M207" s="4">
        <f t="shared" si="75"/>
        <v>101000</v>
      </c>
      <c r="N207" s="4">
        <f t="shared" si="76"/>
        <v>101000</v>
      </c>
      <c r="O207" s="4">
        <f t="shared" si="77"/>
        <v>72750</v>
      </c>
      <c r="P207" s="4">
        <f t="shared" si="78"/>
        <v>72750</v>
      </c>
      <c r="Q207" s="6">
        <f t="shared" si="70"/>
        <v>149</v>
      </c>
      <c r="R207" s="7">
        <f>R206+15</f>
        <v>534</v>
      </c>
      <c r="S207" s="8">
        <f t="shared" si="71"/>
        <v>651</v>
      </c>
      <c r="T207" s="8">
        <v>99.99</v>
      </c>
      <c r="U207" s="38" t="s">
        <v>1398</v>
      </c>
      <c r="V207" s="38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7" t="s">
        <v>1257</v>
      </c>
      <c r="H208" s="37" t="s">
        <v>1302</v>
      </c>
      <c r="I208" s="37" t="s">
        <v>1400</v>
      </c>
      <c r="J208" s="37" t="s">
        <v>1252</v>
      </c>
      <c r="K208" s="41" t="s">
        <v>1401</v>
      </c>
      <c r="L208" s="37" t="s">
        <v>1233</v>
      </c>
      <c r="M208" s="4">
        <f t="shared" si="75"/>
        <v>111000</v>
      </c>
      <c r="N208" s="4">
        <f t="shared" si="76"/>
        <v>111000</v>
      </c>
      <c r="O208" s="4">
        <f t="shared" si="77"/>
        <v>82750</v>
      </c>
      <c r="P208" s="4">
        <f t="shared" si="78"/>
        <v>82750</v>
      </c>
      <c r="Q208" s="6">
        <f t="shared" si="70"/>
        <v>155</v>
      </c>
      <c r="R208" s="7">
        <f>R207+15</f>
        <v>549</v>
      </c>
      <c r="S208" s="8">
        <f t="shared" si="71"/>
        <v>666</v>
      </c>
      <c r="T208" s="8">
        <v>99.99</v>
      </c>
      <c r="U208" s="38" t="s">
        <v>1402</v>
      </c>
      <c r="V208" s="38" t="s">
        <v>1402</v>
      </c>
      <c r="W208" s="4"/>
      <c r="X208" s="4"/>
    </row>
    <row r="209" s="8" customFormat="1" customHeight="1" spans="1:28">
      <c r="C209" s="4">
        <v>10204</v>
      </c>
      <c r="D209" s="4">
        <v>1203</v>
      </c>
      <c r="E209" s="4">
        <v>6</v>
      </c>
      <c r="F209" s="4" t="s">
        <v>1403</v>
      </c>
      <c r="G209" s="37" t="s">
        <v>1404</v>
      </c>
      <c r="H209" s="37" t="s">
        <v>1302</v>
      </c>
      <c r="I209" s="37" t="s">
        <v>1405</v>
      </c>
      <c r="J209" s="37" t="s">
        <v>1406</v>
      </c>
      <c r="K209" s="41" t="s">
        <v>1326</v>
      </c>
      <c r="L209" s="37" t="s">
        <v>1407</v>
      </c>
      <c r="M209" s="4">
        <f t="shared" si="75"/>
        <v>121000</v>
      </c>
      <c r="N209" s="4">
        <f t="shared" si="76"/>
        <v>121000</v>
      </c>
      <c r="O209" s="4">
        <f t="shared" si="77"/>
        <v>92750</v>
      </c>
      <c r="P209" s="4">
        <f t="shared" si="78"/>
        <v>92750</v>
      </c>
      <c r="Q209" s="6">
        <f t="shared" si="70"/>
        <v>161</v>
      </c>
      <c r="R209" s="7">
        <f>R208+15</f>
        <v>564</v>
      </c>
      <c r="S209" s="8">
        <f t="shared" si="71"/>
        <v>681</v>
      </c>
      <c r="T209" s="8">
        <v>99.99</v>
      </c>
      <c r="U209" s="38" t="s">
        <v>1408</v>
      </c>
      <c r="V209" s="38" t="s">
        <v>1408</v>
      </c>
      <c r="W209" s="4"/>
      <c r="X209" s="4"/>
    </row>
    <row r="210" s="8" customFormat="1" customHeight="1" spans="1:28">
      <c r="C210" s="4">
        <v>10205</v>
      </c>
      <c r="D210" s="4">
        <v>1204</v>
      </c>
      <c r="E210" s="4">
        <v>6</v>
      </c>
      <c r="F210" s="4" t="s">
        <v>1409</v>
      </c>
      <c r="G210" s="37" t="s">
        <v>1410</v>
      </c>
      <c r="H210" s="37" t="s">
        <v>1302</v>
      </c>
      <c r="I210" s="37" t="s">
        <v>1411</v>
      </c>
      <c r="J210" s="37" t="s">
        <v>1412</v>
      </c>
      <c r="K210" s="41" t="s">
        <v>1338</v>
      </c>
      <c r="L210" s="37" t="s">
        <v>1241</v>
      </c>
      <c r="M210" s="4">
        <f t="shared" si="75"/>
        <v>131000</v>
      </c>
      <c r="N210" s="4">
        <f t="shared" si="76"/>
        <v>131000</v>
      </c>
      <c r="O210" s="4">
        <f t="shared" si="77"/>
        <v>102750</v>
      </c>
      <c r="P210" s="4">
        <f t="shared" si="78"/>
        <v>102750</v>
      </c>
      <c r="Q210" s="6">
        <f t="shared" si="70"/>
        <v>167</v>
      </c>
      <c r="R210" s="7">
        <f>R209+15</f>
        <v>579</v>
      </c>
      <c r="S210" s="8">
        <f t="shared" si="71"/>
        <v>696</v>
      </c>
      <c r="T210" s="8">
        <v>99.99</v>
      </c>
      <c r="U210" s="38" t="s">
        <v>1413</v>
      </c>
      <c r="V210" s="38" t="s">
        <v>1413</v>
      </c>
      <c r="W210" s="4"/>
      <c r="X210" s="4"/>
    </row>
    <row r="211" s="4" customFormat="1" customHeight="1" spans="1:28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7" t="s">
        <v>1273</v>
      </c>
      <c r="H211" s="37" t="s">
        <v>1302</v>
      </c>
      <c r="I211" s="37" t="s">
        <v>1415</v>
      </c>
      <c r="J211" s="37" t="s">
        <v>1416</v>
      </c>
      <c r="K211" s="41" t="s">
        <v>1355</v>
      </c>
      <c r="L211" s="37" t="s">
        <v>1417</v>
      </c>
      <c r="M211" s="4">
        <f t="shared" ref="M211:M215" si="79">M210+20000</f>
        <v>151000</v>
      </c>
      <c r="N211" s="4">
        <f t="shared" ref="N211:N215" si="80">N210+20000</f>
        <v>151000</v>
      </c>
      <c r="O211" s="4">
        <f t="shared" ref="O211:O215" si="81">O210+20000</f>
        <v>122750</v>
      </c>
      <c r="P211" s="4">
        <f t="shared" ref="P211:P215" si="82">P210+20000</f>
        <v>122750</v>
      </c>
      <c r="Q211" s="6">
        <f t="shared" si="70"/>
        <v>173</v>
      </c>
      <c r="R211" s="7">
        <f>R210+15</f>
        <v>594</v>
      </c>
      <c r="S211" s="8">
        <f t="shared" ref="S211:S215" si="83">S210+20</f>
        <v>716</v>
      </c>
      <c r="T211" s="8">
        <v>99.99</v>
      </c>
      <c r="U211" s="38" t="s">
        <v>1418</v>
      </c>
      <c r="V211" s="38" t="s">
        <v>1418</v>
      </c>
      <c r="W211" s="8"/>
      <c r="X211" s="8"/>
      <c r="Y211" s="8"/>
      <c r="Z211" s="8"/>
      <c r="AA211" s="8"/>
    </row>
    <row r="212" s="4" customFormat="1" customHeight="1" spans="1:28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7" t="s">
        <v>1420</v>
      </c>
      <c r="H212" s="37" t="s">
        <v>1302</v>
      </c>
      <c r="I212" s="37" t="s">
        <v>1421</v>
      </c>
      <c r="J212" s="37" t="s">
        <v>1260</v>
      </c>
      <c r="K212" s="41" t="s">
        <v>1371</v>
      </c>
      <c r="L212" s="37" t="s">
        <v>1249</v>
      </c>
      <c r="M212" s="4">
        <f t="shared" si="79"/>
        <v>171000</v>
      </c>
      <c r="N212" s="4">
        <f t="shared" si="80"/>
        <v>171000</v>
      </c>
      <c r="O212" s="4">
        <f t="shared" si="81"/>
        <v>142750</v>
      </c>
      <c r="P212" s="4">
        <f t="shared" si="82"/>
        <v>142750</v>
      </c>
      <c r="Q212" s="6">
        <f t="shared" si="70"/>
        <v>179</v>
      </c>
      <c r="R212" s="7">
        <f>R211+15</f>
        <v>609</v>
      </c>
      <c r="S212" s="8">
        <f t="shared" si="83"/>
        <v>736</v>
      </c>
      <c r="T212" s="8">
        <v>99.99</v>
      </c>
      <c r="U212" s="38" t="s">
        <v>1422</v>
      </c>
      <c r="V212" s="38" t="s">
        <v>1422</v>
      </c>
      <c r="W212" s="8"/>
      <c r="X212" s="8"/>
      <c r="Y212" s="8"/>
      <c r="Z212" s="8"/>
      <c r="AA212" s="8"/>
    </row>
    <row r="213" s="4" customFormat="1" customHeight="1" spans="1:28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7" t="s">
        <v>1424</v>
      </c>
      <c r="H213" s="37" t="s">
        <v>1302</v>
      </c>
      <c r="I213" s="37" t="s">
        <v>1425</v>
      </c>
      <c r="J213" s="37" t="s">
        <v>1231</v>
      </c>
      <c r="K213" s="41" t="s">
        <v>1387</v>
      </c>
      <c r="L213" s="37" t="s">
        <v>1395</v>
      </c>
      <c r="M213" s="4">
        <f t="shared" si="79"/>
        <v>191000</v>
      </c>
      <c r="N213" s="4">
        <f t="shared" si="80"/>
        <v>191000</v>
      </c>
      <c r="O213" s="4">
        <f t="shared" si="81"/>
        <v>162750</v>
      </c>
      <c r="P213" s="4">
        <f t="shared" si="82"/>
        <v>162750</v>
      </c>
      <c r="Q213" s="6">
        <f t="shared" si="70"/>
        <v>185</v>
      </c>
      <c r="R213" s="7">
        <f>R212+15</f>
        <v>624</v>
      </c>
      <c r="S213" s="8">
        <f t="shared" si="83"/>
        <v>756</v>
      </c>
      <c r="T213" s="8">
        <v>99.99</v>
      </c>
      <c r="U213" s="38" t="s">
        <v>1426</v>
      </c>
      <c r="V213" s="38" t="s">
        <v>1426</v>
      </c>
      <c r="W213" s="8"/>
      <c r="X213" s="8"/>
      <c r="Y213" s="8"/>
      <c r="Z213" s="8"/>
      <c r="AA213" s="8"/>
    </row>
    <row r="214" s="4" customFormat="1" customHeight="1" spans="1:28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7" t="s">
        <v>1288</v>
      </c>
      <c r="H214" s="37" t="s">
        <v>1302</v>
      </c>
      <c r="I214" s="37" t="s">
        <v>1428</v>
      </c>
      <c r="J214" s="37" t="s">
        <v>1429</v>
      </c>
      <c r="K214" s="41" t="s">
        <v>1252</v>
      </c>
      <c r="L214" s="37" t="s">
        <v>1257</v>
      </c>
      <c r="M214" s="4">
        <f t="shared" si="79"/>
        <v>211000</v>
      </c>
      <c r="N214" s="4">
        <f t="shared" si="80"/>
        <v>211000</v>
      </c>
      <c r="O214" s="4">
        <f t="shared" si="81"/>
        <v>182750</v>
      </c>
      <c r="P214" s="4">
        <f t="shared" si="82"/>
        <v>182750</v>
      </c>
      <c r="Q214" s="6">
        <f t="shared" si="70"/>
        <v>191</v>
      </c>
      <c r="R214" s="7">
        <f>R213+15</f>
        <v>639</v>
      </c>
      <c r="S214" s="8">
        <f t="shared" si="83"/>
        <v>776</v>
      </c>
      <c r="T214" s="8">
        <v>99.99</v>
      </c>
      <c r="U214" s="38" t="s">
        <v>1430</v>
      </c>
      <c r="V214" s="38" t="s">
        <v>1430</v>
      </c>
      <c r="W214" s="8"/>
      <c r="X214" s="8"/>
      <c r="Y214" s="8"/>
      <c r="Z214" s="8"/>
      <c r="AA214" s="8"/>
    </row>
    <row r="215" s="4" customFormat="1" customHeight="1" spans="1:28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7" t="s">
        <v>1432</v>
      </c>
      <c r="H215" s="37" t="s">
        <v>1302</v>
      </c>
      <c r="I215" s="37" t="s">
        <v>1433</v>
      </c>
      <c r="J215" s="37" t="s">
        <v>1434</v>
      </c>
      <c r="K215" s="41" t="s">
        <v>1416</v>
      </c>
      <c r="L215" s="37" t="s">
        <v>1404</v>
      </c>
      <c r="M215" s="4">
        <f t="shared" si="79"/>
        <v>231000</v>
      </c>
      <c r="N215" s="4">
        <f t="shared" si="80"/>
        <v>231000</v>
      </c>
      <c r="O215" s="4">
        <f t="shared" si="81"/>
        <v>202750</v>
      </c>
      <c r="P215" s="4">
        <f t="shared" si="82"/>
        <v>202750</v>
      </c>
      <c r="Q215" s="6">
        <f t="shared" si="70"/>
        <v>197</v>
      </c>
      <c r="R215" s="7">
        <f>R214+15</f>
        <v>654</v>
      </c>
      <c r="S215" s="8">
        <f t="shared" si="83"/>
        <v>796</v>
      </c>
      <c r="T215" s="8">
        <v>99.99</v>
      </c>
      <c r="U215" s="38" t="s">
        <v>1435</v>
      </c>
      <c r="V215" s="38" t="s">
        <v>1435</v>
      </c>
      <c r="W215" s="8"/>
      <c r="X215" s="8"/>
      <c r="Y215" s="8"/>
      <c r="Z215" s="8"/>
      <c r="AA215" s="8"/>
    </row>
    <row r="216" s="2" customFormat="1" customHeight="1" spans="1:28">
      <c r="A216" s="8"/>
      <c r="B216" s="8"/>
      <c r="C216" s="4">
        <v>10211</v>
      </c>
      <c r="D216" s="4">
        <v>1210</v>
      </c>
      <c r="E216" s="4">
        <v>7</v>
      </c>
      <c r="F216" s="2" t="s">
        <v>1436</v>
      </c>
      <c r="G216" s="40" t="s">
        <v>1437</v>
      </c>
      <c r="H216" s="37" t="s">
        <v>1302</v>
      </c>
      <c r="I216" s="40" t="s">
        <v>1438</v>
      </c>
      <c r="J216" s="40" t="s">
        <v>1276</v>
      </c>
      <c r="K216" s="35" t="s">
        <v>1434</v>
      </c>
      <c r="L216" s="40" t="s">
        <v>1439</v>
      </c>
      <c r="M216" s="4">
        <f t="shared" ref="M216:P216" si="84">M215+30000</f>
        <v>261000</v>
      </c>
      <c r="N216" s="4">
        <f t="shared" si="84"/>
        <v>261000</v>
      </c>
      <c r="O216" s="4">
        <f t="shared" si="84"/>
        <v>232750</v>
      </c>
      <c r="P216" s="4">
        <f t="shared" si="84"/>
        <v>232750</v>
      </c>
      <c r="Q216" s="6">
        <f t="shared" ref="Q216:Q250" si="85">Q215+7</f>
        <v>204</v>
      </c>
      <c r="R216" s="7">
        <f t="shared" ref="R216:R250" si="86">R215+18</f>
        <v>672</v>
      </c>
      <c r="S216" s="8">
        <f t="shared" ref="S216:S250" si="87">S215+30</f>
        <v>826</v>
      </c>
      <c r="T216" s="8">
        <v>99.99</v>
      </c>
      <c r="U216" s="38" t="s">
        <v>1440</v>
      </c>
      <c r="V216" s="38" t="s">
        <v>1440</v>
      </c>
      <c r="W216" s="8"/>
      <c r="X216" s="8"/>
      <c r="Y216" s="8"/>
      <c r="Z216" s="8"/>
      <c r="AA216" s="8"/>
      <c r="AB216" s="4"/>
    </row>
    <row r="217" s="2" customFormat="1" customHeight="1" spans="1:28">
      <c r="A217" s="8"/>
      <c r="B217" s="8"/>
      <c r="C217" s="4">
        <v>10212</v>
      </c>
      <c r="D217" s="4">
        <v>1211</v>
      </c>
      <c r="E217" s="4">
        <v>7</v>
      </c>
      <c r="F217" s="5" t="s">
        <v>1441</v>
      </c>
      <c r="G217" s="39" t="s">
        <v>1381</v>
      </c>
      <c r="H217" s="37" t="s">
        <v>1302</v>
      </c>
      <c r="I217" s="39" t="s">
        <v>1442</v>
      </c>
      <c r="J217" s="41" t="s">
        <v>1284</v>
      </c>
      <c r="K217" s="41" t="s">
        <v>1276</v>
      </c>
      <c r="L217" s="39" t="s">
        <v>1443</v>
      </c>
      <c r="M217" s="4">
        <f t="shared" ref="M217:P217" si="88">M216+30000</f>
        <v>291000</v>
      </c>
      <c r="N217" s="4">
        <f t="shared" si="88"/>
        <v>291000</v>
      </c>
      <c r="O217" s="4">
        <f t="shared" si="88"/>
        <v>262750</v>
      </c>
      <c r="P217" s="4">
        <f t="shared" si="88"/>
        <v>262750</v>
      </c>
      <c r="Q217" s="6">
        <f t="shared" si="85"/>
        <v>211</v>
      </c>
      <c r="R217" s="7">
        <f t="shared" si="86"/>
        <v>690</v>
      </c>
      <c r="S217" s="8">
        <f t="shared" si="87"/>
        <v>856</v>
      </c>
      <c r="T217" s="8">
        <v>99.99</v>
      </c>
      <c r="U217" s="38" t="s">
        <v>1444</v>
      </c>
      <c r="V217" s="38" t="s">
        <v>1444</v>
      </c>
      <c r="W217" s="8"/>
      <c r="X217" s="8"/>
      <c r="Y217" s="8"/>
      <c r="Z217" s="8"/>
      <c r="AA217" s="8"/>
      <c r="AB217" s="4"/>
    </row>
    <row r="218" s="2" customFormat="1" customHeight="1" spans="1:28">
      <c r="A218" s="8"/>
      <c r="B218" s="8"/>
      <c r="C218" s="4">
        <v>10213</v>
      </c>
      <c r="D218" s="4">
        <v>1212</v>
      </c>
      <c r="E218" s="4">
        <v>7</v>
      </c>
      <c r="F218" s="5" t="s">
        <v>1445</v>
      </c>
      <c r="G218" s="39" t="s">
        <v>1446</v>
      </c>
      <c r="H218" s="37" t="s">
        <v>1302</v>
      </c>
      <c r="I218" s="39" t="s">
        <v>1447</v>
      </c>
      <c r="J218" s="39" t="s">
        <v>1255</v>
      </c>
      <c r="K218" s="39" t="s">
        <v>1448</v>
      </c>
      <c r="L218" s="39" t="s">
        <v>1449</v>
      </c>
      <c r="M218" s="4">
        <f t="shared" ref="M218:P218" si="89">M217+30000</f>
        <v>321000</v>
      </c>
      <c r="N218" s="4">
        <f t="shared" si="89"/>
        <v>321000</v>
      </c>
      <c r="O218" s="4">
        <f t="shared" si="89"/>
        <v>292750</v>
      </c>
      <c r="P218" s="4">
        <f t="shared" si="89"/>
        <v>292750</v>
      </c>
      <c r="Q218" s="6">
        <f t="shared" si="85"/>
        <v>218</v>
      </c>
      <c r="R218" s="7">
        <f t="shared" si="86"/>
        <v>708</v>
      </c>
      <c r="S218" s="8">
        <f t="shared" si="87"/>
        <v>886</v>
      </c>
      <c r="T218" s="8">
        <v>99.99</v>
      </c>
      <c r="U218" s="38" t="s">
        <v>1450</v>
      </c>
      <c r="V218" s="38" t="s">
        <v>1450</v>
      </c>
      <c r="W218" s="8"/>
      <c r="X218" s="8"/>
      <c r="Y218" s="8"/>
      <c r="Z218" s="8"/>
      <c r="AA218" s="8"/>
      <c r="AB218" s="4"/>
    </row>
    <row r="219" s="2" customFormat="1" customHeight="1" spans="1:28">
      <c r="A219" s="8"/>
      <c r="B219" s="8"/>
      <c r="C219" s="4">
        <v>10214</v>
      </c>
      <c r="D219" s="4">
        <v>1213</v>
      </c>
      <c r="E219" s="4">
        <v>7</v>
      </c>
      <c r="F219" s="5" t="s">
        <v>1451</v>
      </c>
      <c r="G219" s="39" t="s">
        <v>1405</v>
      </c>
      <c r="H219" s="37" t="s">
        <v>1302</v>
      </c>
      <c r="I219" s="39" t="s">
        <v>1452</v>
      </c>
      <c r="J219" s="39" t="s">
        <v>1298</v>
      </c>
      <c r="K219" s="39" t="s">
        <v>1453</v>
      </c>
      <c r="L219" s="39" t="s">
        <v>1354</v>
      </c>
      <c r="M219" s="4">
        <f t="shared" ref="M219:P219" si="90">M218+30000</f>
        <v>351000</v>
      </c>
      <c r="N219" s="4">
        <f t="shared" si="90"/>
        <v>351000</v>
      </c>
      <c r="O219" s="4">
        <f t="shared" si="90"/>
        <v>322750</v>
      </c>
      <c r="P219" s="4">
        <f t="shared" si="90"/>
        <v>322750</v>
      </c>
      <c r="Q219" s="6">
        <f t="shared" si="85"/>
        <v>225</v>
      </c>
      <c r="R219" s="7">
        <f t="shared" si="86"/>
        <v>726</v>
      </c>
      <c r="S219" s="8">
        <f t="shared" si="87"/>
        <v>916</v>
      </c>
      <c r="T219" s="8">
        <v>99.99</v>
      </c>
      <c r="U219" s="38" t="s">
        <v>1454</v>
      </c>
      <c r="V219" s="38" t="s">
        <v>1454</v>
      </c>
      <c r="W219" s="8"/>
      <c r="X219" s="8"/>
      <c r="Y219" s="8"/>
      <c r="Z219" s="8"/>
      <c r="AA219" s="8"/>
      <c r="AB219" s="4"/>
    </row>
    <row r="220" s="2" customFormat="1" customHeight="1" spans="1:28">
      <c r="A220" s="8"/>
      <c r="B220" s="8"/>
      <c r="C220" s="4">
        <v>10215</v>
      </c>
      <c r="D220" s="4">
        <v>1214</v>
      </c>
      <c r="E220" s="4">
        <v>7</v>
      </c>
      <c r="F220" s="5" t="s">
        <v>1455</v>
      </c>
      <c r="G220" s="39" t="s">
        <v>1456</v>
      </c>
      <c r="H220" s="37" t="s">
        <v>1302</v>
      </c>
      <c r="I220" s="39" t="s">
        <v>1457</v>
      </c>
      <c r="J220" s="39" t="s">
        <v>1306</v>
      </c>
      <c r="K220" s="39" t="s">
        <v>1306</v>
      </c>
      <c r="L220" s="39" t="s">
        <v>1437</v>
      </c>
      <c r="M220" s="4">
        <f t="shared" ref="M220:M250" si="91">M219+30000</f>
        <v>381000</v>
      </c>
      <c r="N220" s="4">
        <f t="shared" ref="N220:N250" si="92">N219+30000</f>
        <v>381000</v>
      </c>
      <c r="O220" s="4">
        <f t="shared" ref="O220:O250" si="93">O219+30000</f>
        <v>352750</v>
      </c>
      <c r="P220" s="4">
        <f t="shared" ref="P220:P250" si="94">P219+30000</f>
        <v>352750</v>
      </c>
      <c r="Q220" s="6">
        <f t="shared" si="85"/>
        <v>232</v>
      </c>
      <c r="R220" s="7">
        <f t="shared" si="86"/>
        <v>744</v>
      </c>
      <c r="S220" s="8">
        <f t="shared" si="87"/>
        <v>946</v>
      </c>
      <c r="T220" s="8">
        <v>99.99</v>
      </c>
      <c r="U220" s="38" t="s">
        <v>1458</v>
      </c>
      <c r="V220" s="38" t="s">
        <v>1458</v>
      </c>
      <c r="W220" s="8"/>
      <c r="X220" s="8"/>
      <c r="Y220" s="8"/>
      <c r="Z220" s="8"/>
      <c r="AA220" s="8"/>
      <c r="AB220" s="4"/>
    </row>
    <row r="221" s="2" customFormat="1" customHeight="1" spans="1:28">
      <c r="A221" s="8"/>
      <c r="B221" s="8"/>
      <c r="C221" s="4">
        <v>10216</v>
      </c>
      <c r="D221" s="4">
        <v>1215</v>
      </c>
      <c r="E221" s="4">
        <v>7</v>
      </c>
      <c r="F221" s="6" t="s">
        <v>1459</v>
      </c>
      <c r="G221" s="39" t="s">
        <v>1428</v>
      </c>
      <c r="H221" s="37" t="s">
        <v>1302</v>
      </c>
      <c r="I221" s="39" t="s">
        <v>1460</v>
      </c>
      <c r="J221" s="39" t="s">
        <v>1461</v>
      </c>
      <c r="K221" s="39" t="s">
        <v>1461</v>
      </c>
      <c r="L221" s="39" t="s">
        <v>1381</v>
      </c>
      <c r="M221" s="4">
        <f t="shared" si="91"/>
        <v>411000</v>
      </c>
      <c r="N221" s="4">
        <f t="shared" si="92"/>
        <v>411000</v>
      </c>
      <c r="O221" s="4">
        <f t="shared" si="93"/>
        <v>382750</v>
      </c>
      <c r="P221" s="4">
        <f t="shared" si="94"/>
        <v>382750</v>
      </c>
      <c r="Q221" s="6">
        <f t="shared" si="85"/>
        <v>239</v>
      </c>
      <c r="R221" s="7">
        <f t="shared" si="86"/>
        <v>762</v>
      </c>
      <c r="S221" s="8">
        <f t="shared" si="87"/>
        <v>976</v>
      </c>
      <c r="T221" s="8">
        <v>99.99</v>
      </c>
      <c r="U221" s="38" t="s">
        <v>1462</v>
      </c>
      <c r="V221" s="38" t="s">
        <v>1462</v>
      </c>
      <c r="W221" s="8"/>
      <c r="X221" s="8"/>
      <c r="Y221" s="8"/>
      <c r="Z221" s="8"/>
      <c r="AA221" s="8"/>
      <c r="AB221" s="4"/>
    </row>
    <row r="222" s="2" customFormat="1" customHeight="1" spans="1:28">
      <c r="A222" s="8"/>
      <c r="B222" s="8"/>
      <c r="C222" s="4">
        <v>10217</v>
      </c>
      <c r="D222" s="4">
        <v>1216</v>
      </c>
      <c r="E222" s="4">
        <v>7</v>
      </c>
      <c r="F222" s="4" t="s">
        <v>1463</v>
      </c>
      <c r="G222" s="39" t="s">
        <v>1438</v>
      </c>
      <c r="H222" s="37" t="s">
        <v>1302</v>
      </c>
      <c r="I222" s="39" t="s">
        <v>1464</v>
      </c>
      <c r="J222" s="39" t="s">
        <v>1323</v>
      </c>
      <c r="K222" s="39" t="s">
        <v>1323</v>
      </c>
      <c r="L222" s="39" t="s">
        <v>1446</v>
      </c>
      <c r="M222" s="4">
        <f t="shared" si="91"/>
        <v>441000</v>
      </c>
      <c r="N222" s="4">
        <f t="shared" si="92"/>
        <v>441000</v>
      </c>
      <c r="O222" s="4">
        <f t="shared" si="93"/>
        <v>412750</v>
      </c>
      <c r="P222" s="4">
        <f t="shared" si="94"/>
        <v>412750</v>
      </c>
      <c r="Q222" s="6">
        <f t="shared" si="85"/>
        <v>246</v>
      </c>
      <c r="R222" s="7">
        <f t="shared" si="86"/>
        <v>780</v>
      </c>
      <c r="S222" s="8">
        <f t="shared" si="87"/>
        <v>1006</v>
      </c>
      <c r="T222" s="8">
        <v>99.99</v>
      </c>
      <c r="U222" s="38" t="s">
        <v>1465</v>
      </c>
      <c r="V222" s="38" t="s">
        <v>1465</v>
      </c>
      <c r="W222" s="8"/>
      <c r="X222" s="8"/>
      <c r="Y222" s="8"/>
      <c r="Z222" s="8"/>
      <c r="AA222" s="8"/>
      <c r="AB222" s="4"/>
    </row>
    <row r="223" s="2" customFormat="1" customHeight="1" spans="1:28">
      <c r="A223" s="8"/>
      <c r="B223" s="8"/>
      <c r="C223" s="4">
        <v>10218</v>
      </c>
      <c r="D223" s="4">
        <v>1217</v>
      </c>
      <c r="E223" s="4">
        <v>7</v>
      </c>
      <c r="F223" s="4" t="s">
        <v>1466</v>
      </c>
      <c r="G223" s="39" t="s">
        <v>1467</v>
      </c>
      <c r="H223" s="37" t="s">
        <v>1302</v>
      </c>
      <c r="I223" s="39" t="s">
        <v>1468</v>
      </c>
      <c r="J223" s="39" t="s">
        <v>1469</v>
      </c>
      <c r="K223" s="39" t="s">
        <v>1469</v>
      </c>
      <c r="L223" s="39" t="s">
        <v>1405</v>
      </c>
      <c r="M223" s="4">
        <f t="shared" si="91"/>
        <v>471000</v>
      </c>
      <c r="N223" s="4">
        <f t="shared" si="92"/>
        <v>471000</v>
      </c>
      <c r="O223" s="4">
        <f t="shared" si="93"/>
        <v>442750</v>
      </c>
      <c r="P223" s="4">
        <f t="shared" si="94"/>
        <v>442750</v>
      </c>
      <c r="Q223" s="6">
        <f t="shared" si="85"/>
        <v>253</v>
      </c>
      <c r="R223" s="7">
        <f t="shared" si="86"/>
        <v>798</v>
      </c>
      <c r="S223" s="8">
        <f t="shared" si="87"/>
        <v>1036</v>
      </c>
      <c r="T223" s="8">
        <v>99.99</v>
      </c>
      <c r="U223" s="38" t="s">
        <v>1470</v>
      </c>
      <c r="V223" s="38" t="s">
        <v>1470</v>
      </c>
      <c r="W223" s="8"/>
      <c r="X223" s="8"/>
      <c r="Y223" s="8"/>
      <c r="Z223" s="8"/>
      <c r="AA223" s="8"/>
      <c r="AB223" s="4"/>
    </row>
    <row r="224" s="2" customFormat="1" customHeight="1" spans="1:28">
      <c r="A224" s="8"/>
      <c r="B224" s="8"/>
      <c r="C224" s="4">
        <v>10219</v>
      </c>
      <c r="D224" s="4">
        <v>1218</v>
      </c>
      <c r="E224" s="4">
        <v>7</v>
      </c>
      <c r="F224" s="4" t="s">
        <v>1471</v>
      </c>
      <c r="G224" s="39" t="s">
        <v>1472</v>
      </c>
      <c r="H224" s="37" t="s">
        <v>1302</v>
      </c>
      <c r="I224" s="39" t="s">
        <v>1473</v>
      </c>
      <c r="J224" s="39" t="s">
        <v>1474</v>
      </c>
      <c r="K224" s="39" t="s">
        <v>1474</v>
      </c>
      <c r="L224" s="39" t="s">
        <v>1456</v>
      </c>
      <c r="M224" s="4">
        <f t="shared" si="91"/>
        <v>501000</v>
      </c>
      <c r="N224" s="4">
        <f t="shared" si="92"/>
        <v>501000</v>
      </c>
      <c r="O224" s="4">
        <f t="shared" si="93"/>
        <v>472750</v>
      </c>
      <c r="P224" s="4">
        <f t="shared" si="94"/>
        <v>472750</v>
      </c>
      <c r="Q224" s="6">
        <f t="shared" si="85"/>
        <v>260</v>
      </c>
      <c r="R224" s="7">
        <f t="shared" si="86"/>
        <v>816</v>
      </c>
      <c r="S224" s="8">
        <f t="shared" si="87"/>
        <v>1066</v>
      </c>
      <c r="T224" s="8">
        <v>99.99</v>
      </c>
      <c r="U224" s="38" t="s">
        <v>1475</v>
      </c>
      <c r="V224" s="38" t="s">
        <v>1475</v>
      </c>
      <c r="W224" s="8"/>
      <c r="X224" s="8"/>
      <c r="Y224" s="8"/>
      <c r="Z224" s="8"/>
      <c r="AA224" s="8"/>
      <c r="AB224" s="4"/>
    </row>
    <row r="225" s="2" customFormat="1" customHeight="1" spans="1:28">
      <c r="A225" s="8"/>
      <c r="B225" s="8"/>
      <c r="C225" s="4">
        <v>10220</v>
      </c>
      <c r="D225" s="4">
        <v>1219</v>
      </c>
      <c r="E225" s="4">
        <v>7</v>
      </c>
      <c r="F225" s="4" t="s">
        <v>1476</v>
      </c>
      <c r="G225" s="39" t="s">
        <v>1460</v>
      </c>
      <c r="H225" s="37" t="s">
        <v>1302</v>
      </c>
      <c r="I225" s="39" t="s">
        <v>1477</v>
      </c>
      <c r="J225" s="39" t="s">
        <v>1248</v>
      </c>
      <c r="K225" s="39" t="s">
        <v>1248</v>
      </c>
      <c r="L225" s="39" t="s">
        <v>1428</v>
      </c>
      <c r="M225" s="4">
        <f t="shared" si="91"/>
        <v>531000</v>
      </c>
      <c r="N225" s="4">
        <f t="shared" si="92"/>
        <v>531000</v>
      </c>
      <c r="O225" s="4">
        <f t="shared" si="93"/>
        <v>502750</v>
      </c>
      <c r="P225" s="4">
        <f t="shared" si="94"/>
        <v>502750</v>
      </c>
      <c r="Q225" s="6">
        <f t="shared" si="85"/>
        <v>267</v>
      </c>
      <c r="R225" s="7">
        <f t="shared" si="86"/>
        <v>834</v>
      </c>
      <c r="S225" s="8">
        <f t="shared" si="87"/>
        <v>1096</v>
      </c>
      <c r="T225" s="8">
        <v>99.99</v>
      </c>
      <c r="U225" s="38" t="s">
        <v>1478</v>
      </c>
      <c r="V225" s="38" t="s">
        <v>1478</v>
      </c>
      <c r="W225" s="8"/>
      <c r="X225" s="8"/>
      <c r="Y225" s="8"/>
      <c r="Z225" s="8"/>
      <c r="AA225" s="8"/>
      <c r="AB225" s="4"/>
    </row>
    <row r="226" s="5" customFormat="1" customHeight="1" spans="1:28">
      <c r="A226" s="7"/>
      <c r="B226" s="7"/>
      <c r="C226" s="6">
        <v>10221</v>
      </c>
      <c r="D226" s="6">
        <v>1220</v>
      </c>
      <c r="E226" s="6">
        <v>7</v>
      </c>
      <c r="F226" s="6" t="s">
        <v>1479</v>
      </c>
      <c r="G226" s="39" t="s">
        <v>1464</v>
      </c>
      <c r="H226" s="37" t="s">
        <v>1302</v>
      </c>
      <c r="I226" s="39" t="s">
        <v>1480</v>
      </c>
      <c r="J226" s="41" t="s">
        <v>1481</v>
      </c>
      <c r="K226" s="41" t="s">
        <v>1481</v>
      </c>
      <c r="L226" s="39" t="s">
        <v>1438</v>
      </c>
      <c r="M226" s="4">
        <f t="shared" si="91"/>
        <v>561000</v>
      </c>
      <c r="N226" s="4">
        <f t="shared" si="92"/>
        <v>561000</v>
      </c>
      <c r="O226" s="4">
        <f t="shared" si="93"/>
        <v>532750</v>
      </c>
      <c r="P226" s="4">
        <f t="shared" si="94"/>
        <v>532750</v>
      </c>
      <c r="Q226" s="6">
        <f t="shared" si="85"/>
        <v>274</v>
      </c>
      <c r="R226" s="7">
        <f t="shared" si="86"/>
        <v>852</v>
      </c>
      <c r="S226" s="8">
        <f t="shared" si="87"/>
        <v>1126</v>
      </c>
      <c r="T226" s="8">
        <v>99.99</v>
      </c>
      <c r="U226" s="38" t="s">
        <v>1482</v>
      </c>
      <c r="V226" s="38" t="s">
        <v>1482</v>
      </c>
      <c r="W226" s="7"/>
      <c r="X226" s="7"/>
      <c r="Y226" s="7"/>
      <c r="Z226" s="7"/>
      <c r="AA226" s="7"/>
      <c r="AB226" s="6"/>
    </row>
    <row r="227" s="5" customFormat="1" customHeight="1" spans="1:28">
      <c r="A227" s="7"/>
      <c r="B227" s="7"/>
      <c r="C227" s="6">
        <v>10222</v>
      </c>
      <c r="D227" s="6">
        <v>1221</v>
      </c>
      <c r="E227" s="6">
        <v>7</v>
      </c>
      <c r="F227" s="6" t="s">
        <v>1483</v>
      </c>
      <c r="G227" s="39" t="s">
        <v>1468</v>
      </c>
      <c r="H227" s="37" t="s">
        <v>1302</v>
      </c>
      <c r="I227" s="39" t="s">
        <v>1484</v>
      </c>
      <c r="J227" s="41" t="s">
        <v>1154</v>
      </c>
      <c r="K227" s="41" t="s">
        <v>1154</v>
      </c>
      <c r="L227" s="39" t="s">
        <v>1467</v>
      </c>
      <c r="M227" s="4">
        <f t="shared" si="91"/>
        <v>591000</v>
      </c>
      <c r="N227" s="4">
        <f t="shared" si="92"/>
        <v>591000</v>
      </c>
      <c r="O227" s="4">
        <f t="shared" si="93"/>
        <v>562750</v>
      </c>
      <c r="P227" s="4">
        <f t="shared" si="94"/>
        <v>562750</v>
      </c>
      <c r="Q227" s="6">
        <f t="shared" si="85"/>
        <v>281</v>
      </c>
      <c r="R227" s="7">
        <f t="shared" si="86"/>
        <v>870</v>
      </c>
      <c r="S227" s="8">
        <f t="shared" si="87"/>
        <v>1156</v>
      </c>
      <c r="T227" s="8">
        <v>99.99</v>
      </c>
      <c r="U227" s="38" t="s">
        <v>1485</v>
      </c>
      <c r="V227" s="38" t="s">
        <v>1485</v>
      </c>
      <c r="W227" s="7"/>
      <c r="X227" s="7"/>
      <c r="Y227" s="7"/>
      <c r="Z227" s="7"/>
      <c r="AA227" s="7"/>
      <c r="AB227" s="6"/>
    </row>
    <row r="228" s="5" customFormat="1" customHeight="1" spans="1:28">
      <c r="A228" s="7"/>
      <c r="B228" s="7"/>
      <c r="C228" s="6">
        <v>10223</v>
      </c>
      <c r="D228" s="6">
        <v>1222</v>
      </c>
      <c r="E228" s="6">
        <v>7</v>
      </c>
      <c r="F228" s="6" t="s">
        <v>1486</v>
      </c>
      <c r="G228" s="39" t="s">
        <v>1473</v>
      </c>
      <c r="H228" s="37" t="s">
        <v>1302</v>
      </c>
      <c r="I228" s="39" t="s">
        <v>1487</v>
      </c>
      <c r="J228" s="41" t="s">
        <v>1488</v>
      </c>
      <c r="K228" s="41" t="s">
        <v>1488</v>
      </c>
      <c r="L228" s="39" t="s">
        <v>1472</v>
      </c>
      <c r="M228" s="4">
        <f t="shared" si="91"/>
        <v>621000</v>
      </c>
      <c r="N228" s="4">
        <f t="shared" si="92"/>
        <v>621000</v>
      </c>
      <c r="O228" s="4">
        <f t="shared" si="93"/>
        <v>592750</v>
      </c>
      <c r="P228" s="4">
        <f t="shared" si="94"/>
        <v>592750</v>
      </c>
      <c r="Q228" s="6">
        <f t="shared" si="85"/>
        <v>288</v>
      </c>
      <c r="R228" s="7">
        <f t="shared" si="86"/>
        <v>888</v>
      </c>
      <c r="S228" s="8">
        <f t="shared" si="87"/>
        <v>1186</v>
      </c>
      <c r="T228" s="8">
        <v>99.99</v>
      </c>
      <c r="U228" s="38" t="s">
        <v>1489</v>
      </c>
      <c r="V228" s="38" t="s">
        <v>1489</v>
      </c>
      <c r="W228" s="7"/>
      <c r="X228" s="7"/>
      <c r="Y228" s="7"/>
      <c r="Z228" s="7"/>
      <c r="AA228" s="7"/>
      <c r="AB228" s="6"/>
    </row>
    <row r="229" s="5" customFormat="1" customHeight="1" spans="1:28">
      <c r="A229" s="7"/>
      <c r="B229" s="7"/>
      <c r="C229" s="6">
        <v>10224</v>
      </c>
      <c r="D229" s="6">
        <v>1223</v>
      </c>
      <c r="E229" s="6">
        <v>7</v>
      </c>
      <c r="F229" s="6" t="s">
        <v>1490</v>
      </c>
      <c r="G229" s="39" t="s">
        <v>1477</v>
      </c>
      <c r="H229" s="37" t="s">
        <v>1302</v>
      </c>
      <c r="I229" s="39" t="s">
        <v>1491</v>
      </c>
      <c r="J229" s="41" t="s">
        <v>1342</v>
      </c>
      <c r="K229" s="41" t="s">
        <v>1342</v>
      </c>
      <c r="L229" s="39" t="s">
        <v>1460</v>
      </c>
      <c r="M229" s="4">
        <f t="shared" si="91"/>
        <v>651000</v>
      </c>
      <c r="N229" s="4">
        <f t="shared" si="92"/>
        <v>651000</v>
      </c>
      <c r="O229" s="4">
        <f t="shared" si="93"/>
        <v>622750</v>
      </c>
      <c r="P229" s="4">
        <f t="shared" si="94"/>
        <v>622750</v>
      </c>
      <c r="Q229" s="6">
        <f t="shared" si="85"/>
        <v>295</v>
      </c>
      <c r="R229" s="7">
        <f t="shared" si="86"/>
        <v>906</v>
      </c>
      <c r="S229" s="8">
        <f t="shared" si="87"/>
        <v>1216</v>
      </c>
      <c r="T229" s="8">
        <v>99.99</v>
      </c>
      <c r="U229" s="38" t="s">
        <v>1492</v>
      </c>
      <c r="V229" s="38" t="s">
        <v>1492</v>
      </c>
      <c r="W229" s="7"/>
      <c r="X229" s="7"/>
      <c r="Y229" s="7"/>
      <c r="Z229" s="7"/>
      <c r="AA229" s="7"/>
      <c r="AB229" s="6"/>
    </row>
    <row r="230" s="5" customFormat="1" customHeight="1" spans="1:28">
      <c r="A230" s="7"/>
      <c r="B230" s="7"/>
      <c r="C230" s="6">
        <v>10225</v>
      </c>
      <c r="D230" s="6">
        <v>1224</v>
      </c>
      <c r="E230" s="6">
        <v>7</v>
      </c>
      <c r="F230" s="6" t="s">
        <v>1493</v>
      </c>
      <c r="G230" s="39" t="s">
        <v>1480</v>
      </c>
      <c r="H230" s="37" t="s">
        <v>1302</v>
      </c>
      <c r="I230" s="39" t="s">
        <v>1494</v>
      </c>
      <c r="J230" s="41" t="s">
        <v>1495</v>
      </c>
      <c r="K230" s="41" t="s">
        <v>1495</v>
      </c>
      <c r="L230" s="39" t="s">
        <v>1496</v>
      </c>
      <c r="M230" s="4">
        <f t="shared" si="91"/>
        <v>681000</v>
      </c>
      <c r="N230" s="4">
        <f t="shared" si="92"/>
        <v>681000</v>
      </c>
      <c r="O230" s="4">
        <f t="shared" si="93"/>
        <v>652750</v>
      </c>
      <c r="P230" s="4">
        <f t="shared" si="94"/>
        <v>652750</v>
      </c>
      <c r="Q230" s="6">
        <f t="shared" si="85"/>
        <v>302</v>
      </c>
      <c r="R230" s="7">
        <f t="shared" si="86"/>
        <v>924</v>
      </c>
      <c r="S230" s="8">
        <f t="shared" si="87"/>
        <v>1246</v>
      </c>
      <c r="T230" s="8">
        <v>99.99</v>
      </c>
      <c r="U230" s="38" t="s">
        <v>1497</v>
      </c>
      <c r="V230" s="38" t="s">
        <v>1497</v>
      </c>
      <c r="W230" s="7"/>
      <c r="X230" s="7"/>
      <c r="Y230" s="7"/>
      <c r="Z230" s="7"/>
      <c r="AA230" s="7"/>
      <c r="AB230" s="6"/>
    </row>
    <row r="231" s="2" customFormat="1" customHeight="1" spans="1:28">
      <c r="A231" s="8"/>
      <c r="B231" s="8"/>
      <c r="C231" s="4">
        <v>10226</v>
      </c>
      <c r="D231" s="4">
        <v>1225</v>
      </c>
      <c r="E231" s="4">
        <v>7</v>
      </c>
      <c r="F231" s="6" t="s">
        <v>1498</v>
      </c>
      <c r="G231" s="39" t="s">
        <v>1484</v>
      </c>
      <c r="H231" s="37" t="s">
        <v>1302</v>
      </c>
      <c r="I231" s="39" t="s">
        <v>1499</v>
      </c>
      <c r="J231" s="41" t="s">
        <v>1359</v>
      </c>
      <c r="K231" s="41" t="s">
        <v>1359</v>
      </c>
      <c r="L231" s="39" t="s">
        <v>1500</v>
      </c>
      <c r="M231" s="4">
        <f t="shared" si="91"/>
        <v>711000</v>
      </c>
      <c r="N231" s="4">
        <f t="shared" si="92"/>
        <v>711000</v>
      </c>
      <c r="O231" s="4">
        <f t="shared" si="93"/>
        <v>682750</v>
      </c>
      <c r="P231" s="4">
        <f t="shared" si="94"/>
        <v>682750</v>
      </c>
      <c r="Q231" s="6">
        <f t="shared" si="85"/>
        <v>309</v>
      </c>
      <c r="R231" s="7">
        <f t="shared" si="86"/>
        <v>942</v>
      </c>
      <c r="S231" s="8">
        <f t="shared" si="87"/>
        <v>1276</v>
      </c>
      <c r="T231" s="8">
        <v>99.99</v>
      </c>
      <c r="U231" s="38" t="s">
        <v>1501</v>
      </c>
      <c r="V231" s="38" t="s">
        <v>1501</v>
      </c>
      <c r="W231" s="8"/>
      <c r="X231" s="8"/>
      <c r="Y231" s="8"/>
      <c r="Z231" s="8"/>
      <c r="AA231" s="8"/>
      <c r="AB231" s="4"/>
    </row>
    <row r="232" s="2" customFormat="1" customHeight="1" spans="1:28">
      <c r="A232" s="8"/>
      <c r="B232" s="8"/>
      <c r="C232" s="4">
        <v>10227</v>
      </c>
      <c r="D232" s="4">
        <v>1226</v>
      </c>
      <c r="E232" s="4">
        <v>7</v>
      </c>
      <c r="F232" s="4" t="s">
        <v>1502</v>
      </c>
      <c r="G232" s="39" t="s">
        <v>1487</v>
      </c>
      <c r="H232" s="37" t="s">
        <v>1302</v>
      </c>
      <c r="I232" s="39" t="s">
        <v>1503</v>
      </c>
      <c r="J232" s="41" t="s">
        <v>1504</v>
      </c>
      <c r="K232" s="41" t="s">
        <v>1504</v>
      </c>
      <c r="L232" s="39" t="s">
        <v>1473</v>
      </c>
      <c r="M232" s="4">
        <f t="shared" si="91"/>
        <v>741000</v>
      </c>
      <c r="N232" s="4">
        <f t="shared" si="92"/>
        <v>741000</v>
      </c>
      <c r="O232" s="4">
        <f t="shared" si="93"/>
        <v>712750</v>
      </c>
      <c r="P232" s="4">
        <f t="shared" si="94"/>
        <v>712750</v>
      </c>
      <c r="Q232" s="6">
        <f t="shared" si="85"/>
        <v>316</v>
      </c>
      <c r="R232" s="7">
        <f t="shared" si="86"/>
        <v>960</v>
      </c>
      <c r="S232" s="8">
        <f t="shared" si="87"/>
        <v>1306</v>
      </c>
      <c r="T232" s="8">
        <v>99.99</v>
      </c>
      <c r="U232" s="38" t="s">
        <v>1505</v>
      </c>
      <c r="V232" s="38" t="s">
        <v>1505</v>
      </c>
      <c r="W232" s="8"/>
      <c r="X232" s="8"/>
      <c r="Y232" s="8"/>
      <c r="Z232" s="8"/>
      <c r="AA232" s="8"/>
      <c r="AB232" s="4"/>
    </row>
    <row r="233" s="2" customFormat="1" customHeight="1" spans="1:28">
      <c r="A233" s="8"/>
      <c r="B233" s="8"/>
      <c r="C233" s="4">
        <v>10228</v>
      </c>
      <c r="D233" s="4">
        <v>1227</v>
      </c>
      <c r="E233" s="4">
        <v>7</v>
      </c>
      <c r="F233" s="4" t="s">
        <v>1506</v>
      </c>
      <c r="G233" s="39" t="s">
        <v>1491</v>
      </c>
      <c r="H233" s="37" t="s">
        <v>1302</v>
      </c>
      <c r="I233" s="39" t="s">
        <v>1507</v>
      </c>
      <c r="J233" s="41" t="s">
        <v>1407</v>
      </c>
      <c r="K233" s="41" t="s">
        <v>1407</v>
      </c>
      <c r="L233" s="39" t="s">
        <v>1508</v>
      </c>
      <c r="M233" s="4">
        <f t="shared" si="91"/>
        <v>771000</v>
      </c>
      <c r="N233" s="4">
        <f t="shared" si="92"/>
        <v>771000</v>
      </c>
      <c r="O233" s="4">
        <f t="shared" si="93"/>
        <v>742750</v>
      </c>
      <c r="P233" s="4">
        <f t="shared" si="94"/>
        <v>742750</v>
      </c>
      <c r="Q233" s="6">
        <f t="shared" si="85"/>
        <v>323</v>
      </c>
      <c r="R233" s="7">
        <f t="shared" si="86"/>
        <v>978</v>
      </c>
      <c r="S233" s="8">
        <f t="shared" si="87"/>
        <v>1336</v>
      </c>
      <c r="T233" s="8">
        <v>99.99</v>
      </c>
      <c r="U233" s="38" t="s">
        <v>1509</v>
      </c>
      <c r="V233" s="38" t="s">
        <v>1509</v>
      </c>
      <c r="W233" s="8"/>
      <c r="X233" s="8"/>
      <c r="Y233" s="8"/>
      <c r="Z233" s="8"/>
      <c r="AA233" s="8"/>
      <c r="AB233" s="4"/>
    </row>
    <row r="234" s="2" customFormat="1" customHeight="1" spans="1:28">
      <c r="A234" s="8"/>
      <c r="B234" s="8"/>
      <c r="C234" s="4">
        <v>10229</v>
      </c>
      <c r="D234" s="4">
        <v>1228</v>
      </c>
      <c r="E234" s="4">
        <v>7</v>
      </c>
      <c r="F234" s="4" t="s">
        <v>1510</v>
      </c>
      <c r="G234" s="39" t="s">
        <v>1494</v>
      </c>
      <c r="H234" s="37" t="s">
        <v>1302</v>
      </c>
      <c r="I234" s="39" t="s">
        <v>1511</v>
      </c>
      <c r="J234" s="41" t="s">
        <v>1512</v>
      </c>
      <c r="K234" s="41" t="s">
        <v>1512</v>
      </c>
      <c r="L234" s="39" t="s">
        <v>1513</v>
      </c>
      <c r="M234" s="4">
        <f t="shared" si="91"/>
        <v>801000</v>
      </c>
      <c r="N234" s="4">
        <f t="shared" si="92"/>
        <v>801000</v>
      </c>
      <c r="O234" s="4">
        <f t="shared" si="93"/>
        <v>772750</v>
      </c>
      <c r="P234" s="4">
        <f t="shared" si="94"/>
        <v>772750</v>
      </c>
      <c r="Q234" s="6">
        <f t="shared" si="85"/>
        <v>330</v>
      </c>
      <c r="R234" s="7">
        <f t="shared" si="86"/>
        <v>996</v>
      </c>
      <c r="S234" s="8">
        <f t="shared" si="87"/>
        <v>1366</v>
      </c>
      <c r="T234" s="8">
        <v>99.99</v>
      </c>
      <c r="U234" s="38" t="s">
        <v>1514</v>
      </c>
      <c r="V234" s="38" t="s">
        <v>1514</v>
      </c>
      <c r="W234" s="8"/>
      <c r="X234" s="8"/>
      <c r="Y234" s="8"/>
      <c r="Z234" s="8"/>
      <c r="AA234" s="8"/>
      <c r="AB234" s="4"/>
    </row>
    <row r="235" s="9" customFormat="1" customHeight="1" spans="1:28">
      <c r="A235" s="25"/>
      <c r="B235" s="25"/>
      <c r="C235" s="26">
        <v>10230</v>
      </c>
      <c r="D235" s="26">
        <v>1229</v>
      </c>
      <c r="E235" s="26">
        <v>7</v>
      </c>
      <c r="F235" s="26" t="s">
        <v>1515</v>
      </c>
      <c r="G235" s="39" t="s">
        <v>1499</v>
      </c>
      <c r="H235" s="43" t="s">
        <v>1302</v>
      </c>
      <c r="I235" s="39" t="s">
        <v>1516</v>
      </c>
      <c r="J235" s="41" t="s">
        <v>1249</v>
      </c>
      <c r="K235" s="41" t="s">
        <v>1249</v>
      </c>
      <c r="L235" s="39" t="s">
        <v>1480</v>
      </c>
      <c r="M235" s="4">
        <f t="shared" si="91"/>
        <v>831000</v>
      </c>
      <c r="N235" s="4">
        <f t="shared" si="92"/>
        <v>831000</v>
      </c>
      <c r="O235" s="4">
        <f t="shared" si="93"/>
        <v>802750</v>
      </c>
      <c r="P235" s="4">
        <f t="shared" si="94"/>
        <v>802750</v>
      </c>
      <c r="Q235" s="6">
        <f t="shared" si="85"/>
        <v>337</v>
      </c>
      <c r="R235" s="7">
        <f t="shared" si="86"/>
        <v>1014</v>
      </c>
      <c r="S235" s="8">
        <f t="shared" si="87"/>
        <v>1396</v>
      </c>
      <c r="T235" s="8">
        <v>99.99</v>
      </c>
      <c r="U235" s="38" t="s">
        <v>1517</v>
      </c>
      <c r="V235" s="38" t="s">
        <v>1517</v>
      </c>
      <c r="W235" s="25"/>
      <c r="X235" s="25"/>
      <c r="Y235" s="25"/>
      <c r="Z235" s="25"/>
      <c r="AA235" s="25"/>
      <c r="AB235" s="26"/>
    </row>
    <row r="236" s="2" customFormat="1" customHeight="1" spans="1:28">
      <c r="A236" s="8"/>
      <c r="B236" s="8"/>
      <c r="C236" s="4">
        <v>10231</v>
      </c>
      <c r="D236" s="4">
        <v>1230</v>
      </c>
      <c r="E236" s="4">
        <v>7</v>
      </c>
      <c r="F236" s="6" t="s">
        <v>1518</v>
      </c>
      <c r="G236" s="39" t="s">
        <v>1519</v>
      </c>
      <c r="H236" s="37" t="s">
        <v>1302</v>
      </c>
      <c r="I236" s="39" t="s">
        <v>1520</v>
      </c>
      <c r="J236" s="41" t="s">
        <v>1521</v>
      </c>
      <c r="K236" s="41" t="s">
        <v>1521</v>
      </c>
      <c r="L236" s="39" t="s">
        <v>1522</v>
      </c>
      <c r="M236" s="4">
        <f t="shared" si="91"/>
        <v>861000</v>
      </c>
      <c r="N236" s="4">
        <f t="shared" si="92"/>
        <v>861000</v>
      </c>
      <c r="O236" s="4">
        <f t="shared" si="93"/>
        <v>832750</v>
      </c>
      <c r="P236" s="4">
        <f t="shared" si="94"/>
        <v>832750</v>
      </c>
      <c r="Q236" s="6">
        <f t="shared" si="85"/>
        <v>344</v>
      </c>
      <c r="R236" s="7">
        <f t="shared" si="86"/>
        <v>1032</v>
      </c>
      <c r="S236" s="8">
        <f t="shared" si="87"/>
        <v>1426</v>
      </c>
      <c r="T236" s="8">
        <v>99.99</v>
      </c>
      <c r="U236" s="38" t="s">
        <v>1523</v>
      </c>
      <c r="V236" s="38" t="s">
        <v>1523</v>
      </c>
      <c r="W236" s="8"/>
      <c r="X236" s="8"/>
      <c r="Y236" s="8"/>
      <c r="Z236" s="8"/>
      <c r="AA236" s="8"/>
      <c r="AB236" s="4"/>
    </row>
    <row r="237" s="2" customFormat="1" customHeight="1" spans="1:28">
      <c r="A237" s="8"/>
      <c r="B237" s="8"/>
      <c r="C237" s="4">
        <v>10232</v>
      </c>
      <c r="D237" s="4">
        <v>1231</v>
      </c>
      <c r="E237" s="4">
        <v>7</v>
      </c>
      <c r="F237" s="4" t="s">
        <v>1524</v>
      </c>
      <c r="G237" s="39" t="s">
        <v>1525</v>
      </c>
      <c r="H237" s="37" t="s">
        <v>1302</v>
      </c>
      <c r="I237" s="39" t="s">
        <v>1526</v>
      </c>
      <c r="J237" s="41" t="s">
        <v>1404</v>
      </c>
      <c r="K237" s="41" t="s">
        <v>1404</v>
      </c>
      <c r="L237" s="39" t="s">
        <v>1527</v>
      </c>
      <c r="M237" s="4">
        <f t="shared" si="91"/>
        <v>891000</v>
      </c>
      <c r="N237" s="4">
        <f t="shared" si="92"/>
        <v>891000</v>
      </c>
      <c r="O237" s="4">
        <f t="shared" si="93"/>
        <v>862750</v>
      </c>
      <c r="P237" s="4">
        <f t="shared" si="94"/>
        <v>862750</v>
      </c>
      <c r="Q237" s="6">
        <f t="shared" si="85"/>
        <v>351</v>
      </c>
      <c r="R237" s="7">
        <f t="shared" si="86"/>
        <v>1050</v>
      </c>
      <c r="S237" s="8">
        <f t="shared" si="87"/>
        <v>1456</v>
      </c>
      <c r="T237" s="8">
        <v>99.99</v>
      </c>
      <c r="U237" s="38" t="s">
        <v>1528</v>
      </c>
      <c r="V237" s="38" t="s">
        <v>1528</v>
      </c>
      <c r="W237" s="8"/>
      <c r="X237" s="8"/>
      <c r="Y237" s="8"/>
      <c r="Z237" s="8"/>
      <c r="AA237" s="8"/>
      <c r="AB237" s="4"/>
    </row>
    <row r="238" s="2" customFormat="1" customHeight="1" spans="1:28">
      <c r="A238" s="8"/>
      <c r="B238" s="8"/>
      <c r="C238" s="4">
        <v>10233</v>
      </c>
      <c r="D238" s="4">
        <v>1232</v>
      </c>
      <c r="E238" s="4">
        <v>7</v>
      </c>
      <c r="F238" s="4" t="s">
        <v>1529</v>
      </c>
      <c r="G238" s="39" t="s">
        <v>1503</v>
      </c>
      <c r="H238" s="37" t="s">
        <v>1302</v>
      </c>
      <c r="I238" s="39" t="s">
        <v>1530</v>
      </c>
      <c r="J238" s="41" t="s">
        <v>1531</v>
      </c>
      <c r="K238" s="41" t="s">
        <v>1531</v>
      </c>
      <c r="L238" s="39" t="s">
        <v>1487</v>
      </c>
      <c r="M238" s="4">
        <f t="shared" si="91"/>
        <v>921000</v>
      </c>
      <c r="N238" s="4">
        <f t="shared" si="92"/>
        <v>921000</v>
      </c>
      <c r="O238" s="4">
        <f t="shared" si="93"/>
        <v>892750</v>
      </c>
      <c r="P238" s="4">
        <f t="shared" si="94"/>
        <v>892750</v>
      </c>
      <c r="Q238" s="6">
        <f t="shared" si="85"/>
        <v>358</v>
      </c>
      <c r="R238" s="7">
        <f t="shared" si="86"/>
        <v>1068</v>
      </c>
      <c r="S238" s="8">
        <f t="shared" si="87"/>
        <v>1486</v>
      </c>
      <c r="T238" s="8">
        <v>99.99</v>
      </c>
      <c r="U238" s="38" t="s">
        <v>1532</v>
      </c>
      <c r="V238" s="38" t="s">
        <v>1532</v>
      </c>
      <c r="W238" s="8"/>
      <c r="X238" s="8"/>
      <c r="Y238" s="8"/>
      <c r="Z238" s="8"/>
      <c r="AA238" s="8"/>
      <c r="AB238" s="4"/>
    </row>
    <row r="239" s="2" customFormat="1" customHeight="1" spans="1:28">
      <c r="A239" s="8"/>
      <c r="B239" s="8"/>
      <c r="C239" s="4">
        <v>10234</v>
      </c>
      <c r="D239" s="4">
        <v>1233</v>
      </c>
      <c r="E239" s="4">
        <v>7</v>
      </c>
      <c r="F239" s="4" t="s">
        <v>1533</v>
      </c>
      <c r="G239" s="39" t="s">
        <v>1534</v>
      </c>
      <c r="H239" s="37" t="s">
        <v>1302</v>
      </c>
      <c r="I239" s="39" t="s">
        <v>1535</v>
      </c>
      <c r="J239" s="41" t="s">
        <v>1420</v>
      </c>
      <c r="K239" s="41" t="s">
        <v>1420</v>
      </c>
      <c r="L239" s="39" t="s">
        <v>1536</v>
      </c>
      <c r="M239" s="4">
        <f t="shared" si="91"/>
        <v>951000</v>
      </c>
      <c r="N239" s="4">
        <f t="shared" si="92"/>
        <v>951000</v>
      </c>
      <c r="O239" s="4">
        <f t="shared" si="93"/>
        <v>922750</v>
      </c>
      <c r="P239" s="4">
        <f t="shared" si="94"/>
        <v>922750</v>
      </c>
      <c r="Q239" s="6">
        <f t="shared" si="85"/>
        <v>365</v>
      </c>
      <c r="R239" s="7">
        <f t="shared" si="86"/>
        <v>1086</v>
      </c>
      <c r="S239" s="8">
        <f t="shared" si="87"/>
        <v>1516</v>
      </c>
      <c r="T239" s="8">
        <v>99.99</v>
      </c>
      <c r="U239" s="38" t="s">
        <v>1537</v>
      </c>
      <c r="V239" s="38" t="s">
        <v>1537</v>
      </c>
      <c r="W239" s="8"/>
      <c r="X239" s="8"/>
      <c r="Y239" s="8"/>
      <c r="Z239" s="8"/>
      <c r="AA239" s="8"/>
      <c r="AB239" s="4"/>
    </row>
    <row r="240" s="9" customFormat="1" customHeight="1" spans="1:28">
      <c r="A240" s="25"/>
      <c r="B240" s="25"/>
      <c r="C240" s="26">
        <v>10235</v>
      </c>
      <c r="D240" s="26">
        <v>1234</v>
      </c>
      <c r="E240" s="26">
        <v>7</v>
      </c>
      <c r="F240" s="26" t="s">
        <v>1538</v>
      </c>
      <c r="G240" s="44" t="s">
        <v>1539</v>
      </c>
      <c r="H240" s="43" t="s">
        <v>1302</v>
      </c>
      <c r="I240" s="39" t="s">
        <v>1540</v>
      </c>
      <c r="J240" s="41" t="s">
        <v>1541</v>
      </c>
      <c r="K240" s="41" t="s">
        <v>1541</v>
      </c>
      <c r="L240" s="39" t="s">
        <v>1542</v>
      </c>
      <c r="M240" s="4">
        <f t="shared" si="91"/>
        <v>981000</v>
      </c>
      <c r="N240" s="4">
        <f t="shared" si="92"/>
        <v>981000</v>
      </c>
      <c r="O240" s="4">
        <f t="shared" si="93"/>
        <v>952750</v>
      </c>
      <c r="P240" s="4">
        <f t="shared" si="94"/>
        <v>952750</v>
      </c>
      <c r="Q240" s="6">
        <f t="shared" si="85"/>
        <v>372</v>
      </c>
      <c r="R240" s="7">
        <f t="shared" si="86"/>
        <v>1104</v>
      </c>
      <c r="S240" s="8">
        <f t="shared" si="87"/>
        <v>1546</v>
      </c>
      <c r="T240" s="8">
        <v>99.99</v>
      </c>
      <c r="U240" s="38" t="s">
        <v>1543</v>
      </c>
      <c r="V240" s="38" t="s">
        <v>1543</v>
      </c>
      <c r="W240" s="25"/>
      <c r="X240" s="25"/>
      <c r="Y240" s="25"/>
      <c r="Z240" s="25"/>
      <c r="AA240" s="25"/>
      <c r="AB240" s="26"/>
    </row>
    <row r="241" s="2" customFormat="1" customHeight="1" spans="1:28">
      <c r="A241" s="8"/>
      <c r="B241" s="8"/>
      <c r="C241" s="4">
        <v>10236</v>
      </c>
      <c r="D241" s="4">
        <v>1235</v>
      </c>
      <c r="E241" s="4">
        <v>7</v>
      </c>
      <c r="F241" s="6" t="s">
        <v>1544</v>
      </c>
      <c r="G241" s="39" t="s">
        <v>1507</v>
      </c>
      <c r="H241" s="37" t="s">
        <v>1302</v>
      </c>
      <c r="I241" s="39" t="s">
        <v>1545</v>
      </c>
      <c r="J241" s="41" t="s">
        <v>1432</v>
      </c>
      <c r="K241" s="41" t="s">
        <v>1432</v>
      </c>
      <c r="L241" s="39" t="s">
        <v>1494</v>
      </c>
      <c r="M241" s="4">
        <f t="shared" si="91"/>
        <v>1011000</v>
      </c>
      <c r="N241" s="4">
        <f t="shared" si="92"/>
        <v>1011000</v>
      </c>
      <c r="O241" s="4">
        <f t="shared" si="93"/>
        <v>982750</v>
      </c>
      <c r="P241" s="4">
        <f t="shared" si="94"/>
        <v>982750</v>
      </c>
      <c r="Q241" s="6">
        <f t="shared" si="85"/>
        <v>379</v>
      </c>
      <c r="R241" s="7">
        <f t="shared" si="86"/>
        <v>1122</v>
      </c>
      <c r="S241" s="8">
        <f t="shared" si="87"/>
        <v>1576</v>
      </c>
      <c r="T241" s="8">
        <v>99.99</v>
      </c>
      <c r="U241" s="38" t="s">
        <v>1546</v>
      </c>
      <c r="V241" s="38" t="s">
        <v>1546</v>
      </c>
      <c r="W241" s="8"/>
      <c r="X241" s="8"/>
      <c r="Y241" s="8"/>
      <c r="Z241" s="8"/>
      <c r="AA241" s="8"/>
      <c r="AB241" s="4"/>
    </row>
    <row r="242" s="2" customFormat="1" customHeight="1" spans="1:28">
      <c r="A242" s="8"/>
      <c r="B242" s="8"/>
      <c r="C242" s="4">
        <v>10237</v>
      </c>
      <c r="D242" s="4">
        <v>1236</v>
      </c>
      <c r="E242" s="4">
        <v>7</v>
      </c>
      <c r="F242" s="4" t="s">
        <v>1547</v>
      </c>
      <c r="G242" s="39" t="s">
        <v>1548</v>
      </c>
      <c r="H242" s="37" t="s">
        <v>1302</v>
      </c>
      <c r="I242" s="39" t="s">
        <v>1549</v>
      </c>
      <c r="J242" s="41" t="s">
        <v>1550</v>
      </c>
      <c r="K242" s="41" t="s">
        <v>1550</v>
      </c>
      <c r="L242" s="39" t="s">
        <v>1551</v>
      </c>
      <c r="M242" s="4">
        <f t="shared" si="91"/>
        <v>1041000</v>
      </c>
      <c r="N242" s="4">
        <f t="shared" si="92"/>
        <v>1041000</v>
      </c>
      <c r="O242" s="4">
        <f t="shared" si="93"/>
        <v>1012750</v>
      </c>
      <c r="P242" s="4">
        <f t="shared" si="94"/>
        <v>1012750</v>
      </c>
      <c r="Q242" s="6">
        <f t="shared" si="85"/>
        <v>386</v>
      </c>
      <c r="R242" s="7">
        <f t="shared" si="86"/>
        <v>1140</v>
      </c>
      <c r="S242" s="8">
        <f t="shared" si="87"/>
        <v>1606</v>
      </c>
      <c r="T242" s="8">
        <v>99.99</v>
      </c>
      <c r="U242" s="38" t="s">
        <v>1552</v>
      </c>
      <c r="V242" s="38" t="s">
        <v>1552</v>
      </c>
      <c r="W242" s="8"/>
      <c r="X242" s="8"/>
      <c r="Y242" s="8"/>
      <c r="Z242" s="8"/>
      <c r="AA242" s="8"/>
      <c r="AB242" s="4"/>
    </row>
    <row r="243" s="2" customFormat="1" customHeight="1" spans="1:28">
      <c r="A243" s="8"/>
      <c r="B243" s="8"/>
      <c r="C243" s="4">
        <v>10238</v>
      </c>
      <c r="D243" s="4">
        <v>1237</v>
      </c>
      <c r="E243" s="4">
        <v>7</v>
      </c>
      <c r="F243" s="4" t="s">
        <v>1553</v>
      </c>
      <c r="G243" s="39" t="s">
        <v>1554</v>
      </c>
      <c r="H243" s="37" t="s">
        <v>1302</v>
      </c>
      <c r="I243" s="39" t="s">
        <v>1555</v>
      </c>
      <c r="J243" s="41" t="s">
        <v>1556</v>
      </c>
      <c r="K243" s="41" t="s">
        <v>1556</v>
      </c>
      <c r="L243" s="39" t="s">
        <v>1519</v>
      </c>
      <c r="M243" s="4">
        <f t="shared" si="91"/>
        <v>1071000</v>
      </c>
      <c r="N243" s="4">
        <f t="shared" si="92"/>
        <v>1071000</v>
      </c>
      <c r="O243" s="4">
        <f t="shared" si="93"/>
        <v>1042750</v>
      </c>
      <c r="P243" s="4">
        <f t="shared" si="94"/>
        <v>1042750</v>
      </c>
      <c r="Q243" s="6">
        <f t="shared" si="85"/>
        <v>393</v>
      </c>
      <c r="R243" s="7">
        <f t="shared" si="86"/>
        <v>1158</v>
      </c>
      <c r="S243" s="8">
        <f t="shared" si="87"/>
        <v>1636</v>
      </c>
      <c r="T243" s="8">
        <v>99.99</v>
      </c>
      <c r="U243" s="38" t="s">
        <v>1557</v>
      </c>
      <c r="V243" s="38" t="s">
        <v>1557</v>
      </c>
      <c r="W243" s="8"/>
      <c r="X243" s="8"/>
      <c r="Y243" s="8"/>
      <c r="Z243" s="8"/>
      <c r="AA243" s="8"/>
      <c r="AB243" s="4"/>
    </row>
    <row r="244" s="2" customFormat="1" customHeight="1" spans="1:28">
      <c r="A244" s="8"/>
      <c r="B244" s="8"/>
      <c r="C244" s="4">
        <v>10239</v>
      </c>
      <c r="D244" s="4">
        <v>1238</v>
      </c>
      <c r="E244" s="4">
        <v>7</v>
      </c>
      <c r="F244" s="4" t="s">
        <v>1558</v>
      </c>
      <c r="G244" s="39" t="s">
        <v>1511</v>
      </c>
      <c r="H244" s="37" t="s">
        <v>1302</v>
      </c>
      <c r="I244" s="39" t="s">
        <v>1559</v>
      </c>
      <c r="J244" s="41" t="s">
        <v>1560</v>
      </c>
      <c r="K244" s="41" t="s">
        <v>1560</v>
      </c>
      <c r="L244" s="39" t="s">
        <v>1503</v>
      </c>
      <c r="M244" s="4">
        <f t="shared" si="91"/>
        <v>1101000</v>
      </c>
      <c r="N244" s="4">
        <f t="shared" si="92"/>
        <v>1101000</v>
      </c>
      <c r="O244" s="4">
        <f t="shared" si="93"/>
        <v>1072750</v>
      </c>
      <c r="P244" s="4">
        <f t="shared" si="94"/>
        <v>1072750</v>
      </c>
      <c r="Q244" s="6">
        <f t="shared" si="85"/>
        <v>400</v>
      </c>
      <c r="R244" s="7">
        <f t="shared" si="86"/>
        <v>1176</v>
      </c>
      <c r="S244" s="8">
        <f t="shared" si="87"/>
        <v>1666</v>
      </c>
      <c r="T244" s="8">
        <v>99.99</v>
      </c>
      <c r="U244" s="38" t="s">
        <v>1561</v>
      </c>
      <c r="V244" s="38" t="s">
        <v>1561</v>
      </c>
      <c r="W244" s="8"/>
      <c r="X244" s="8"/>
      <c r="Y244" s="8"/>
      <c r="Z244" s="8"/>
      <c r="AA244" s="8"/>
      <c r="AB244" s="4"/>
    </row>
    <row r="245" s="2" customFormat="1" customHeight="1" spans="1:28">
      <c r="A245" s="8"/>
      <c r="B245" s="8"/>
      <c r="C245" s="4">
        <v>10240</v>
      </c>
      <c r="D245" s="4">
        <v>1239</v>
      </c>
      <c r="E245" s="4">
        <v>7</v>
      </c>
      <c r="F245" s="4" t="s">
        <v>1562</v>
      </c>
      <c r="G245" s="39" t="s">
        <v>1563</v>
      </c>
      <c r="H245" s="37" t="s">
        <v>1302</v>
      </c>
      <c r="I245" s="39" t="s">
        <v>1564</v>
      </c>
      <c r="J245" s="41" t="s">
        <v>1439</v>
      </c>
      <c r="K245" s="41" t="s">
        <v>1439</v>
      </c>
      <c r="L245" s="39" t="s">
        <v>1539</v>
      </c>
      <c r="M245" s="4">
        <f t="shared" si="91"/>
        <v>1131000</v>
      </c>
      <c r="N245" s="4">
        <f t="shared" si="92"/>
        <v>1131000</v>
      </c>
      <c r="O245" s="4">
        <f t="shared" si="93"/>
        <v>1102750</v>
      </c>
      <c r="P245" s="4">
        <f t="shared" si="94"/>
        <v>1102750</v>
      </c>
      <c r="Q245" s="6">
        <f t="shared" si="85"/>
        <v>407</v>
      </c>
      <c r="R245" s="7">
        <f t="shared" si="86"/>
        <v>1194</v>
      </c>
      <c r="S245" s="8">
        <f t="shared" si="87"/>
        <v>1696</v>
      </c>
      <c r="T245" s="8">
        <v>99.99</v>
      </c>
      <c r="U245" s="38" t="s">
        <v>1565</v>
      </c>
      <c r="V245" s="38" t="s">
        <v>1565</v>
      </c>
      <c r="W245" s="8"/>
      <c r="X245" s="8"/>
      <c r="Y245" s="8"/>
      <c r="Z245" s="8"/>
      <c r="AA245" s="8"/>
      <c r="AB245" s="4"/>
    </row>
    <row r="246" s="2" customFormat="1" customHeight="1" spans="1:28">
      <c r="A246" s="8"/>
      <c r="B246" s="8"/>
      <c r="C246" s="4">
        <v>10241</v>
      </c>
      <c r="D246" s="4">
        <v>1240</v>
      </c>
      <c r="E246" s="4">
        <v>7</v>
      </c>
      <c r="F246" s="4" t="s">
        <v>1566</v>
      </c>
      <c r="G246" s="39" t="s">
        <v>1567</v>
      </c>
      <c r="H246" s="37" t="s">
        <v>1302</v>
      </c>
      <c r="I246" s="39" t="s">
        <v>1568</v>
      </c>
      <c r="J246" s="41" t="s">
        <v>1569</v>
      </c>
      <c r="K246" s="41" t="s">
        <v>1569</v>
      </c>
      <c r="L246" s="39" t="s">
        <v>1548</v>
      </c>
      <c r="M246" s="4">
        <f t="shared" si="91"/>
        <v>1161000</v>
      </c>
      <c r="N246" s="4">
        <f t="shared" si="92"/>
        <v>1161000</v>
      </c>
      <c r="O246" s="4">
        <f t="shared" si="93"/>
        <v>1132750</v>
      </c>
      <c r="P246" s="4">
        <f t="shared" si="94"/>
        <v>1132750</v>
      </c>
      <c r="Q246" s="6">
        <f t="shared" si="85"/>
        <v>414</v>
      </c>
      <c r="R246" s="7">
        <f t="shared" si="86"/>
        <v>1212</v>
      </c>
      <c r="S246" s="8">
        <f t="shared" si="87"/>
        <v>1726</v>
      </c>
      <c r="T246" s="8">
        <v>99.99</v>
      </c>
      <c r="U246" s="38" t="s">
        <v>1570</v>
      </c>
      <c r="V246" s="38" t="s">
        <v>1570</v>
      </c>
      <c r="W246" s="8"/>
      <c r="X246" s="8"/>
      <c r="Y246" s="8"/>
      <c r="Z246" s="8"/>
      <c r="AA246" s="8"/>
      <c r="AB246" s="4"/>
    </row>
    <row r="247" s="2" customFormat="1" customHeight="1" spans="1:28">
      <c r="A247" s="8"/>
      <c r="B247" s="8"/>
      <c r="C247" s="4">
        <v>10242</v>
      </c>
      <c r="D247" s="4">
        <v>1241</v>
      </c>
      <c r="E247" s="4">
        <v>7</v>
      </c>
      <c r="F247" s="4" t="s">
        <v>1571</v>
      </c>
      <c r="G247" s="39" t="s">
        <v>1516</v>
      </c>
      <c r="H247" s="37" t="s">
        <v>1302</v>
      </c>
      <c r="I247" s="39" t="s">
        <v>1572</v>
      </c>
      <c r="J247" s="41" t="s">
        <v>1573</v>
      </c>
      <c r="K247" s="41" t="s">
        <v>1573</v>
      </c>
      <c r="L247" s="39" t="s">
        <v>1511</v>
      </c>
      <c r="M247" s="4">
        <f t="shared" si="91"/>
        <v>1191000</v>
      </c>
      <c r="N247" s="4">
        <f t="shared" si="92"/>
        <v>1191000</v>
      </c>
      <c r="O247" s="4">
        <f t="shared" si="93"/>
        <v>1162750</v>
      </c>
      <c r="P247" s="4">
        <f t="shared" si="94"/>
        <v>1162750</v>
      </c>
      <c r="Q247" s="6">
        <f t="shared" si="85"/>
        <v>421</v>
      </c>
      <c r="R247" s="7">
        <f t="shared" si="86"/>
        <v>1230</v>
      </c>
      <c r="S247" s="8">
        <f t="shared" si="87"/>
        <v>1756</v>
      </c>
      <c r="T247" s="8">
        <v>99.99</v>
      </c>
      <c r="U247" s="38" t="s">
        <v>1574</v>
      </c>
      <c r="V247" s="38" t="s">
        <v>1574</v>
      </c>
      <c r="W247" s="8"/>
      <c r="X247" s="8"/>
      <c r="Y247" s="8"/>
      <c r="Z247" s="8"/>
      <c r="AA247" s="8"/>
      <c r="AB247" s="4"/>
    </row>
    <row r="248" s="2" customFormat="1" customHeight="1" spans="1:28">
      <c r="A248" s="8"/>
      <c r="B248" s="8"/>
      <c r="C248" s="4">
        <v>10243</v>
      </c>
      <c r="D248" s="4">
        <v>1242</v>
      </c>
      <c r="E248" s="4">
        <v>7</v>
      </c>
      <c r="F248" s="4" t="s">
        <v>1575</v>
      </c>
      <c r="G248" s="39" t="s">
        <v>1576</v>
      </c>
      <c r="H248" s="37" t="s">
        <v>1302</v>
      </c>
      <c r="I248" s="39" t="s">
        <v>1577</v>
      </c>
      <c r="J248" s="41" t="s">
        <v>1337</v>
      </c>
      <c r="K248" s="41" t="s">
        <v>1337</v>
      </c>
      <c r="L248" s="39" t="s">
        <v>1567</v>
      </c>
      <c r="M248" s="4">
        <f t="shared" si="91"/>
        <v>1221000</v>
      </c>
      <c r="N248" s="4">
        <f t="shared" si="92"/>
        <v>1221000</v>
      </c>
      <c r="O248" s="4">
        <f t="shared" si="93"/>
        <v>1192750</v>
      </c>
      <c r="P248" s="4">
        <f t="shared" si="94"/>
        <v>1192750</v>
      </c>
      <c r="Q248" s="6">
        <f t="shared" si="85"/>
        <v>428</v>
      </c>
      <c r="R248" s="7">
        <f t="shared" si="86"/>
        <v>1248</v>
      </c>
      <c r="S248" s="8">
        <f t="shared" si="87"/>
        <v>1786</v>
      </c>
      <c r="T248" s="8">
        <v>99.99</v>
      </c>
      <c r="U248" s="38" t="s">
        <v>1578</v>
      </c>
      <c r="V248" s="38" t="s">
        <v>1578</v>
      </c>
      <c r="W248" s="8"/>
      <c r="X248" s="8"/>
      <c r="Y248" s="8"/>
      <c r="Z248" s="8"/>
      <c r="AA248" s="8"/>
      <c r="AB248" s="4"/>
    </row>
    <row r="249" s="2" customFormat="1" customHeight="1" spans="1:28">
      <c r="A249" s="8"/>
      <c r="B249" s="8"/>
      <c r="C249" s="4">
        <v>10244</v>
      </c>
      <c r="D249" s="4">
        <v>1243</v>
      </c>
      <c r="E249" s="4">
        <v>7</v>
      </c>
      <c r="F249" s="4" t="s">
        <v>1579</v>
      </c>
      <c r="G249" s="39" t="s">
        <v>1580</v>
      </c>
      <c r="H249" s="37" t="s">
        <v>1302</v>
      </c>
      <c r="I249" s="39" t="s">
        <v>1581</v>
      </c>
      <c r="J249" s="41" t="s">
        <v>1582</v>
      </c>
      <c r="K249" s="41" t="s">
        <v>1582</v>
      </c>
      <c r="L249" s="39" t="s">
        <v>1576</v>
      </c>
      <c r="M249" s="4">
        <f t="shared" si="91"/>
        <v>1251000</v>
      </c>
      <c r="N249" s="4">
        <f t="shared" si="92"/>
        <v>1251000</v>
      </c>
      <c r="O249" s="4">
        <f t="shared" si="93"/>
        <v>1222750</v>
      </c>
      <c r="P249" s="4">
        <f t="shared" si="94"/>
        <v>1222750</v>
      </c>
      <c r="Q249" s="6">
        <f t="shared" si="85"/>
        <v>435</v>
      </c>
      <c r="R249" s="7">
        <f t="shared" si="86"/>
        <v>1266</v>
      </c>
      <c r="S249" s="8">
        <f t="shared" si="87"/>
        <v>1816</v>
      </c>
      <c r="T249" s="8">
        <v>99.99</v>
      </c>
      <c r="U249" s="38" t="s">
        <v>1583</v>
      </c>
      <c r="V249" s="38" t="s">
        <v>1583</v>
      </c>
      <c r="W249" s="8"/>
      <c r="X249" s="8"/>
      <c r="Y249" s="8"/>
      <c r="Z249" s="8"/>
      <c r="AA249" s="8"/>
      <c r="AB249" s="4"/>
    </row>
    <row r="250" s="2" customFormat="1" customHeight="1" spans="1:28">
      <c r="A250" s="8"/>
      <c r="B250" s="8"/>
      <c r="C250" s="4">
        <v>10245</v>
      </c>
      <c r="D250" s="4">
        <v>1244</v>
      </c>
      <c r="E250" s="4">
        <v>7</v>
      </c>
      <c r="F250" s="4" t="s">
        <v>1584</v>
      </c>
      <c r="G250" s="39" t="s">
        <v>1520</v>
      </c>
      <c r="H250" s="37" t="s">
        <v>1302</v>
      </c>
      <c r="I250" s="39" t="s">
        <v>1585</v>
      </c>
      <c r="J250" s="41" t="s">
        <v>1354</v>
      </c>
      <c r="K250" s="41" t="s">
        <v>1354</v>
      </c>
      <c r="L250" s="39" t="s">
        <v>1520</v>
      </c>
      <c r="M250" s="4">
        <f t="shared" si="91"/>
        <v>1281000</v>
      </c>
      <c r="N250" s="4">
        <f t="shared" si="92"/>
        <v>1281000</v>
      </c>
      <c r="O250" s="4">
        <f t="shared" si="93"/>
        <v>1252750</v>
      </c>
      <c r="P250" s="4">
        <f t="shared" si="94"/>
        <v>1252750</v>
      </c>
      <c r="Q250" s="6">
        <f t="shared" si="85"/>
        <v>442</v>
      </c>
      <c r="R250" s="7">
        <f t="shared" si="86"/>
        <v>1284</v>
      </c>
      <c r="S250" s="8">
        <f t="shared" si="87"/>
        <v>1846</v>
      </c>
      <c r="T250" s="8">
        <v>99.99</v>
      </c>
      <c r="U250" s="38" t="s">
        <v>1586</v>
      </c>
      <c r="V250" s="38" t="s">
        <v>1586</v>
      </c>
      <c r="W250" s="8"/>
      <c r="X250" s="8"/>
      <c r="Y250" s="8"/>
      <c r="Z250" s="8"/>
      <c r="AA250" s="8"/>
      <c r="AB250" s="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2026-07-26T03:38:15Z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
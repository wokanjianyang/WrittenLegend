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<sst xmlns="http://schemas.openxmlformats.org/spreadsheetml/2006/main" count="2521" uniqueCount="1773">
  <si>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</si>
  <si>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</si>
  <si>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</si>
  <si>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</si>
  <si>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</si>
  <si>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</si>
  <si>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</si>
  <si>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</si>
  <si>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</si>
  <si>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</si>
  <si>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</si>
  <si>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</si>
  <si>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</si>
  <si>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</si>
  <si>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</si>
  <si>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</si>
  <si>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</si>
  <si>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</si>
  <si>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</si>
  <si>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</si>
  <si>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</si>
  <si>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</si>
  <si>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</si>
  <si>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</si>
  <si>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</si>
  <si>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</si>
  <si>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</si>
  <si>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</si>
  <si>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</si>
  <si>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</si>
  <si>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</si>
  <si>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</si>
  <si>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</si>
  <si>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</si>
  <si>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</si>
  <si>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</si>
  <si>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</si>
  <si>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</si>
  <si>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</si>
  <si>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</si>
  <si>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</si>
  <si>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</si>
  <si>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</si>
  <si>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</si>
  <si>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</si>
  <si>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</si>
  <si>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</si>
  <si>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</si>
  <si>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</si>
  <si>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</si>
  <si>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</si>
  <si>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</si>
  <si>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</si>
  <si>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</si>
  <si>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</si>
  <si>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</si>
  <si>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</si>
  <si>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</si>
  <si>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</si>
  <si>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</si>
  <si>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</si>
  <si>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</si>
  <si>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</si>
  <si>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</si>
  <si>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</si>
  <si>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</si>
  <si>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</si>
  <si>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</si>
  <si>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</si>
  <si>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</si>
  <si>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</si>
  <si>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</si>
  <si>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</si>
  <si>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</si>
  <si>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</si>
  <si>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</si>
  <si>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</si>
  <si>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</si>
  <si>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</si>
  <si>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</si>
  <si>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</si>
  <si>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</si>
  <si>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</si>
  <si>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</si>
  <si>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</si>
  <si>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</si>
  <si>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</si>
  <si>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</si>
  <si>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</si>
  <si>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</si>
  <si>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</si>
  <si>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</si>
  <si>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</si>
  <si>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</si>
  <si>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</si>
  <si>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</si>
  <si>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</si>
  <si>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</si>
  <si>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</si>
  <si>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</si>
  <si>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</si>
  <si>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</si>
  <si>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</si>
  <si>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</si>
  <si>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</si>
  <si>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</si>
  <si>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</si>
  <si>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</si>
  <si>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</si>
  <si>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</si>
  <si>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</si>
  <si>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</si>
  <si>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</si>
  <si>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</si>
  <si>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</si>
  <si>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</si>
  <si>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</si>
  <si>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</si>
  <si>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</si>
  <si>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</si>
  <si>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</si>
  <si>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</si>
  <si>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</si>
  <si>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</si>
  <si>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</si>
  <si>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</si>
  <si>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</si>
  <si>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</si>
  <si>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</si>
  <si>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</si>
  <si>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</si>
  <si>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</si>
  <si>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</si>
  <si>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</si>
  <si>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</si>
  <si>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</si>
  <si>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</si>
  <si>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</si>
  <si>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</si>
  <si>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</si>
  <si>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</si>
  <si>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</si>
  <si>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</si>
  <si>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</si>
  <si>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</si>
  <si>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</si>
  <si>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</si>
  <si>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</si>
  <si>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</si>
  <si>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</si>
  <si>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</si>
  <si>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</si>
  <si>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</si>
  <si>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</si>
  <si>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</si>
  <si>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</si>
  <si>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</si>
  <si>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</si>
  <si>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</si>
  <si>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</si>
  <si>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</si>
  <si>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</si>
  <si>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</si>
  <si>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</si>
  <si>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</si>
  <si>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</si>
  <si>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</si>
  <si>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</si>
  <si>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</si>
  <si>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</si>
  <si>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</si>
  <si>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</si>
  <si>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</si>
  <si>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</si>
  <si>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</si>
  <si>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</si>
  <si>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</si>
  <si>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</si>
  <si>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</si>
  <si>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</si>
  <si>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</si>
  <si>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</si>
  <si>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</si>
  <si>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</si>
  <si>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</si>
  <si>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</si>
  <si>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</si>
  <si>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</si>
  <si>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</si>
  <si>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</si>
  <si>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</si>
  <si>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</si>
  <si>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</si>
  <si>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</si>
  <si>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</si>
  <si>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</si>
  <si>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</si>
  <si>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</si>
  <si>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</si>
  <si>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</si>
  <si>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</si>
  <si>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</si>
  <si>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</si>
  <si>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</si>
  <si>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</si>
  <si>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</si>
  <si>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</si>
  <si>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</si>
  <si>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</si>
  <si>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</si>
  <si>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</si>
  <si>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</si>
  <si>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</si>
  <si>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</si>
  <si>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</si>
  <si>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</si>
  <si>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</si>
  <si>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</si>
  <si>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</si>
  <si>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</si>
  <si>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</si>
  <si>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</si>
  <si>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</si>
  <si>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</si>
  <si>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</si>
  <si>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</si>
  <si>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</si>
  <si>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</si>
  <si>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</si>
  <si>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</si>
  <si>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</si>
  <si>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</si>
  <si>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</si>
  <si>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</si>
  <si>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</si>
  <si>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</si>
  <si>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</si>
  <si>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</si>
  <si>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</si>
  <si>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</si>
  <si>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</si>
  <si>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</si>
  <si>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</si>
  <si>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</si>
  <si>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</si>
  <si>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</si>
  <si>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</si>
  <si>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</si>
  <si>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</si>
  <si>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</si>
  <si>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</si>
  <si>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</si>
  <si>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</si>
  <si>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</si>
  <si>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</si>
  <si>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</si>
  <si>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</si>
  <si>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</si>
  <si>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</si>
  <si>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</si>
  <si>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</si>
  <si>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</si>
  <si>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</si>
  <si>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</si>
  <si>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</si>
  <si>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</si>
  <si>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</si>
  <si>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</si>
  <si>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</si>
  <si>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</si>
  <si>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</si>
  <si>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</si>
  <si>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</si>
  <si>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</si>
  <si>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</si>
  <si>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</si>
  <si>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</si>
  <si>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</si>
  <si>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</si>
  <si>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</si>
  <si>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</si>
  <si>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</si>
  <si>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</si>
  <si>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</si>
  <si>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</si>
  <si>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</si>
  <si>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</si>
  <si>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</si>
  <si>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</si>
  <si>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</si>
  <si>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</si>
  <si>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</si>
  <si>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</si>
  <si>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</si>
  <si>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</si>
  <si>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</si>
  <si>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</si>
  <si>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</si>
  <si>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</si>
  <si>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</si>
  <si>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</si>
  <si>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</si>
  <si>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</si>
  <si>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</si>
  <si>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</si>
  <si>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</si>
  <si>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</si>
  <si>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</si>
  <si>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</si>
  <si>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</si>
  <si>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</si>
  <si>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</si>
  <si>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</si>
  <si>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</si>
  <si>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</si>
  <si>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</si>
  <si>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</si>
  <si>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</si>
  <si>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</si>
  <si>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</si>
  <si>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</si>
  <si>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</si>
  <si>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</si>
  <si>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</si>
  <si>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</si>
  <si>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</si>
  <si>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</si>
  <si>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</si>
  <si>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</si>
  <si>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</si>
  <si>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</si>
  <si>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</si>
  <si>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</si>
  <si>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</si>
  <si>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</si>
  <si>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</si>
  <si>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</si>
  <si>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</si>
  <si>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</si>
  <si>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</si>
  <si>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</si>
  <si>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</si>
  <si>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</si>
  <si>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</si>
  <si>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</si>
  <si>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</si>
  <si>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</si>
  <si>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</si>
  <si>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</si>
  <si>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</si>
  <si>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</si>
  <si>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</si>
  <si>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</si>
  <si>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</si>
  <si>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</si>
  <si>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</si>
  <si>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</si>
  <si>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</si>
  <si>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</si>
  <si>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</si>
  <si>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</si>
  <si>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</si>
  <si>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</si>
  <si>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</si>
  <si>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</si>
  <si>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</si>
  <si>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</si>
  <si>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</si>
  <si>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</si>
  <si>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</si>
  <si>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</si>
  <si>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</si>
  <si>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</si>
  <si>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</si>
  <si>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</si>
  <si>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</si>
  <si>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</si>
  <si>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</si>
  <si>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</si>
  <si>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</si>
  <si>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</si>
  <si>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</si>
  <si>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</si>
  <si>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</si>
  <si>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</si>
  <si>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</si>
  <si>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</si>
  <si>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</si>
  <si>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</si>
  <si>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</si>
  <si>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</si>
  <si>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</si>
  <si>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</si>
  <si>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</si>
  <si>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</si>
  <si>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</si>
  <si>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</si>
  <si>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</si>
  <si>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</si>
  <si>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</si>
  <si>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</si>
  <si>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</si>
  <si>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</si>
  <si>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</si>
  <si>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</si>
  <si>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</si>
  <si>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</si>
  <si>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</si>
  <si>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</si>
  <si>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</si>
  <si>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</si>
  <si>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</si>
  <si>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</si>
  <si>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</si>
  <si>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</si>
  <si>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</si>
  <si>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</si>
  <si>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</si>
  <si>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</si>
  <si>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</si>
  <si>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</si>
  <si>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</si>
  <si>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</si>
  <si>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</si>
  <si>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</si>
  <si>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</si>
  <si>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</si>
  <si>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</si>
  <si>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</si>
  <si>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</si>
  <si>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</si>
  <si>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</si>
  <si>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</si>
  <si>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</si>
  <si>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</si>
  <si>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</si>
  <si>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</si>
  <si>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</si>
  <si>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</si>
  <si>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</si>
  <si>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</si>
  <si>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</si>
  <si>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</si>
  <si>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</si>
  <si>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</si>
  <si>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</si>
  <si>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</si>
  <si>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</si>
  <si>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</si>
  <si>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</si>
  <si>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</si>
  <si>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</si>
  <si>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</si>
  <si>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</si>
  <si>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</si>
  <si>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</si>
  <si>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</si>
  <si>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</si>
  <si>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</si>
  <si>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</si>
  <si>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</si>
  <si>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</si>
  <si>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</si>
  <si>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</si>
  <si>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</si>
  <si>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</si>
  <si>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</si>
  <si>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</si>
  <si>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</si>
  <si>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</si>
  <si>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</si>
  <si>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</si>
  <si>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</si>
  <si>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</si>
  <si>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</si>
  <si>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</si>
  <si>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</si>
  <si>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</si>
  <si>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</si>
  <si>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</si>
  <si>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</si>
  <si>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</si>
  <si>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</si>
  <si>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</si>
  <si>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</si>
  <si>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</si>
  <si>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</si>
  <si>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</si>
  <si>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</si>
  <si>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</si>
  <si>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</si>
  <si>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</si>
  <si>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</si>
  <si>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</si>
  <si>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</si>
  <si>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</si>
  <si>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</si>
  <si>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</si>
  <si>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</si>
  <si>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</si>
  <si>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</si>
  <si>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</si>
  <si>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</si>
  <si>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</si>
  <si>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</si>
  <si>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</si>
  <si>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</si>
  <si>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</si>
  <si>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</si>
  <si>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</si>
  <si>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</si>
  <si>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</si>
  <si>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</si>
  <si>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</si>
  <si>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</si>
  <si>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</si>
  <si>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</si>
  <si>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</si>
  <si>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</si>
  <si>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</si>
  <si>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</si>
  <si>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</si>
  <si>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</si>
  <si>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</si>
  <si>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</si>
  <si>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</si>
  <si>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</si>
  <si>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</si>
  <si>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</si>
  <si>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</si>
  <si>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</si>
  <si>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</si>
  <si>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</si>
  <si>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</si>
  <si>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</si>
  <si>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</si>
  <si>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</si>
  <si>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</si>
  <si>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</si>
  <si>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</si>
  <si>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</si>
  <si>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</si>
  <si>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</si>
  <si>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</si>
  <si>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</si>
  <si>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</si>
  <si>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</si>
  <si>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</si>
  <si>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</si>
  <si>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</si>
  <si>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</si>
  <si>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</si>
  <si>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</si>
  <si>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</si>
  <si>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</si>
  <si>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</si>
  <si>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</si>
  <si>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</si>
  <si>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</si>
  <si>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</si>
  <si>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</si>
  <si>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</si>
  <si>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</si>
  <si>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</si>
  <si>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</si>
  <si>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</si>
  <si>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</si>
  <si>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</si>
  <si>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</si>
  <si>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</si>
  <si>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</si>
  <si>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</si>
  <si>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</si>
  <si>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</si>
  <si>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</si>
  <si>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</si>
  <si>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</si>
  <si>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</si>
  <si>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</si>
  <si>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</si>
  <si>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</si>
  <si>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</si>
  <si>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</si>
  <si>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</si>
  <si>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</si>
  <si>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</si>
  <si>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</si>
  <si>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</si>
  <si>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</si>
  <si>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</si>
  <si>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</si>
  <si>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</si>
  <si>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</si>
  <si>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</si>
  <si>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</si>
  <si>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</si>
  <si>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</si>
  <si>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</si>
  <si>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</si>
  <si>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</si>
  <si>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</si>
  <si>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</si>
  <si>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</si>
  <si>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</si>
  <si>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</si>
  <si>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</si>
  <si>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</si>
  <si>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</si>
  <si>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</si>
  <si>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</si>
  <si>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</si>
  <si>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</si>
  <si>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</si>
  <si>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</si>
  <si>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</si>
  <si>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</si>
  <si>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</si>
  <si>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</si>
  <si>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</si>
  <si>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</si>
  <si>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</si>
  <si>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</si>
  <si>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</si>
  <si>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</si>
  <si>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</si>
  <si>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</si>
  <si>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</si>
  <si>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</si>
  <si>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</si>
  <si>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</si>
  <si>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</si>
  <si>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</si>
  <si>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</si>
  <si>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</si>
  <si>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</si>
  <si>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</si>
  <si>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</si>
  <si>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</si>
  <si>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</si>
  <si>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</si>
  <si>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</si>
  <si>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</si>
  <si>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</si>
  <si>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</si>
  <si>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</si>
  <si>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</si>
  <si>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</si>
  <si>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</si>
  <si>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</si>
  <si>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</si>
  <si>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</si>
  <si>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</si>
  <si>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</si>
  <si>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</si>
  <si>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</si>
  <si>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</si>
  <si>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</si>
  <si>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</si>
  <si>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</si>
  <si>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</si>
  <si>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</si>
  <si>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</si>
  <si>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</si>
  <si>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</si>
  <si>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</si>
  <si>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</si>
  <si>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</si>
  <si>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</si>
  <si>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</si>
  <si>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</si>
  <si>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</si>
  <si>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</si>
  <si>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</si>
  <si>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</si>
  <si>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</si>
  <si>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</si>
  <si>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</si>
  <si>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</si>
  <si>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</si>
  <si>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</si>
  <si>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</si>
  <si>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</si>
  <si>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</si>
  <si>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</si>
  <si>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</si>
  <si>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</si>
  <si>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</si>
  <si>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</si>
  <si>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</si>
  <si>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</si>
  <si>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</si>
  <si>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</si>
  <si>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</si>
  <si>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</si>
  <si>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</si>
  <si>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</si>
  <si>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</si>
  <si>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</si>
  <si>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</si>
  <si>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</si>
  <si>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</si>
  <si>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</si>
  <si>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</si>
  <si>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</si>
  <si>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</si>
  <si>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</si>
  <si>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</si>
  <si>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</si>
  <si>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</si>
  <si>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</si>
  <si>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</si>
  <si>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</si>
  <si>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</si>
  <si>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</si>
  <si>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</si>
  <si>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</si>
  <si>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</si>
  <si>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</si>
  <si>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</si>
  <si>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</si>
  <si>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</si>
  <si>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</si>
  <si>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</si>
  <si>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</si>
  <si>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</si>
  <si>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</si>
  <si>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</si>
  <si>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</si>
  <si>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</si>
  <si>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</si>
  <si>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</si>
  <si>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</si>
  <si>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</si>
  <si>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</si>
  <si>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</si>
  <si>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</si>
  <si>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</si>
  <si>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</si>
  <si>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</si>
  <si>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</si>
  <si>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</si>
  <si>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</si>
  <si>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</si>
  <si>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</si>
  <si>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</si>
  <si>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</si>
  <si>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</si>
  <si>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</si>
  <si>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</si>
  <si>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</si>
  <si>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</si>
  <si>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</si>
  <si>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</si>
  <si>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</si>
  <si>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</si>
  <si>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</si>
  <si>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</si>
  <si>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</si>
  <si>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</si>
  <si>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</si>
  <si>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</si>
  <si>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</si>
  <si>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</si>
  <si>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</si>
  <si>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</si>
  <si>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</si>
  <si>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</si>
  <si>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</si>
  <si>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</si>
  <si>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</si>
  <si>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</si>
  <si>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</si>
  <si>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</si>
  <si>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</si>
  <si>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</si>
  <si>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</si>
  <si>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</si>
  <si>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</si>
  <si>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</si>
  <si>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</si>
  <si>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</si>
  <si>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</si>
  <si>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</si>
  <si>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</si>
  <si>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</si>
  <si>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</si>
  <si>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</si>
  <si>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</si>
  <si>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</si>
  <si>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</si>
  <si>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</si>
  <si>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</si>
  <si>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</si>
  <si>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</si>
  <si>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</si>
  <si>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</si>
  <si>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</si>
  <si>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</si>
  <si>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</si>
  <si>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</si>
  <si>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</si>
  <si>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</si>
  <si>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</si>
  <si>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</si>
  <si>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</si>
  <si>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</si>
  <si>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</si>
  <si>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</si>
  <si>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</si>
  <si>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</si>
  <si>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</si>
  <si>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</si>
  <si>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</si>
  <si>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</si>
  <si>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</si>
  <si>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</si>
  <si>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</si>
  <si>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</si>
  <si>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</si>
  <si>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</si>
  <si>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</si>
  <si>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</si>
  <si>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</si>
  <si>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</si>
  <si>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</si>
  <si>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</si>
  <si>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</si>
  <si>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</si>
  <si>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</si>
  <si>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</si>
  <si>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</si>
  <si>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</si>
  <si>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</si>
  <si>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</si>
  <si>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</si>
  <si>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</si>
  <si>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</si>
  <si>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</si>
  <si>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</si>
  <si>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</si>
  <si>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</si>
  <si>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</si>
  <si>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</si>
  <si>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</si>
  <si>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</si>
  <si>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</si>
  <si>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</si>
  <si>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</si>
  <si>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</si>
  <si>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</si>
  <si>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</si>
  <si>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</si>
  <si>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</si>
  <si>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</si>
  <si>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</si>
  <si>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</si>
  <si>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</si>
  <si>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</si>
  <si>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</si>
  <si>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</si>
  <si>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</si>
  <si>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</si>
  <si>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</si>
  <si>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</si>
  <si>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</si>
  <si>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</si>
  <si>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</si>
  <si>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</si>
  <si>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</si>
  <si>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</si>
  <si>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</si>
  <si>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</si>
  <si>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</si>
  <si>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</si>
  <si>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</si>
  <si>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</si>
  <si>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</si>
  <si>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</si>
  <si>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</si>
  <si>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</si>
  <si>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</si>
  <si>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</si>
  <si>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</si>
  <si>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</si>
  <si>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</si>
  <si>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</si>
  <si>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</si>
  <si>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</si>
  <si>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</si>
  <si>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</si>
  <si>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</si>
  <si>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</si>
  <si>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</si>
  <si>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</si>
  <si>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</si>
  <si>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</si>
  <si>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</si>
  <si>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</si>
  <si>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</si>
  <si>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</si>
  <si>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</si>
  <si>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</si>
  <si>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</si>
  <si>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</si>
  <si>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</si>
  <si>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</si>
  <si>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</si>
  <si>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</si>
  <si>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</si>
  <si>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</si>
  <si>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</si>
  <si>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</si>
  <si>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</si>
  <si>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</si>
  <si>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</si>
  <si>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</si>
  <si>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</si>
  <si>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</si>
  <si>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</si>
  <si>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</si>
  <si>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</si>
  <si>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</si>
  <si>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</si>
  <si>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</si>
  <si>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</si>
  <si>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</si>
  <si>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</si>
  <si>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</si>
  <si>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</si>
  <si>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</si>
  <si>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</si>
  <si>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</si>
  <si>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</si>
  <si>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</si>
  <si>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</si>
  <si>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</si>
  <si>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</si>
  <si>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</si>
  <si>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</si>
  <si>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</si>
  <si>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</si>
  <si>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</si>
  <si>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</si>
  <si>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</si>
  <si>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</si>
  <si>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</si>
  <si>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</si>
  <si>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</si>
  <si>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</si>
  <si>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</si>
  <si>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</si>
  <si>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</si>
  <si>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</si>
  <si>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</si>
  <si>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</si>
  <si>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</si>
  <si>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</si>
  <si>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</si>
  <si>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</si>
  <si>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</si>
  <si>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</si>
  <si>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</si>
  <si>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</si>
  <si>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</si>
  <si>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</si>
  <si>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</si>
  <si>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</si>
  <si>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</si>
  <si>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</si>
  <si>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</si>
  <si>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</si>
  <si>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</si>
  <si>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</si>
  <si>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</si>
  <si>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</si>
  <si>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</si>
  <si>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</si>
  <si>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</si>
  <si>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</si>
  <si>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</si>
  <si>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</si>
  <si>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</si>
  <si>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</si>
  <si>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</si>
  <si>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</si>
  <si>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</si>
  <si>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</si>
  <si>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</si>
  <si>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</si>
  <si>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</si>
  <si>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</si>
  <si>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</si>
  <si>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</si>
  <si>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</si>
  <si>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</si>
  <si>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</si>
  <si>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</si>
  <si>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</si>
  <si>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</si>
  <si>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</si>
  <si>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</si>
  <si>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</si>
  <si>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</si>
  <si>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</si>
  <si>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</si>
  <si>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</si>
  <si>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</si>
  <si>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</si>
  <si>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</si>
  <si>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</si>
  <si>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</si>
  <si>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</si>
  <si>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</si>
  <si>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</si>
  <si>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</si>
  <si>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</si>
  <si>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</si>
  <si>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</si>
  <si>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</si>
  <si>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</si>
  <si>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</si>
  <si>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</si>
  <si>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</si>
  <si>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</si>
  <si>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</si>
  <si>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</si>
  <si>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</si>
  <si>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</si>
  <si>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</si>
  <si>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</si>
  <si>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</si>
  <si>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</si>
  <si>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</si>
  <si>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</si>
  <si>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</si>
  <si>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</si>
  <si>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</si>
  <si>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</si>
  <si>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</si>
  <si>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</si>
  <si>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</si>
  <si>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</si>
  <si>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</si>
  <si>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</si>
  <si>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</si>
  <si>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</si>
  <si>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</si>
  <si>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</si>
  <si>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</si>
  <si>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</si>
  <si>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</si>
  <si>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</si>
  <si>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</si>
  <si>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</si>
  <si>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</si>
  <si>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</si>
  <si>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</si>
  <si>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</si>
  <si>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</si>
  <si>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</si>
  <si>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</si>
  <si>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</si>
  <si>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</si>
  <si>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</si>
  <si>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</si>
  <si>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</si>
  <si>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</si>
  <si>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</si>
  <si>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</si>
  <si>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</si>
  <si>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</si>
  <si>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</si>
  <si>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</si>
  <si>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</si>
  <si>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</si>
  <si>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</si>
  <si>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</si>
  <si>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</si>
  <si>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</si>
  <si>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</si>
  <si>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</si>
  <si>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</si>
  <si>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</si>
  <si>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</si>
  <si>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</si>
  <si>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</si>
  <si>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</si>
  <si>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</si>
  <si>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</si>
  <si>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</si>
  <si>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</si>
  <si>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</si>
  <si>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</si>
  <si>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</si>
  <si>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</si>
  <si>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</si>
  <si>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</si>
  <si>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</si>
  <si>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</si>
  <si>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</si>
  <si>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</si>
  <si>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</si>
  <si>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</si>
  <si>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</si>
  <si>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</si>
  <si>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</si>
  <si>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</si>
  <si>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</si>
  <si>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</si>
  <si>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</si>
  <si>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</si>
  <si>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</si>
  <si>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</si>
  <si>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</si>
  <si>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</si>
  <si>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</si>
  <si>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</si>
  <si>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</si>
  <si>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</si>
  <si>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</si>
  <si>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</si>
  <si>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</si>
  <si>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</si>
  <si>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</si>
  <si>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</si>
  <si>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</si>
  <si>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</si>
  <si>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</si>
  <si>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</si>
  <si>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</si>
  <si>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</si>
  <si>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</si>
  <si>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</si>
  <si>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</si>
  <si>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</si>
  <si>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</si>
  <si>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</si>
  <si>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</si>
  <si>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</si>
  <si>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</si>
  <si>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</si>
  <si>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</si>
  <si>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</si>
  <si>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</si>
  <si>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</si>
  <si>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</si>
  <si>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</si>
  <si>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</si>
  <si>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</si>
  <si>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</si>
  <si>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</si>
  <si>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</si>
  <si>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</si>
  <si>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</si>
  <si>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</si>
  <si>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</si>
  <si>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</si>
  <si>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</si>
  <si>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</si>
  <si>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</si>
  <si>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</si>
  <si>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</si>
  <si>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</si>
  <si>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</si>
  <si>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</si>
  <si>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</si>
  <si>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</si>
  <si>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</si>
  <si>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</si>
  <si>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</si>
  <si>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</si>
  <si>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</si>
  <si>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</si>
  <si>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</si>
  <si>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</si>
  <si>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</si>
  <si>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</si>
  <si>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</si>
  <si>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</si>
  <si>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</si>
  <si>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</si>
  <si>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</si>
  <si>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</si>
  <si>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</si>
  <si>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</si>
  <si>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</si>
  <si>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</si>
  <si>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</si>
  <si>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</si>
  <si>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</si>
  <si>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</si>
  <si>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</si>
  <si>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</si>
  <si>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</si>
  <si>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</si>
  <si>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</si>
  <si>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</si>
  <si>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</si>
  <si>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</si>
  <si>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</si>
  <si>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</si>
  <si>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</si>
  <si>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</si>
  <si>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</si>
  <si>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</si>
  <si>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</si>
  <si>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</si>
  <si>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</si>
  <si>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</si>
  <si>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</si>
  <si>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</si>
  <si>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</si>
  <si>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</si>
  <si>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</si>
  <si>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</si>
  <si>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</si>
  <si>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</si>
  <si>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</si>
  <si>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</si>
  <si>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</si>
  <si>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</si>
  <si>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</si>
  <si>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</si>
  <si>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</si>
  <si>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</si>
  <si>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</si>
  <si>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</si>
  <si>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</si>
  <si>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</si>
  <si>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</si>
  <si>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</si>
  <si>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</si>
  <si>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</si>
  <si>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</si>
  <si>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</si>
  <si>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</si>
  <si>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</si>
  <si>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</si>
  <si>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</si>
  <si>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</si>
  <si>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</si>
  <si>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</si>
  <si>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</si>
  <si>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</si>
  <si>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</si>
  <si>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</si>
  <si>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</si>
  <si>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</si>
  <si>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</si>
  <si>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</si>
  <si>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</si>
  <si>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</si>
  <si>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</si>
  <si>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</si>
  <si>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</si>
  <si>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</si>
  <si>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</si>
  <si>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</si>
  <si>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</si>
  <si>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</si>
  <si>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</si>
  <si>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</si>
  <si>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</si>
  <si>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</si>
  <si>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</si>
  <si>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</si>
  <si>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</si>
  <si>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</si>
  <si>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</si>
  <si>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</si>
  <si>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</si>
  <si>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</si>
  <si>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</si>
  <si>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</si>
  <si>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</si>
  <si>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</si>
  <si>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</si>
  <si>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</si>
  <si>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</si>
  <si>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</si>
  <si>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</si>
  <si>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</si>
  <si>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</si>
  <si>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</si>
  <si>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</si>
  <si>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</si>
  <si>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</si>
  <si>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</si>
  <si>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</si>
  <si>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</si>
  <si>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</si>
  <si>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</si>
  <si>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</si>
  <si>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</si>
  <si>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</si>
  <si>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</si>
  <si>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</si>
  <si>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</si>
  <si>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</si>
  <si>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</si>
  <si>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</si>
  <si>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</si>
  <si>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</si>
  <si>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</si>
  <si>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</si>
  <si>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</si>
  <si>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</si>
  <si>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</si>
  <si>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</si>
  <si>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</si>
  <si>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</si>
  <si>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</si>
  <si>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</si>
  <si>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</si>
  <si>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</si>
  <si>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</si>
  <si>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</si>
  <si>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</si>
  <si>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</si>
  <si>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</si>
  <si>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</si>
  <si>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</si>
  <si>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</si>
  <si>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</si>
  <si>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</si>
  <si>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</si>
  <si>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</si>
  <si>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</si>
  <si>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</si>
  <si>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</si>
  <si>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</si>
  <si>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</si>
  <si>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</si>
  <si>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</si>
  <si>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</si>
  <si>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</si>
  <si>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</si>
  <si>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</si>
  <si>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</si>
  <si>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</si>
  <si>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</si>
  <si>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</si>
  <si>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</si>
  <si>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</si>
  <si>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</si>
  <si>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</si>
  <si>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</si>
  <si>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</si>
  <si>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</si>
  <si>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</si>
  <si>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</si>
  <si>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</si>
  <si>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</si>
  <si>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</si>
  <si>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</si>
  <si>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</si>
  <si>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</si>
  <si>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</si>
  <si>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</si>
  <si>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</si>
  <si>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</si>
  <si>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</si>
  <si>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</si>
  <si>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</si>
  <si>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</si>
  <si>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</si>
  <si>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</si>
  <si>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</si>
  <si>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</si>
  <si>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</si>
  <si>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</si>
  <si>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</si>
  <si>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</si>
  <si>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</si>
  <si>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</si>
  <si>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</si>
  <si>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</si>
  <si>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</si>
  <si>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</si>
  <si>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</si>
  <si>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</si>
  <si>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</si>
  <si>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</si>
  <si>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</si>
  <si>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</si>
  <si>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</si>
  <si>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</si>
  <si>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</si>
  <si>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</si>
  <si>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</si>
  <si>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</si>
  <si>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</si>
  <si>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</si>
  <si>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</si>
  <si>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</si>
  <si>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</si>
  <si>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</si>
  <si>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</si>
  <si>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</si>
  <si>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</si>
  <si>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</si>
  <si>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</si>
  <si>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</si>
  <si>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</si>
  <si>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</si>
  <si>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</si>
  <si>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</si>
  <si>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</si>
  <si>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</si>
  <si>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</si>
  <si>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</si>
  <si>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</si>
  <si>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</si>
  <si>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</si>
  <si>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</si>
  <si>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</si>
  <si>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</si>
  <si>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</si>
  <si>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</si>
  <si>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</si>
  <si>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</si>
  <si>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</si>
  <si>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</si>
  <si>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</si>
  <si>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</si>
  <si>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</si>
  <si>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</si>
  <si>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</si>
  <si>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</si>
  <si>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</si>
  <si>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</si>
  <si>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</si>
  <si>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</si>
  <si>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</si>
  <si>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</si>
  <si>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</si>
  <si>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</si>
  <si>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</si>
  <si>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</si>
  <si>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</si>
  <si>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</si>
  <si>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</si>
  <si>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</si>
  <si>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</si>
  <si>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</si>
  <si>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</si>
  <si>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</si>
  <si>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</si>
  <si>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</si>
  <si>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</si>
  <si>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</si>
  <si>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</si>
  <si>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</si>
  <si>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</si>
  <si>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</si>
  <si>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</si>
  <si>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</si>
  <si>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</si>
  <si>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</si>
  <si>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</si>
  <si>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</si>
  <si>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</si>
  <si>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</si>
  <si>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</si>
  <si>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</si>
  <si>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</si>
  <si>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</si>
  <si>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</si>
  <si>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</si>
  <si>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</si>
  <si>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</si>
  <si>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</si>
  <si>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</si>
  <si>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</si>
  <si>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</si>
  <si>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</si>
  <si>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</si>
  <si>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</si>
  <si>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</si>
  <si>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</si>
  <si>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</si>
  <si>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</si>
  <si>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</si>
  <si>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</si>
  <si>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</si>
  <si>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</si>
  <si>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</si>
  <si>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</si>
  <si>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</si>
  <si>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</si>
  <si>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</si>
  <si>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</si>
  <si>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</si>
  <si>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</si>
  <si>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</si>
  <si>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</si>
  <si>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</si>
  <si>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</si>
  <si>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</si>
  <si>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</si>
  <si>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</si>
  <si>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</si>
  <si>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</si>
  <si>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</si>
  <si>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</si>
  <si>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</si>
  <si>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</si>
  <si>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</si>
  <si>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</si>
  <si>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</si>
  <si>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</si>
  <si>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</si>
  <si>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</si>
  <si>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</si>
  <si>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</si>
  <si>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</si>
  <si>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</si>
  <si>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</si>
  <si>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</si>
  <si>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</si>
  <si>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</si>
  <si>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</si>
  <si>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</si>
  <si>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</si>
  <si>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</si>
  <si>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</si>
  <si>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</si>
  <si>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</si>
  <si>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</si>
  <si>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</si>
  <si>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</si>
  <si>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</si>
  <si>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</si>
  <si>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</si>
  <si>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</si>
  <si>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</si>
  <si>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</si>
  <si>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</si>
  <si>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</si>
  <si>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</si>
  <si>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</si>
  <si>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</si>
  <si>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</si>
  <si>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</si>
  <si>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</si>
  <si>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</si>
  <si>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</si>
  <si>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</si>
  <si>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</si>
  <si>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</si>
  <si>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</si>
  <si>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</si>
  <si>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</si>
  <si>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</si>
  <si>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</si>
  <si>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</si>
  <si>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</si>
  <si>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</si>
  <si>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</si>
  <si>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</si>
  <si>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</si>
  <si>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</si>
  <si>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</si>
  <si>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</si>
  <si>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</si>
  <si>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</si>
  <si>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</si>
  <si>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</si>
  <si>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</si>
  <si>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</si>
  <si>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</si>
  <si>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</si>
  <si>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</si>
  <si>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</si>
  <si>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</si>
  <si>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</si>
  <si>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</si>
  <si>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</si>
  <si>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</si>
  <si>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</si>
  <si>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</si>
  <si>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</si>
  <si>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</si>
  <si>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</si>
  <si>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</si>
  <si>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</si>
  <si>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</si>
  <si>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</si>
  <si>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</si>
  <si>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</si>
  <si>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</si>
  <si>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</si>
  <si>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</si>
  <si>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</si>
  <si>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</si>
  <si>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</si>
  <si>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</si>
  <si>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</si>
  <si>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</si>
  <si>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</si>
  <si>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</si>
  <si>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</si>
  <si>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</si>
  <si>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</si>
  <si>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</si>
  <si>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</si>
  <si>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</si>
  <si>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</si>
  <si>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</si>
  <si>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</si>
  <si>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</si>
  <si>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</si>
  <si>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</si>
  <si>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</si>
  <si>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</si>
  <si>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</si>
  <si>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</si>
  <si>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</si>
  <si>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</si>
  <si>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</si>
  <si>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</si>
  <si>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</si>
  <si>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</si>
  <si>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</si>
  <si>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</si>
  <si>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</si>
  <si>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</si>
  <si>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</si>
  <si>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</si>
  <si>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</si>
  <si>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</si>
  <si>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</si>
  <si>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</si>
  <si>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</si>
  <si>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</si>
  <si>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</si>
  <si>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</si>
  <si>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</si>
  <si>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</si>
  <si>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</si>
  <si>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</si>
  <si>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</si>
  <si>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</si>
  <si>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</si>
  <si>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</si>
  <si>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</si>
  <si>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</si>
  <si>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10225</t>
  </si>
  <si>
    <t>1225</t>
  </si>
  <si>
    <t>虚无钳虫王</t>
  </si>
  <si>
    <t>1E+263</t>
  </si>
  <si>
    <t>1E+276</t>
  </si>
  <si>
    <t>10226</t>
  </si>
  <si>
    <t>1226</t>
  </si>
  <si>
    <t>虚无蠕虫王</t>
  </si>
  <si>
    <t>1E+266</t>
  </si>
  <si>
    <t>1E+279</t>
  </si>
  <si>
    <t>1E+141</t>
  </si>
  <si>
    <t>59000000000000</t>
  </si>
  <si>
    <t>10227</t>
  </si>
  <si>
    <t>1227</t>
  </si>
  <si>
    <t>虚无猪王</t>
  </si>
  <si>
    <t>1E+269</t>
  </si>
  <si>
    <t>1E+282</t>
  </si>
  <si>
    <t>1E+256</t>
  </si>
  <si>
    <t>60000000000000</t>
  </si>
  <si>
    <t>10228</t>
  </si>
  <si>
    <t>1228</t>
  </si>
  <si>
    <t>虚无猪皇</t>
  </si>
  <si>
    <t>1E+272</t>
  </si>
  <si>
    <t>1E+285</t>
  </si>
  <si>
    <t>61000000000000</t>
  </si>
  <si>
    <t>10229</t>
  </si>
  <si>
    <t>1229</t>
  </si>
  <si>
    <t>虚无蝎王</t>
  </si>
  <si>
    <t>1E+275</t>
  </si>
  <si>
    <t>1E+288</t>
  </si>
  <si>
    <t>62000000000000</t>
  </si>
  <si>
    <t>10230</t>
  </si>
  <si>
    <t>1230</t>
  </si>
  <si>
    <t>虚无恶魔教主</t>
  </si>
  <si>
    <t>1E+291</t>
  </si>
  <si>
    <t>1E+153</t>
  </si>
  <si>
    <t>1E+262</t>
  </si>
  <si>
    <t>63000000000000</t>
  </si>
  <si>
    <t>10231</t>
  </si>
  <si>
    <t>1231</t>
  </si>
  <si>
    <t>虚无恶魔教皇</t>
  </si>
  <si>
    <t>1E+277</t>
  </si>
  <si>
    <t>1E+294</t>
  </si>
  <si>
    <t>64000000000000</t>
  </si>
  <si>
    <t>10232</t>
  </si>
  <si>
    <t>1232</t>
  </si>
  <si>
    <t>虚无邪魔教主</t>
  </si>
  <si>
    <t>1E+278</t>
  </si>
  <si>
    <t>1E+297</t>
  </si>
  <si>
    <t>1E+159</t>
  </si>
  <si>
    <t>65000000000000</t>
  </si>
  <si>
    <t>10233</t>
  </si>
  <si>
    <t>1233</t>
  </si>
  <si>
    <t>虚无邪魔教皇</t>
  </si>
  <si>
    <t>1E+300</t>
  </si>
  <si>
    <t>1E+268</t>
  </si>
  <si>
    <t>66000000000000</t>
  </si>
  <si>
    <t>10234</t>
  </si>
  <si>
    <t>1234</t>
  </si>
  <si>
    <t>虚无虹魔猪王</t>
  </si>
  <si>
    <t>1E+280</t>
  </si>
  <si>
    <t>1E+303</t>
  </si>
  <si>
    <t>1E+165</t>
  </si>
  <si>
    <t>67000000000000</t>
  </si>
  <si>
    <t>10235</t>
  </si>
  <si>
    <t>1235</t>
  </si>
  <si>
    <t>虚无烈焰王</t>
  </si>
  <si>
    <t>1E+281</t>
  </si>
  <si>
    <t>1E+306</t>
  </si>
  <si>
    <t>68000000000000</t>
  </si>
  <si>
    <t>10236</t>
  </si>
  <si>
    <t>1236</t>
  </si>
  <si>
    <t>虚无大邪王</t>
  </si>
  <si>
    <t>1E+309</t>
  </si>
  <si>
    <t>1E+171</t>
  </si>
  <si>
    <t>1E+274</t>
  </si>
  <si>
    <t>69000000000000</t>
  </si>
  <si>
    <t>10237</t>
  </si>
  <si>
    <t>1237</t>
  </si>
  <si>
    <t>虚无尸魔王</t>
  </si>
  <si>
    <t>1E+283</t>
  </si>
  <si>
    <t>1E+312</t>
  </si>
  <si>
    <t>1E+174</t>
  </si>
  <si>
    <t>70000000000000</t>
  </si>
  <si>
    <t>10238</t>
  </si>
  <si>
    <t>1238</t>
  </si>
  <si>
    <t>虚无骨魔王</t>
  </si>
  <si>
    <t>1E+284</t>
  </si>
  <si>
    <t>1E+315</t>
  </si>
  <si>
    <t>1E+177</t>
  </si>
  <si>
    <t>72000000000000</t>
  </si>
  <si>
    <t>10239</t>
  </si>
  <si>
    <t>1239</t>
  </si>
  <si>
    <t>虚无牛魔王</t>
  </si>
  <si>
    <t>1E+318</t>
  </si>
  <si>
    <t>74000000000000</t>
  </si>
  <si>
    <t>10240</t>
  </si>
  <si>
    <t>1240</t>
  </si>
  <si>
    <t>虚无水龙王</t>
  </si>
  <si>
    <t>1E+286</t>
  </si>
  <si>
    <t>1E+321</t>
  </si>
  <si>
    <t>1E+183</t>
  </si>
  <si>
    <t>76000000000000</t>
  </si>
  <si>
    <t>10241</t>
  </si>
  <si>
    <t>1241</t>
  </si>
  <si>
    <t>虚无土龙王</t>
  </si>
  <si>
    <t>1E+287</t>
  </si>
  <si>
    <t>1E+324</t>
  </si>
  <si>
    <t>1E+186</t>
  </si>
  <si>
    <t>78000000000000</t>
  </si>
  <si>
    <t>10242</t>
  </si>
  <si>
    <t>1242</t>
  </si>
  <si>
    <t>虚无毒龙王</t>
  </si>
  <si>
    <t>1E+327</t>
  </si>
  <si>
    <t>1E+189</t>
  </si>
  <si>
    <t>10243</t>
  </si>
  <si>
    <t>1243</t>
  </si>
  <si>
    <t>虚无火龙王</t>
  </si>
  <si>
    <t>1E+289</t>
  </si>
  <si>
    <t>1E+330</t>
  </si>
  <si>
    <t>10244</t>
  </si>
  <si>
    <t>1244</t>
  </si>
  <si>
    <t>虚无冰龙王</t>
  </si>
  <si>
    <t>1E+290</t>
  </si>
  <si>
    <t>1E+333</t>
  </si>
  <si>
    <t>84000000000000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</si>
</sst>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4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4" borderId="0" xfId="0" applyFont="1" applyFill="1"/>
    <xf numFmtId="176" fontId="1" fillId="4" borderId="0" xfId="0" applyNumberFormat="1" applyFont="1" applyFill="1" applyAlignment="1">
      <alignment horizontal="left"/>
    </xf>
    <xf numFmtId="176" fontId="3" fillId="4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176" fontId="3" fillId="4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226" workbookViewId="0">
      <selection activeCell="G256" sqref="G256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1" t="s">
        <v>42</v>
      </c>
      <c r="H6" s="31" t="s">
        <v>43</v>
      </c>
      <c r="I6" s="31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1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1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1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1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1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1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1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2" t="s">
        <v>505</v>
      </c>
      <c r="H71" s="31" t="s">
        <v>506</v>
      </c>
      <c r="I71" s="32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2" t="s">
        <v>512</v>
      </c>
      <c r="H72" s="31" t="s">
        <v>513</v>
      </c>
      <c r="I72" s="33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2" t="s">
        <v>519</v>
      </c>
      <c r="H73" s="31" t="s">
        <v>520</v>
      </c>
      <c r="I73" s="33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2" t="s">
        <v>526</v>
      </c>
      <c r="H74" s="31" t="s">
        <v>527</v>
      </c>
      <c r="I74" s="33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2" t="s">
        <v>533</v>
      </c>
      <c r="H75" s="31" t="s">
        <v>534</v>
      </c>
      <c r="I75" s="33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1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2" t="s">
        <v>540</v>
      </c>
      <c r="H76" s="31" t="s">
        <v>541</v>
      </c>
      <c r="I76" s="33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2" t="s">
        <v>546</v>
      </c>
      <c r="H77" s="31" t="s">
        <v>547</v>
      </c>
      <c r="I77" s="33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2" t="s">
        <v>552</v>
      </c>
      <c r="H78" s="31" t="s">
        <v>553</v>
      </c>
      <c r="I78" s="33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2" t="s">
        <v>558</v>
      </c>
      <c r="H79" s="31" t="s">
        <v>559</v>
      </c>
      <c r="I79" s="33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2" t="s">
        <v>564</v>
      </c>
      <c r="H80" s="31" t="s">
        <v>565</v>
      </c>
      <c r="I80" s="33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2" t="s">
        <v>570</v>
      </c>
      <c r="H81" s="31" t="s">
        <v>571</v>
      </c>
      <c r="I81" s="33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2" t="s">
        <v>576</v>
      </c>
      <c r="H82" s="31" t="s">
        <v>577</v>
      </c>
      <c r="I82" s="33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2" t="s">
        <v>582</v>
      </c>
      <c r="H83" s="31" t="s">
        <v>533</v>
      </c>
      <c r="I83" s="33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2" t="s">
        <v>587</v>
      </c>
      <c r="H84" s="31" t="s">
        <v>588</v>
      </c>
      <c r="I84" s="33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2" t="s">
        <v>465</v>
      </c>
      <c r="H85" s="31" t="s">
        <v>593</v>
      </c>
      <c r="I85" s="33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2" t="s">
        <v>598</v>
      </c>
      <c r="H86" s="31" t="s">
        <v>599</v>
      </c>
      <c r="I86" s="33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2" t="s">
        <v>604</v>
      </c>
      <c r="H87" s="31" t="s">
        <v>605</v>
      </c>
      <c r="I87" s="33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2" t="s">
        <v>610</v>
      </c>
      <c r="H88" s="31" t="s">
        <v>611</v>
      </c>
      <c r="I88" s="33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2" t="s">
        <v>616</v>
      </c>
      <c r="H89" s="31" t="s">
        <v>465</v>
      </c>
      <c r="I89" s="33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2" t="s">
        <v>621</v>
      </c>
      <c r="H90" s="31" t="s">
        <v>622</v>
      </c>
      <c r="I90" s="33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1" t="s">
        <v>624</v>
      </c>
      <c r="V90" s="31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2" t="s">
        <v>514</v>
      </c>
      <c r="H91" s="31" t="s">
        <v>628</v>
      </c>
      <c r="I91" s="33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1" t="s">
        <v>630</v>
      </c>
      <c r="V91" s="31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2" t="s">
        <v>634</v>
      </c>
      <c r="H92" s="31" t="s">
        <v>635</v>
      </c>
      <c r="I92" s="33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1" t="s">
        <v>637</v>
      </c>
      <c r="V92" s="31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2" t="s">
        <v>641</v>
      </c>
      <c r="H93" s="31" t="s">
        <v>642</v>
      </c>
      <c r="I93" s="33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1" t="s">
        <v>644</v>
      </c>
      <c r="V93" s="31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2" t="s">
        <v>648</v>
      </c>
      <c r="H94" s="31" t="s">
        <v>649</v>
      </c>
      <c r="I94" s="33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1" t="s">
        <v>651</v>
      </c>
      <c r="V94" s="31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2" t="s">
        <v>655</v>
      </c>
      <c r="H95" s="31" t="s">
        <v>656</v>
      </c>
      <c r="I95" s="33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1" t="s">
        <v>658</v>
      </c>
      <c r="V95" s="31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2" t="s">
        <v>662</v>
      </c>
      <c r="H96" s="31" t="s">
        <v>663</v>
      </c>
      <c r="I96" s="33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1" t="s">
        <v>665</v>
      </c>
      <c r="V96" s="31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2" t="s">
        <v>669</v>
      </c>
      <c r="H97" s="31" t="s">
        <v>670</v>
      </c>
      <c r="I97" s="33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1" t="s">
        <v>672</v>
      </c>
      <c r="V97" s="31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2" t="s">
        <v>676</v>
      </c>
      <c r="H98" s="31" t="s">
        <v>677</v>
      </c>
      <c r="I98" s="33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1" t="s">
        <v>679</v>
      </c>
      <c r="V98" s="31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2" t="s">
        <v>683</v>
      </c>
      <c r="H99" s="31" t="s">
        <v>684</v>
      </c>
      <c r="I99" s="33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1" t="s">
        <v>686</v>
      </c>
      <c r="V99" s="31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2" t="s">
        <v>689</v>
      </c>
      <c r="H100" s="31" t="s">
        <v>690</v>
      </c>
      <c r="I100" s="33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1" t="s">
        <v>692</v>
      </c>
      <c r="V100" s="31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2" t="s">
        <v>696</v>
      </c>
      <c r="H101" s="31" t="s">
        <v>697</v>
      </c>
      <c r="I101" s="33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1" t="s">
        <v>699</v>
      </c>
      <c r="V101" s="31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2" t="s">
        <v>703</v>
      </c>
      <c r="H102" s="31" t="s">
        <v>612</v>
      </c>
      <c r="I102" s="33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1" t="s">
        <v>705</v>
      </c>
      <c r="V102" s="31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2" t="s">
        <v>709</v>
      </c>
      <c r="H103" s="31" t="s">
        <v>617</v>
      </c>
      <c r="I103" s="33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1" t="s">
        <v>711</v>
      </c>
      <c r="V103" s="31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2" t="s">
        <v>715</v>
      </c>
      <c r="H104" s="31" t="s">
        <v>716</v>
      </c>
      <c r="I104" s="33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1" t="s">
        <v>718</v>
      </c>
      <c r="V104" s="31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2" t="s">
        <v>722</v>
      </c>
      <c r="H105" s="31" t="s">
        <v>723</v>
      </c>
      <c r="I105" s="33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1" t="s">
        <v>725</v>
      </c>
      <c r="V105" s="31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2" t="s">
        <v>729</v>
      </c>
      <c r="H106" s="31" t="s">
        <v>730</v>
      </c>
      <c r="I106" s="33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1" t="s">
        <v>732</v>
      </c>
      <c r="V106" s="31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2" t="s">
        <v>736</v>
      </c>
      <c r="H107" s="31" t="s">
        <v>737</v>
      </c>
      <c r="I107" s="33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1" t="s">
        <v>739</v>
      </c>
      <c r="V107" s="31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2" t="s">
        <v>743</v>
      </c>
      <c r="H108" s="31" t="s">
        <v>744</v>
      </c>
      <c r="I108" s="33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1" t="s">
        <v>746</v>
      </c>
      <c r="V108" s="31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2" t="s">
        <v>750</v>
      </c>
      <c r="H109" s="31" t="s">
        <v>751</v>
      </c>
      <c r="I109" s="33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1" t="s">
        <v>753</v>
      </c>
      <c r="V109" s="31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2" t="s">
        <v>678</v>
      </c>
      <c r="H110" s="31" t="s">
        <v>757</v>
      </c>
      <c r="I110" s="33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1" t="s">
        <v>759</v>
      </c>
      <c r="V110" s="31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4" t="s">
        <v>763</v>
      </c>
      <c r="H111" s="35" t="s">
        <v>763</v>
      </c>
      <c r="I111" s="36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5" t="s">
        <v>765</v>
      </c>
      <c r="V111" s="35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2" t="s">
        <v>769</v>
      </c>
      <c r="H112" s="31" t="s">
        <v>769</v>
      </c>
      <c r="I112" s="33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1" t="s">
        <v>771</v>
      </c>
      <c r="V112" s="31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2" t="s">
        <v>775</v>
      </c>
      <c r="H113" s="31" t="s">
        <v>775</v>
      </c>
      <c r="I113" s="33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1" t="s">
        <v>777</v>
      </c>
      <c r="V113" s="31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2" t="s">
        <v>781</v>
      </c>
      <c r="H114" s="31" t="s">
        <v>781</v>
      </c>
      <c r="I114" s="33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1" t="s">
        <v>783</v>
      </c>
      <c r="V114" s="31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2" t="s">
        <v>787</v>
      </c>
      <c r="H115" s="31" t="s">
        <v>787</v>
      </c>
      <c r="I115" s="33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1" t="s">
        <v>789</v>
      </c>
      <c r="V115" s="31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2" t="s">
        <v>793</v>
      </c>
      <c r="H116" s="31" t="s">
        <v>793</v>
      </c>
      <c r="I116" s="33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1" t="s">
        <v>795</v>
      </c>
      <c r="V116" s="31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2" t="s">
        <v>799</v>
      </c>
      <c r="H117" s="31" t="s">
        <v>799</v>
      </c>
      <c r="I117" s="33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1" t="s">
        <v>801</v>
      </c>
      <c r="V117" s="31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2" t="s">
        <v>805</v>
      </c>
      <c r="H118" s="31" t="s">
        <v>805</v>
      </c>
      <c r="I118" s="33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1" t="s">
        <v>807</v>
      </c>
      <c r="V118" s="31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2" t="s">
        <v>811</v>
      </c>
      <c r="H119" s="31" t="s">
        <v>811</v>
      </c>
      <c r="I119" s="33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1" t="s">
        <v>813</v>
      </c>
      <c r="V119" s="31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2" t="s">
        <v>817</v>
      </c>
      <c r="H120" s="31" t="s">
        <v>817</v>
      </c>
      <c r="I120" s="33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1" t="s">
        <v>819</v>
      </c>
      <c r="V120" s="31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2" t="s">
        <v>764</v>
      </c>
      <c r="H121" s="31" t="s">
        <v>764</v>
      </c>
      <c r="I121" s="33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1" t="s">
        <v>824</v>
      </c>
      <c r="V121" s="31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2" t="s">
        <v>828</v>
      </c>
      <c r="H122" s="31" t="s">
        <v>828</v>
      </c>
      <c r="I122" s="33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1" t="s">
        <v>830</v>
      </c>
      <c r="V122" s="31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2" t="s">
        <v>834</v>
      </c>
      <c r="H123" s="31" t="s">
        <v>834</v>
      </c>
      <c r="I123" s="33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1" t="s">
        <v>836</v>
      </c>
      <c r="V123" s="31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2" t="s">
        <v>840</v>
      </c>
      <c r="H124" s="31" t="s">
        <v>840</v>
      </c>
      <c r="I124" s="33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1" t="s">
        <v>842</v>
      </c>
      <c r="V124" s="31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2" t="s">
        <v>846</v>
      </c>
      <c r="H125" s="31" t="s">
        <v>846</v>
      </c>
      <c r="I125" s="33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1" t="s">
        <v>848</v>
      </c>
      <c r="V125" s="31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2" t="s">
        <v>852</v>
      </c>
      <c r="H126" s="31" t="s">
        <v>852</v>
      </c>
      <c r="I126" s="33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1" t="s">
        <v>854</v>
      </c>
      <c r="V126" s="31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2" t="s">
        <v>858</v>
      </c>
      <c r="H127" s="31" t="s">
        <v>858</v>
      </c>
      <c r="I127" s="33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1" t="s">
        <v>860</v>
      </c>
      <c r="V127" s="31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2" t="s">
        <v>864</v>
      </c>
      <c r="H128" s="31" t="s">
        <v>864</v>
      </c>
      <c r="I128" s="33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1" t="s">
        <v>866</v>
      </c>
      <c r="V128" s="31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2" t="s">
        <v>870</v>
      </c>
      <c r="H129" s="31" t="s">
        <v>870</v>
      </c>
      <c r="I129" s="33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1" t="s">
        <v>872</v>
      </c>
      <c r="V129" s="31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2" t="s">
        <v>876</v>
      </c>
      <c r="H130" s="31" t="s">
        <v>876</v>
      </c>
      <c r="I130" s="33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1" t="s">
        <v>878</v>
      </c>
      <c r="V130" s="31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2" t="s">
        <v>882</v>
      </c>
      <c r="H131" s="31" t="s">
        <v>882</v>
      </c>
      <c r="I131" s="33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1" t="s">
        <v>884</v>
      </c>
      <c r="V131" s="31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2" t="s">
        <v>888</v>
      </c>
      <c r="H132" s="31" t="s">
        <v>888</v>
      </c>
      <c r="I132" s="33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1" t="s">
        <v>890</v>
      </c>
      <c r="V132" s="31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2" t="s">
        <v>894</v>
      </c>
      <c r="H133" s="31" t="s">
        <v>894</v>
      </c>
      <c r="I133" s="33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1" t="s">
        <v>896</v>
      </c>
      <c r="V133" s="31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2" t="s">
        <v>900</v>
      </c>
      <c r="H134" s="31" t="s">
        <v>900</v>
      </c>
      <c r="I134" s="33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1" t="s">
        <v>902</v>
      </c>
      <c r="V134" s="31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2" t="s">
        <v>905</v>
      </c>
      <c r="H135" s="31" t="s">
        <v>905</v>
      </c>
      <c r="I135" s="33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1" t="s">
        <v>457</v>
      </c>
      <c r="V135" s="31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2" t="s">
        <v>910</v>
      </c>
      <c r="H136" s="31" t="s">
        <v>910</v>
      </c>
      <c r="I136" s="33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1" t="s">
        <v>912</v>
      </c>
      <c r="V136" s="31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2" t="s">
        <v>916</v>
      </c>
      <c r="H137" s="31" t="s">
        <v>916</v>
      </c>
      <c r="I137" s="33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1" t="s">
        <v>918</v>
      </c>
      <c r="V137" s="31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2" t="s">
        <v>922</v>
      </c>
      <c r="H138" s="31" t="s">
        <v>922</v>
      </c>
      <c r="I138" s="33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1" t="s">
        <v>924</v>
      </c>
      <c r="V138" s="31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2" t="s">
        <v>928</v>
      </c>
      <c r="H139" s="31" t="s">
        <v>928</v>
      </c>
      <c r="I139" s="33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1" t="s">
        <v>930</v>
      </c>
      <c r="V139" s="31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2" t="s">
        <v>934</v>
      </c>
      <c r="H140" s="31" t="s">
        <v>934</v>
      </c>
      <c r="I140" s="33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1" t="s">
        <v>936</v>
      </c>
      <c r="V140" s="31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2" t="s">
        <v>940</v>
      </c>
      <c r="H141" s="31" t="s">
        <v>940</v>
      </c>
      <c r="I141" s="33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1" t="s">
        <v>942</v>
      </c>
      <c r="V141" s="31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2" t="s">
        <v>946</v>
      </c>
      <c r="H142" s="31" t="s">
        <v>946</v>
      </c>
      <c r="I142" s="33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1" t="s">
        <v>948</v>
      </c>
      <c r="V142" s="31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2" t="s">
        <v>952</v>
      </c>
      <c r="H143" s="31" t="s">
        <v>952</v>
      </c>
      <c r="I143" s="33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1" t="s">
        <v>954</v>
      </c>
      <c r="V143" s="31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2" t="s">
        <v>958</v>
      </c>
      <c r="H144" s="31" t="s">
        <v>958</v>
      </c>
      <c r="I144" s="33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1" t="s">
        <v>960</v>
      </c>
      <c r="V144" s="31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1" t="s">
        <v>966</v>
      </c>
      <c r="V145" s="31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7" t="s">
        <v>967</v>
      </c>
      <c r="D146" s="37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7" t="s">
        <v>974</v>
      </c>
      <c r="V146" s="37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1" t="s">
        <v>975</v>
      </c>
      <c r="D147" s="31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1" t="s">
        <v>982</v>
      </c>
      <c r="V147" s="31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1" t="s">
        <v>983</v>
      </c>
      <c r="D148" s="31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1" t="s">
        <v>990</v>
      </c>
      <c r="V148" s="31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1" t="s">
        <v>991</v>
      </c>
      <c r="D149" s="31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1" t="s">
        <v>998</v>
      </c>
      <c r="V149" s="31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1" t="s">
        <v>999</v>
      </c>
      <c r="D150" s="31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1" t="s">
        <v>1006</v>
      </c>
      <c r="V150" s="31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1" t="s">
        <v>1007</v>
      </c>
      <c r="D151" s="31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1" t="s">
        <v>1015</v>
      </c>
      <c r="V151" s="31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1" t="s">
        <v>1016</v>
      </c>
      <c r="D152" s="31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1" t="s">
        <v>1024</v>
      </c>
      <c r="V152" s="31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1" t="s">
        <v>1025</v>
      </c>
      <c r="D153" s="31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1" t="s">
        <v>1033</v>
      </c>
      <c r="V153" s="31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1" t="s">
        <v>1034</v>
      </c>
      <c r="D154" s="31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1" t="s">
        <v>1042</v>
      </c>
      <c r="V154" s="31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1" t="s">
        <v>1043</v>
      </c>
      <c r="D155" s="31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1" t="s">
        <v>1051</v>
      </c>
      <c r="V155" s="31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1" t="s">
        <v>1052</v>
      </c>
      <c r="D156" s="31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1" t="s">
        <v>1060</v>
      </c>
      <c r="V156" s="31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1" t="s">
        <v>1061</v>
      </c>
      <c r="D157" s="31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1" t="s">
        <v>1069</v>
      </c>
      <c r="V157" s="31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1" t="s">
        <v>1070</v>
      </c>
      <c r="D158" s="31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1" t="s">
        <v>1078</v>
      </c>
      <c r="V158" s="31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1" t="s">
        <v>1079</v>
      </c>
      <c r="D159" s="31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1" t="s">
        <v>1087</v>
      </c>
      <c r="V159" s="31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1" t="s">
        <v>1088</v>
      </c>
      <c r="D160" s="31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1" t="s">
        <v>1096</v>
      </c>
      <c r="V160" s="31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1" t="s">
        <v>1097</v>
      </c>
      <c r="D161" s="31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1" t="s">
        <v>1105</v>
      </c>
      <c r="V161" s="31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1" t="s">
        <v>1106</v>
      </c>
      <c r="D162" s="31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1" t="s">
        <v>1114</v>
      </c>
      <c r="V162" s="31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1" t="s">
        <v>1115</v>
      </c>
      <c r="D163" s="31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8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1" t="s">
        <v>1123</v>
      </c>
      <c r="V163" s="31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39" t="s">
        <v>1124</v>
      </c>
      <c r="D164" s="39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0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39" t="s">
        <v>1132</v>
      </c>
      <c r="V164" s="39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1" t="s">
        <v>1133</v>
      </c>
      <c r="D165" s="31" t="s">
        <v>1134</v>
      </c>
      <c r="E165" s="1">
        <v>5</v>
      </c>
      <c r="F165" s="1" t="s">
        <v>1135</v>
      </c>
      <c r="G165" s="38" t="s">
        <v>1136</v>
      </c>
      <c r="H165" s="38" t="s">
        <v>1137</v>
      </c>
      <c r="I165" s="38" t="s">
        <v>1138</v>
      </c>
      <c r="J165" s="38" t="s">
        <v>1139</v>
      </c>
      <c r="L165" s="38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1" t="s">
        <v>1141</v>
      </c>
      <c r="V165" s="31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1" t="s">
        <v>1142</v>
      </c>
      <c r="D166" s="31" t="s">
        <v>1143</v>
      </c>
      <c r="E166" s="1">
        <v>5</v>
      </c>
      <c r="F166" s="1" t="s">
        <v>1144</v>
      </c>
      <c r="G166" s="38" t="s">
        <v>1145</v>
      </c>
      <c r="H166" s="38" t="s">
        <v>1146</v>
      </c>
      <c r="I166" s="38" t="s">
        <v>1147</v>
      </c>
      <c r="J166" s="38" t="s">
        <v>1148</v>
      </c>
      <c r="K166" s="1"/>
      <c r="L166" s="38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1" t="s">
        <v>1150</v>
      </c>
      <c r="V166" s="31" t="s">
        <v>1150</v>
      </c>
      <c r="X166" s="1" t="s">
        <v>158</v>
      </c>
      <c r="Y166" s="1">
        <v>0</v>
      </c>
    </row>
    <row r="167" hidden="1" customHeight="1" spans="1:27">
      <c r="C167" s="31" t="s">
        <v>1151</v>
      </c>
      <c r="D167" s="31" t="s">
        <v>1152</v>
      </c>
      <c r="E167" s="1">
        <v>5</v>
      </c>
      <c r="F167" s="1" t="s">
        <v>1153</v>
      </c>
      <c r="G167" s="38" t="s">
        <v>1154</v>
      </c>
      <c r="H167" s="38" t="s">
        <v>1155</v>
      </c>
      <c r="I167" s="38" t="s">
        <v>1156</v>
      </c>
      <c r="J167" s="38" t="s">
        <v>1157</v>
      </c>
      <c r="K167" s="1"/>
      <c r="L167" s="38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1" t="s">
        <v>1159</v>
      </c>
      <c r="V167" s="31" t="s">
        <v>1159</v>
      </c>
      <c r="X167" s="1" t="s">
        <v>158</v>
      </c>
      <c r="Y167" s="1">
        <v>0</v>
      </c>
    </row>
    <row r="168" hidden="1" customHeight="1" spans="1:27">
      <c r="C168" s="31" t="s">
        <v>1160</v>
      </c>
      <c r="D168" s="31" t="s">
        <v>1161</v>
      </c>
      <c r="E168" s="1">
        <v>5</v>
      </c>
      <c r="F168" s="1" t="s">
        <v>1162</v>
      </c>
      <c r="G168" s="38" t="s">
        <v>1163</v>
      </c>
      <c r="H168" s="38" t="s">
        <v>1164</v>
      </c>
      <c r="I168" s="38" t="s">
        <v>1165</v>
      </c>
      <c r="J168" s="38" t="s">
        <v>1166</v>
      </c>
      <c r="K168" s="1"/>
      <c r="L168" s="38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1" t="s">
        <v>1168</v>
      </c>
      <c r="V168" s="31" t="s">
        <v>1168</v>
      </c>
      <c r="X168" s="1" t="s">
        <v>158</v>
      </c>
      <c r="Y168" s="1">
        <v>0</v>
      </c>
    </row>
    <row r="169" hidden="1" customHeight="1" spans="1:27">
      <c r="C169" s="31" t="s">
        <v>1169</v>
      </c>
      <c r="D169" s="31" t="s">
        <v>1170</v>
      </c>
      <c r="E169" s="1">
        <v>5</v>
      </c>
      <c r="F169" s="1" t="s">
        <v>1171</v>
      </c>
      <c r="G169" s="38" t="s">
        <v>1172</v>
      </c>
      <c r="H169" s="38" t="s">
        <v>1173</v>
      </c>
      <c r="I169" s="38" t="s">
        <v>1174</v>
      </c>
      <c r="J169" s="38" t="s">
        <v>1175</v>
      </c>
      <c r="K169" s="1"/>
      <c r="L169" s="38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1" t="s">
        <v>1177</v>
      </c>
      <c r="V169" s="31" t="s">
        <v>1177</v>
      </c>
      <c r="X169" s="1" t="s">
        <v>158</v>
      </c>
      <c r="Y169" s="1">
        <v>0</v>
      </c>
    </row>
    <row r="170" hidden="1" customHeight="1" spans="1:27">
      <c r="C170" s="31" t="s">
        <v>1178</v>
      </c>
      <c r="D170" s="31" t="s">
        <v>1179</v>
      </c>
      <c r="E170" s="1">
        <v>5</v>
      </c>
      <c r="F170" s="1" t="s">
        <v>462</v>
      </c>
      <c r="G170" s="38" t="s">
        <v>1180</v>
      </c>
      <c r="H170" s="38" t="s">
        <v>1181</v>
      </c>
      <c r="I170" s="38" t="s">
        <v>1182</v>
      </c>
      <c r="J170" s="38" t="s">
        <v>1183</v>
      </c>
      <c r="K170" s="1"/>
      <c r="L170" s="38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1" t="s">
        <v>1185</v>
      </c>
      <c r="V170" s="31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1" t="s">
        <v>1186</v>
      </c>
      <c r="D171" s="31" t="s">
        <v>1187</v>
      </c>
      <c r="E171" s="1">
        <v>5</v>
      </c>
      <c r="F171" s="1" t="s">
        <v>1188</v>
      </c>
      <c r="G171" s="38" t="s">
        <v>1189</v>
      </c>
      <c r="H171" s="38" t="s">
        <v>1190</v>
      </c>
      <c r="I171" s="38" t="s">
        <v>1191</v>
      </c>
      <c r="J171" s="38" t="s">
        <v>1192</v>
      </c>
      <c r="L171" s="38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1" t="s">
        <v>1194</v>
      </c>
      <c r="V171" s="31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1" t="s">
        <v>1195</v>
      </c>
      <c r="D172" s="31" t="s">
        <v>1196</v>
      </c>
      <c r="E172" s="1">
        <v>5</v>
      </c>
      <c r="F172" s="1" t="s">
        <v>1197</v>
      </c>
      <c r="G172" s="38" t="s">
        <v>1198</v>
      </c>
      <c r="H172" s="38" t="s">
        <v>1199</v>
      </c>
      <c r="I172" s="38" t="s">
        <v>1200</v>
      </c>
      <c r="J172" s="38" t="s">
        <v>1201</v>
      </c>
      <c r="L172" s="38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1" t="s">
        <v>1203</v>
      </c>
      <c r="V172" s="31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1" t="s">
        <v>1204</v>
      </c>
      <c r="D173" s="31" t="s">
        <v>1205</v>
      </c>
      <c r="E173" s="1">
        <v>5</v>
      </c>
      <c r="F173" s="1" t="s">
        <v>1206</v>
      </c>
      <c r="G173" s="38" t="s">
        <v>1207</v>
      </c>
      <c r="H173" s="38" t="s">
        <v>1208</v>
      </c>
      <c r="I173" s="38" t="s">
        <v>1209</v>
      </c>
      <c r="J173" s="38" t="s">
        <v>1210</v>
      </c>
      <c r="L173" s="38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1" t="s">
        <v>1212</v>
      </c>
      <c r="V173" s="31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1" t="s">
        <v>1213</v>
      </c>
      <c r="D174" s="31" t="s">
        <v>1214</v>
      </c>
      <c r="E174" s="1">
        <v>5</v>
      </c>
      <c r="F174" s="1" t="s">
        <v>1215</v>
      </c>
      <c r="G174" s="38" t="s">
        <v>1216</v>
      </c>
      <c r="H174" s="38" t="s">
        <v>1217</v>
      </c>
      <c r="I174" s="38" t="s">
        <v>1218</v>
      </c>
      <c r="J174" s="38" t="s">
        <v>1219</v>
      </c>
      <c r="L174" s="38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1" t="s">
        <v>1221</v>
      </c>
      <c r="V174" s="31" t="s">
        <v>1221</v>
      </c>
      <c r="X174" s="1" t="s">
        <v>158</v>
      </c>
      <c r="Y174" s="1">
        <v>0</v>
      </c>
      <c r="Z174" s="11"/>
      <c r="AA174" s="11"/>
    </row>
    <row r="175" s="1" customFormat="1" hidden="1" customHeight="1" spans="1:27">
      <c r="A175" s="11"/>
      <c r="B175" s="11"/>
      <c r="C175" s="31" t="s">
        <v>1222</v>
      </c>
      <c r="D175" s="31" t="s">
        <v>1223</v>
      </c>
      <c r="E175" s="1">
        <v>5</v>
      </c>
      <c r="F175" s="1" t="s">
        <v>1224</v>
      </c>
      <c r="G175" s="38" t="s">
        <v>1225</v>
      </c>
      <c r="H175" s="38" t="s">
        <v>1226</v>
      </c>
      <c r="I175" s="38" t="s">
        <v>1227</v>
      </c>
      <c r="J175" s="38" t="s">
        <v>1228</v>
      </c>
      <c r="L175" s="38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1" t="s">
        <v>1230</v>
      </c>
      <c r="V175" s="31" t="s">
        <v>1230</v>
      </c>
      <c r="X175" s="1" t="s">
        <v>158</v>
      </c>
      <c r="Y175" s="1">
        <v>0</v>
      </c>
      <c r="Z175" s="11"/>
      <c r="AA175" s="11"/>
    </row>
    <row r="176" s="1" customFormat="1" hidden="1" customHeight="1" spans="1:27">
      <c r="A176" s="11"/>
      <c r="B176" s="11"/>
      <c r="C176" s="31" t="s">
        <v>1231</v>
      </c>
      <c r="D176" s="31" t="s">
        <v>1232</v>
      </c>
      <c r="E176" s="1">
        <v>5</v>
      </c>
      <c r="F176" s="1" t="s">
        <v>1233</v>
      </c>
      <c r="G176" s="38" t="s">
        <v>1234</v>
      </c>
      <c r="H176" s="38" t="s">
        <v>1235</v>
      </c>
      <c r="I176" s="38" t="s">
        <v>1236</v>
      </c>
      <c r="J176" s="38" t="s">
        <v>1237</v>
      </c>
      <c r="L176" s="38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1" t="s">
        <v>1239</v>
      </c>
      <c r="V176" s="31" t="s">
        <v>1239</v>
      </c>
      <c r="X176" s="1" t="s">
        <v>158</v>
      </c>
      <c r="Y176" s="1">
        <v>0</v>
      </c>
      <c r="Z176" s="11"/>
      <c r="AA176" s="11"/>
    </row>
    <row r="177" s="1" customFormat="1" hidden="1" customHeight="1" spans="1:27">
      <c r="A177" s="11"/>
      <c r="B177" s="11"/>
      <c r="C177" s="31" t="s">
        <v>1240</v>
      </c>
      <c r="D177" s="31" t="s">
        <v>1241</v>
      </c>
      <c r="E177" s="1">
        <v>5</v>
      </c>
      <c r="F177" s="1" t="s">
        <v>1242</v>
      </c>
      <c r="G177" s="38" t="s">
        <v>1243</v>
      </c>
      <c r="H177" s="38" t="s">
        <v>1244</v>
      </c>
      <c r="I177" s="38" t="s">
        <v>1245</v>
      </c>
      <c r="J177" s="38" t="s">
        <v>1246</v>
      </c>
      <c r="L177" s="38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1" t="s">
        <v>1248</v>
      </c>
      <c r="V177" s="31" t="s">
        <v>1248</v>
      </c>
      <c r="X177" s="1" t="s">
        <v>158</v>
      </c>
      <c r="Y177" s="1">
        <v>0</v>
      </c>
      <c r="Z177" s="11"/>
      <c r="AA177" s="11"/>
    </row>
    <row r="178" s="1" customFormat="1" hidden="1" customHeight="1" spans="1:27">
      <c r="A178" s="11"/>
      <c r="B178" s="11"/>
      <c r="C178" s="31" t="s">
        <v>1249</v>
      </c>
      <c r="D178" s="31" t="s">
        <v>1250</v>
      </c>
      <c r="E178" s="1">
        <v>5</v>
      </c>
      <c r="F178" s="1" t="s">
        <v>1251</v>
      </c>
      <c r="G178" s="38" t="s">
        <v>1252</v>
      </c>
      <c r="H178" s="38" t="s">
        <v>1253</v>
      </c>
      <c r="I178" s="38" t="s">
        <v>1254</v>
      </c>
      <c r="J178" s="38" t="s">
        <v>1255</v>
      </c>
      <c r="L178" s="38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1" t="s">
        <v>1257</v>
      </c>
      <c r="V178" s="31" t="s">
        <v>1257</v>
      </c>
      <c r="X178" s="1" t="s">
        <v>158</v>
      </c>
      <c r="Y178" s="1">
        <v>0</v>
      </c>
      <c r="Z178" s="11"/>
      <c r="AA178" s="11"/>
    </row>
    <row r="179" s="1" customFormat="1" hidden="1" customHeight="1" spans="1:27">
      <c r="A179" s="11"/>
      <c r="B179" s="11"/>
      <c r="C179" s="31" t="s">
        <v>1258</v>
      </c>
      <c r="D179" s="31" t="s">
        <v>1259</v>
      </c>
      <c r="E179" s="1">
        <v>5</v>
      </c>
      <c r="F179" s="1" t="s">
        <v>1260</v>
      </c>
      <c r="G179" s="38" t="s">
        <v>1261</v>
      </c>
      <c r="H179" s="38" t="s">
        <v>1262</v>
      </c>
      <c r="I179" s="38" t="s">
        <v>1263</v>
      </c>
      <c r="J179" s="38" t="s">
        <v>1264</v>
      </c>
      <c r="L179" s="38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1" t="s">
        <v>1266</v>
      </c>
      <c r="V179" s="31" t="s">
        <v>1266</v>
      </c>
      <c r="X179" s="1" t="s">
        <v>158</v>
      </c>
      <c r="Y179" s="1">
        <v>0</v>
      </c>
      <c r="Z179" s="11"/>
      <c r="AA179" s="11"/>
    </row>
    <row r="180" s="1" customFormat="1" hidden="1" customHeight="1" spans="1:27">
      <c r="A180" s="11"/>
      <c r="B180" s="11"/>
      <c r="C180" s="31" t="s">
        <v>1267</v>
      </c>
      <c r="D180" s="31" t="s">
        <v>1268</v>
      </c>
      <c r="E180" s="1">
        <v>5</v>
      </c>
      <c r="F180" s="1" t="s">
        <v>1269</v>
      </c>
      <c r="G180" s="38" t="s">
        <v>1270</v>
      </c>
      <c r="H180" s="38" t="s">
        <v>1271</v>
      </c>
      <c r="I180" s="38" t="s">
        <v>1272</v>
      </c>
      <c r="J180" s="38" t="s">
        <v>1273</v>
      </c>
      <c r="L180" s="38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1" t="s">
        <v>1275</v>
      </c>
      <c r="V180" s="31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7" t="s">
        <v>1276</v>
      </c>
      <c r="D181" s="37" t="s">
        <v>1277</v>
      </c>
      <c r="E181" s="3">
        <v>6</v>
      </c>
      <c r="F181" s="3" t="s">
        <v>1278</v>
      </c>
      <c r="G181" s="41" t="s">
        <v>1279</v>
      </c>
      <c r="H181" s="41" t="s">
        <v>1280</v>
      </c>
      <c r="I181" s="41" t="s">
        <v>1281</v>
      </c>
      <c r="J181" s="41" t="s">
        <v>1282</v>
      </c>
      <c r="K181" s="37" t="s">
        <v>1283</v>
      </c>
      <c r="L181" s="41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7" t="s">
        <v>1285</v>
      </c>
      <c r="V181" s="37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2" t="s">
        <v>1286</v>
      </c>
      <c r="D182" s="42" t="s">
        <v>1287</v>
      </c>
      <c r="E182" s="5">
        <v>6</v>
      </c>
      <c r="F182" s="5" t="s">
        <v>1288</v>
      </c>
      <c r="G182" s="38" t="s">
        <v>1289</v>
      </c>
      <c r="H182" s="38" t="s">
        <v>1290</v>
      </c>
      <c r="I182" s="38" t="s">
        <v>1291</v>
      </c>
      <c r="J182" s="38" t="s">
        <v>1292</v>
      </c>
      <c r="K182" s="42" t="s">
        <v>1293</v>
      </c>
      <c r="L182" s="38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2" t="s">
        <v>1295</v>
      </c>
      <c r="V182" s="42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1" t="s">
        <v>1296</v>
      </c>
      <c r="D183" s="31" t="s">
        <v>1297</v>
      </c>
      <c r="E183" s="1">
        <v>6</v>
      </c>
      <c r="F183" s="1" t="s">
        <v>1298</v>
      </c>
      <c r="G183" s="38" t="s">
        <v>1299</v>
      </c>
      <c r="H183" s="38" t="s">
        <v>1300</v>
      </c>
      <c r="I183" s="38" t="s">
        <v>1301</v>
      </c>
      <c r="J183" s="38" t="s">
        <v>1302</v>
      </c>
      <c r="K183" s="42" t="s">
        <v>1303</v>
      </c>
      <c r="L183" s="38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2" t="s">
        <v>513</v>
      </c>
      <c r="V183" s="42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1" t="s">
        <v>1305</v>
      </c>
      <c r="D184" s="31" t="s">
        <v>1306</v>
      </c>
      <c r="E184" s="1">
        <v>6</v>
      </c>
      <c r="F184" s="1" t="s">
        <v>1307</v>
      </c>
      <c r="G184" s="38" t="s">
        <v>1308</v>
      </c>
      <c r="H184" s="38" t="s">
        <v>1309</v>
      </c>
      <c r="I184" s="38" t="s">
        <v>1310</v>
      </c>
      <c r="J184" s="38" t="s">
        <v>1311</v>
      </c>
      <c r="K184" s="42" t="s">
        <v>1312</v>
      </c>
      <c r="L184" s="38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2" t="s">
        <v>1313</v>
      </c>
      <c r="V184" s="42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1" t="s">
        <v>1314</v>
      </c>
      <c r="D185" s="31" t="s">
        <v>1315</v>
      </c>
      <c r="E185" s="1">
        <v>6</v>
      </c>
      <c r="F185" s="1" t="s">
        <v>1316</v>
      </c>
      <c r="G185" s="38" t="s">
        <v>1317</v>
      </c>
      <c r="H185" s="38" t="s">
        <v>1318</v>
      </c>
      <c r="I185" s="38" t="s">
        <v>1319</v>
      </c>
      <c r="J185" s="38" t="s">
        <v>1320</v>
      </c>
      <c r="K185" s="42" t="s">
        <v>1321</v>
      </c>
      <c r="L185" s="38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2" t="s">
        <v>1322</v>
      </c>
      <c r="V185" s="42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3" t="s">
        <v>1323</v>
      </c>
      <c r="D186" s="43" t="s">
        <v>1324</v>
      </c>
      <c r="E186" s="6">
        <v>6</v>
      </c>
      <c r="F186" s="6" t="s">
        <v>1325</v>
      </c>
      <c r="G186" s="38" t="s">
        <v>1326</v>
      </c>
      <c r="H186" s="44" t="s">
        <v>1327</v>
      </c>
      <c r="I186" s="44" t="s">
        <v>1328</v>
      </c>
      <c r="J186" s="44" t="s">
        <v>1329</v>
      </c>
      <c r="K186" s="42" t="s">
        <v>1330</v>
      </c>
      <c r="L186" s="44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3" t="s">
        <v>1332</v>
      </c>
      <c r="V186" s="43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3" t="s">
        <v>1333</v>
      </c>
      <c r="D187" s="43" t="s">
        <v>1334</v>
      </c>
      <c r="E187" s="6">
        <v>6</v>
      </c>
      <c r="F187" s="6" t="s">
        <v>1335</v>
      </c>
      <c r="G187" s="38" t="s">
        <v>1336</v>
      </c>
      <c r="H187" s="44" t="s">
        <v>1337</v>
      </c>
      <c r="I187" s="44" t="s">
        <v>1338</v>
      </c>
      <c r="J187" s="44" t="s">
        <v>1339</v>
      </c>
      <c r="K187" s="42" t="s">
        <v>1340</v>
      </c>
      <c r="L187" s="44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3" t="s">
        <v>1342</v>
      </c>
      <c r="V187" s="43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3" t="s">
        <v>1343</v>
      </c>
      <c r="D188" s="43" t="s">
        <v>1344</v>
      </c>
      <c r="E188" s="6">
        <v>6</v>
      </c>
      <c r="F188" s="6" t="s">
        <v>1345</v>
      </c>
      <c r="G188" s="38" t="s">
        <v>1346</v>
      </c>
      <c r="H188" s="44" t="s">
        <v>1347</v>
      </c>
      <c r="I188" s="44" t="s">
        <v>1348</v>
      </c>
      <c r="J188" s="44" t="s">
        <v>1349</v>
      </c>
      <c r="K188" s="42" t="s">
        <v>1350</v>
      </c>
      <c r="L188" s="44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3" t="s">
        <v>1352</v>
      </c>
      <c r="V188" s="43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3" t="s">
        <v>1353</v>
      </c>
      <c r="D189" s="43" t="s">
        <v>1354</v>
      </c>
      <c r="E189" s="6">
        <v>6</v>
      </c>
      <c r="F189" s="6" t="s">
        <v>1355</v>
      </c>
      <c r="G189" s="38" t="s">
        <v>1356</v>
      </c>
      <c r="H189" s="44" t="s">
        <v>1357</v>
      </c>
      <c r="I189" s="44" t="s">
        <v>1358</v>
      </c>
      <c r="J189" s="44" t="s">
        <v>1359</v>
      </c>
      <c r="K189" s="42" t="s">
        <v>1360</v>
      </c>
      <c r="L189" s="44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3" t="s">
        <v>1361</v>
      </c>
      <c r="V189" s="43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3" t="s">
        <v>1362</v>
      </c>
      <c r="D190" s="43" t="s">
        <v>1363</v>
      </c>
      <c r="E190" s="6">
        <v>6</v>
      </c>
      <c r="F190" s="6" t="s">
        <v>1364</v>
      </c>
      <c r="G190" s="38" t="s">
        <v>1365</v>
      </c>
      <c r="H190" s="44" t="s">
        <v>1281</v>
      </c>
      <c r="I190" s="44" t="s">
        <v>1366</v>
      </c>
      <c r="J190" s="44" t="s">
        <v>1367</v>
      </c>
      <c r="K190" s="42" t="s">
        <v>1368</v>
      </c>
      <c r="L190" s="44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3" t="s">
        <v>1369</v>
      </c>
      <c r="V190" s="43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3" t="s">
        <v>1370</v>
      </c>
      <c r="D191" s="43" t="s">
        <v>1371</v>
      </c>
      <c r="E191" s="6">
        <v>6</v>
      </c>
      <c r="F191" s="6" t="s">
        <v>1372</v>
      </c>
      <c r="G191" s="38" t="s">
        <v>1373</v>
      </c>
      <c r="H191" s="44" t="s">
        <v>1281</v>
      </c>
      <c r="I191" s="44" t="s">
        <v>1374</v>
      </c>
      <c r="J191" s="44" t="s">
        <v>1220</v>
      </c>
      <c r="K191" s="42" t="s">
        <v>1375</v>
      </c>
      <c r="L191" s="44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3" t="s">
        <v>1377</v>
      </c>
      <c r="V191" s="43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3" t="s">
        <v>1378</v>
      </c>
      <c r="D192" s="43" t="s">
        <v>1379</v>
      </c>
      <c r="E192" s="6">
        <v>6</v>
      </c>
      <c r="F192" s="6" t="s">
        <v>1380</v>
      </c>
      <c r="G192" s="38" t="s">
        <v>1381</v>
      </c>
      <c r="H192" s="44" t="s">
        <v>1281</v>
      </c>
      <c r="I192" s="44" t="s">
        <v>1382</v>
      </c>
      <c r="J192" s="44" t="s">
        <v>1383</v>
      </c>
      <c r="K192" s="42" t="s">
        <v>1384</v>
      </c>
      <c r="L192" s="44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3" t="s">
        <v>1386</v>
      </c>
      <c r="V192" s="43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3" t="s">
        <v>1387</v>
      </c>
      <c r="D193" s="43" t="s">
        <v>1388</v>
      </c>
      <c r="E193" s="6">
        <v>6</v>
      </c>
      <c r="F193" s="6" t="s">
        <v>1389</v>
      </c>
      <c r="G193" s="38" t="s">
        <v>1390</v>
      </c>
      <c r="H193" s="44" t="s">
        <v>1281</v>
      </c>
      <c r="I193" s="44" t="s">
        <v>1391</v>
      </c>
      <c r="J193" s="44" t="s">
        <v>1392</v>
      </c>
      <c r="K193" s="42" t="s">
        <v>1393</v>
      </c>
      <c r="L193" s="44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3" t="s">
        <v>1394</v>
      </c>
      <c r="V193" s="43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3" t="s">
        <v>1395</v>
      </c>
      <c r="D194" s="43" t="s">
        <v>1396</v>
      </c>
      <c r="E194" s="6">
        <v>6</v>
      </c>
      <c r="F194" s="6" t="s">
        <v>1397</v>
      </c>
      <c r="G194" s="38" t="s">
        <v>1191</v>
      </c>
      <c r="H194" s="44" t="s">
        <v>1281</v>
      </c>
      <c r="I194" s="44" t="s">
        <v>1398</v>
      </c>
      <c r="J194" s="44" t="s">
        <v>1399</v>
      </c>
      <c r="K194" s="42" t="s">
        <v>1400</v>
      </c>
      <c r="L194" s="44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3" t="s">
        <v>1402</v>
      </c>
      <c r="V194" s="43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3" t="s">
        <v>1403</v>
      </c>
      <c r="D195" s="43" t="s">
        <v>1404</v>
      </c>
      <c r="E195" s="6">
        <v>6</v>
      </c>
      <c r="F195" s="6" t="s">
        <v>1405</v>
      </c>
      <c r="G195" s="38" t="s">
        <v>1406</v>
      </c>
      <c r="H195" s="44" t="s">
        <v>1281</v>
      </c>
      <c r="I195" s="44" t="s">
        <v>1407</v>
      </c>
      <c r="J195" s="44" t="s">
        <v>1408</v>
      </c>
      <c r="K195" s="42" t="s">
        <v>1409</v>
      </c>
      <c r="L195" s="44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3" t="s">
        <v>520</v>
      </c>
      <c r="V195" s="43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3" t="s">
        <v>1411</v>
      </c>
      <c r="D196" s="43" t="s">
        <v>1412</v>
      </c>
      <c r="E196" s="6">
        <v>6</v>
      </c>
      <c r="F196" s="6" t="s">
        <v>1413</v>
      </c>
      <c r="G196" s="38" t="s">
        <v>1414</v>
      </c>
      <c r="H196" s="44" t="s">
        <v>1281</v>
      </c>
      <c r="I196" s="44" t="s">
        <v>1415</v>
      </c>
      <c r="J196" s="44" t="s">
        <v>1416</v>
      </c>
      <c r="K196" s="42" t="s">
        <v>1417</v>
      </c>
      <c r="L196" s="44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3" t="s">
        <v>1418</v>
      </c>
      <c r="V196" s="43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5" t="s">
        <v>1419</v>
      </c>
      <c r="D197" s="45" t="s">
        <v>1420</v>
      </c>
      <c r="E197" s="7">
        <v>6</v>
      </c>
      <c r="F197" s="7" t="s">
        <v>1421</v>
      </c>
      <c r="G197" s="38" t="s">
        <v>1422</v>
      </c>
      <c r="H197" s="44" t="s">
        <v>1281</v>
      </c>
      <c r="I197" s="44" t="s">
        <v>1423</v>
      </c>
      <c r="J197" s="44" t="s">
        <v>1424</v>
      </c>
      <c r="K197" s="42" t="s">
        <v>1425</v>
      </c>
      <c r="L197" s="44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5" t="s">
        <v>1426</v>
      </c>
      <c r="V197" s="45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5" t="s">
        <v>1427</v>
      </c>
      <c r="D198" s="45" t="s">
        <v>1428</v>
      </c>
      <c r="E198" s="7">
        <v>6</v>
      </c>
      <c r="F198" s="7" t="s">
        <v>1429</v>
      </c>
      <c r="G198" s="38" t="s">
        <v>1337</v>
      </c>
      <c r="H198" s="44" t="s">
        <v>1281</v>
      </c>
      <c r="I198" s="44" t="s">
        <v>1430</v>
      </c>
      <c r="J198" s="44" t="s">
        <v>1431</v>
      </c>
      <c r="K198" s="42" t="s">
        <v>1432</v>
      </c>
      <c r="L198" s="44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5" t="s">
        <v>1433</v>
      </c>
      <c r="V198" s="45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5" t="s">
        <v>1434</v>
      </c>
      <c r="D199" s="45" t="s">
        <v>1435</v>
      </c>
      <c r="E199" s="7">
        <v>6</v>
      </c>
      <c r="F199" s="7" t="s">
        <v>1436</v>
      </c>
      <c r="G199" s="38" t="s">
        <v>1437</v>
      </c>
      <c r="H199" s="44" t="s">
        <v>1281</v>
      </c>
      <c r="I199" s="44" t="s">
        <v>1438</v>
      </c>
      <c r="J199" s="44" t="s">
        <v>1439</v>
      </c>
      <c r="K199" s="42" t="s">
        <v>1440</v>
      </c>
      <c r="L199" s="44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5" t="s">
        <v>1441</v>
      </c>
      <c r="V199" s="45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5" t="s">
        <v>1442</v>
      </c>
      <c r="D200" s="45" t="s">
        <v>1443</v>
      </c>
      <c r="E200" s="7">
        <v>6</v>
      </c>
      <c r="F200" s="7" t="s">
        <v>1444</v>
      </c>
      <c r="G200" s="38" t="s">
        <v>1445</v>
      </c>
      <c r="H200" s="44" t="s">
        <v>1281</v>
      </c>
      <c r="I200" s="44" t="s">
        <v>1446</v>
      </c>
      <c r="J200" s="44" t="s">
        <v>1447</v>
      </c>
      <c r="K200" s="42" t="s">
        <v>1448</v>
      </c>
      <c r="L200" s="44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5" t="s">
        <v>1449</v>
      </c>
      <c r="V200" s="45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3" t="s">
        <v>1450</v>
      </c>
      <c r="D201" s="43" t="s">
        <v>1451</v>
      </c>
      <c r="E201" s="6">
        <v>6</v>
      </c>
      <c r="F201" s="6" t="s">
        <v>1452</v>
      </c>
      <c r="G201" s="44" t="s">
        <v>1357</v>
      </c>
      <c r="H201" s="44" t="s">
        <v>1281</v>
      </c>
      <c r="I201" s="44" t="s">
        <v>1453</v>
      </c>
      <c r="J201" s="44" t="s">
        <v>1284</v>
      </c>
      <c r="K201" s="42" t="s">
        <v>1292</v>
      </c>
      <c r="L201" s="44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3" t="s">
        <v>1454</v>
      </c>
      <c r="V201" s="43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5" t="s">
        <v>1455</v>
      </c>
      <c r="D202" s="45" t="s">
        <v>1456</v>
      </c>
      <c r="E202" s="7">
        <v>6</v>
      </c>
      <c r="F202" s="7" t="s">
        <v>1457</v>
      </c>
      <c r="G202" s="44" t="s">
        <v>1458</v>
      </c>
      <c r="H202" s="44" t="s">
        <v>1281</v>
      </c>
      <c r="I202" s="44" t="s">
        <v>1459</v>
      </c>
      <c r="J202" s="44" t="s">
        <v>1460</v>
      </c>
      <c r="K202" s="42" t="s">
        <v>1461</v>
      </c>
      <c r="L202" s="44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5" t="s">
        <v>1462</v>
      </c>
      <c r="V202" s="45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5" t="s">
        <v>1463</v>
      </c>
      <c r="D203" s="45" t="s">
        <v>1464</v>
      </c>
      <c r="E203" s="7">
        <v>6</v>
      </c>
      <c r="F203" s="7" t="s">
        <v>1465</v>
      </c>
      <c r="G203" s="44" t="s">
        <v>1466</v>
      </c>
      <c r="H203" s="44" t="s">
        <v>1281</v>
      </c>
      <c r="I203" s="44" t="s">
        <v>1467</v>
      </c>
      <c r="J203" s="44" t="s">
        <v>1468</v>
      </c>
      <c r="K203" s="42" t="s">
        <v>1320</v>
      </c>
      <c r="L203" s="44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5" t="s">
        <v>527</v>
      </c>
      <c r="V203" s="45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5" t="s">
        <v>1469</v>
      </c>
      <c r="D204" s="45" t="s">
        <v>1470</v>
      </c>
      <c r="E204" s="7">
        <v>6</v>
      </c>
      <c r="F204" s="7" t="s">
        <v>1471</v>
      </c>
      <c r="G204" s="44" t="s">
        <v>1472</v>
      </c>
      <c r="H204" s="44" t="s">
        <v>1281</v>
      </c>
      <c r="I204" s="44" t="s">
        <v>1473</v>
      </c>
      <c r="J204" s="44" t="s">
        <v>1474</v>
      </c>
      <c r="K204" s="42" t="s">
        <v>1475</v>
      </c>
      <c r="L204" s="44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5" t="s">
        <v>1476</v>
      </c>
      <c r="V204" s="45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5" t="s">
        <v>1477</v>
      </c>
      <c r="D205" s="45" t="s">
        <v>1478</v>
      </c>
      <c r="E205" s="7">
        <v>6</v>
      </c>
      <c r="F205" s="7" t="s">
        <v>1479</v>
      </c>
      <c r="G205" s="44" t="s">
        <v>1480</v>
      </c>
      <c r="H205" s="44" t="s">
        <v>1281</v>
      </c>
      <c r="I205" s="44" t="s">
        <v>1481</v>
      </c>
      <c r="J205" s="44" t="s">
        <v>1294</v>
      </c>
      <c r="K205" s="42" t="s">
        <v>1349</v>
      </c>
      <c r="L205" s="44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5" t="s">
        <v>1482</v>
      </c>
      <c r="V205" s="45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43" t="s">
        <v>1483</v>
      </c>
      <c r="D206" s="43" t="s">
        <v>1484</v>
      </c>
      <c r="E206" s="6">
        <v>6</v>
      </c>
      <c r="F206" s="6" t="s">
        <v>1485</v>
      </c>
      <c r="G206" s="44" t="s">
        <v>1486</v>
      </c>
      <c r="H206" s="44" t="s">
        <v>1281</v>
      </c>
      <c r="I206" s="44" t="s">
        <v>1487</v>
      </c>
      <c r="J206" s="44" t="s">
        <v>1488</v>
      </c>
      <c r="K206" s="42" t="s">
        <v>1489</v>
      </c>
      <c r="L206" s="44" t="s">
        <v>1445</v>
      </c>
      <c r="M206" s="6">
        <f t="shared" ref="M206:M215" si="84">M205+10000</f>
        <v>91000</v>
      </c>
      <c r="N206" s="6">
        <f t="shared" ref="N206:N215" si="85">N205+10000</f>
        <v>91000</v>
      </c>
      <c r="O206" s="6">
        <f t="shared" ref="O206:O215" si="86">O205+10000</f>
        <v>62750</v>
      </c>
      <c r="P206" s="6">
        <f t="shared" ref="P206:P215" si="87">P205+10000</f>
        <v>62750</v>
      </c>
      <c r="Q206" s="6">
        <f t="shared" si="81"/>
        <v>231</v>
      </c>
      <c r="R206" s="9">
        <f t="shared" si="82"/>
        <v>524</v>
      </c>
      <c r="S206" s="8">
        <f t="shared" si="83"/>
        <v>636</v>
      </c>
      <c r="T206" s="8">
        <v>99.99</v>
      </c>
      <c r="U206" s="43" t="s">
        <v>1490</v>
      </c>
      <c r="V206" s="43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5" t="s">
        <v>1491</v>
      </c>
      <c r="D207" s="45" t="s">
        <v>1492</v>
      </c>
      <c r="E207" s="7">
        <v>6</v>
      </c>
      <c r="F207" s="7" t="s">
        <v>1493</v>
      </c>
      <c r="G207" s="44" t="s">
        <v>1494</v>
      </c>
      <c r="H207" s="44" t="s">
        <v>1281</v>
      </c>
      <c r="I207" s="44" t="s">
        <v>1495</v>
      </c>
      <c r="J207" s="44" t="s">
        <v>1496</v>
      </c>
      <c r="K207" s="42" t="s">
        <v>1220</v>
      </c>
      <c r="L207" s="44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5" t="s">
        <v>1497</v>
      </c>
      <c r="V207" s="45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5" t="s">
        <v>1498</v>
      </c>
      <c r="D208" s="45" t="s">
        <v>1499</v>
      </c>
      <c r="E208" s="7">
        <v>6</v>
      </c>
      <c r="F208" s="7" t="s">
        <v>1500</v>
      </c>
      <c r="G208" s="44" t="s">
        <v>1501</v>
      </c>
      <c r="H208" s="44" t="s">
        <v>1281</v>
      </c>
      <c r="I208" s="44" t="s">
        <v>1502</v>
      </c>
      <c r="J208" s="44" t="s">
        <v>1503</v>
      </c>
      <c r="K208" s="42" t="s">
        <v>1504</v>
      </c>
      <c r="L208" s="44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5" t="s">
        <v>1505</v>
      </c>
      <c r="V208" s="45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5" t="s">
        <v>1506</v>
      </c>
      <c r="D209" s="45" t="s">
        <v>1507</v>
      </c>
      <c r="E209" s="7">
        <v>6</v>
      </c>
      <c r="F209" s="7" t="s">
        <v>1508</v>
      </c>
      <c r="G209" s="44" t="s">
        <v>1509</v>
      </c>
      <c r="H209" s="44" t="s">
        <v>1281</v>
      </c>
      <c r="I209" s="44" t="s">
        <v>1510</v>
      </c>
      <c r="J209" s="44" t="s">
        <v>1304</v>
      </c>
      <c r="K209" s="42" t="s">
        <v>1399</v>
      </c>
      <c r="L209" s="44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5" t="s">
        <v>1511</v>
      </c>
      <c r="V209" s="45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5" t="s">
        <v>1512</v>
      </c>
      <c r="D210" s="45" t="s">
        <v>1513</v>
      </c>
      <c r="E210" s="7">
        <v>6</v>
      </c>
      <c r="F210" s="7" t="s">
        <v>1514</v>
      </c>
      <c r="G210" s="44" t="s">
        <v>1319</v>
      </c>
      <c r="H210" s="44" t="s">
        <v>1281</v>
      </c>
      <c r="I210" s="44" t="s">
        <v>1515</v>
      </c>
      <c r="J210" s="44" t="s">
        <v>1516</v>
      </c>
      <c r="K210" s="42" t="s">
        <v>1416</v>
      </c>
      <c r="L210" s="44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5" t="s">
        <v>1517</v>
      </c>
      <c r="V210" s="45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5" t="s">
        <v>1518</v>
      </c>
      <c r="D211" s="45" t="s">
        <v>1519</v>
      </c>
      <c r="E211" s="7">
        <v>6</v>
      </c>
      <c r="F211" s="7" t="s">
        <v>1520</v>
      </c>
      <c r="G211" s="44" t="s">
        <v>1521</v>
      </c>
      <c r="H211" s="44" t="s">
        <v>1281</v>
      </c>
      <c r="I211" s="44" t="s">
        <v>1522</v>
      </c>
      <c r="J211" s="44" t="s">
        <v>1523</v>
      </c>
      <c r="K211" s="42" t="s">
        <v>1439</v>
      </c>
      <c r="L211" s="44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si="82"/>
        <v>599</v>
      </c>
      <c r="S211" s="9">
        <f t="shared" ref="S211:S220" si="92">S210+20</f>
        <v>716</v>
      </c>
      <c r="T211" s="9">
        <v>99.99</v>
      </c>
      <c r="U211" s="45" t="s">
        <v>1524</v>
      </c>
      <c r="V211" s="45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5" t="s">
        <v>1525</v>
      </c>
      <c r="D212" s="45" t="s">
        <v>1526</v>
      </c>
      <c r="E212" s="7">
        <v>6</v>
      </c>
      <c r="F212" s="7" t="s">
        <v>1527</v>
      </c>
      <c r="G212" s="44" t="s">
        <v>1528</v>
      </c>
      <c r="H212" s="44" t="s">
        <v>1281</v>
      </c>
      <c r="I212" s="44" t="s">
        <v>1529</v>
      </c>
      <c r="J212" s="44" t="s">
        <v>1530</v>
      </c>
      <c r="K212" s="42" t="s">
        <v>1460</v>
      </c>
      <c r="L212" s="44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82"/>
        <v>614</v>
      </c>
      <c r="S212" s="9">
        <f t="shared" si="92"/>
        <v>736</v>
      </c>
      <c r="T212" s="9">
        <v>99.99</v>
      </c>
      <c r="U212" s="45" t="s">
        <v>1531</v>
      </c>
      <c r="V212" s="45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5" t="s">
        <v>1532</v>
      </c>
      <c r="D213" s="45" t="s">
        <v>1533</v>
      </c>
      <c r="E213" s="7">
        <v>6</v>
      </c>
      <c r="F213" s="7" t="s">
        <v>1534</v>
      </c>
      <c r="G213" s="44" t="s">
        <v>1338</v>
      </c>
      <c r="H213" s="44" t="s">
        <v>1281</v>
      </c>
      <c r="I213" s="44" t="s">
        <v>1535</v>
      </c>
      <c r="J213" s="44" t="s">
        <v>1279</v>
      </c>
      <c r="K213" s="42" t="s">
        <v>1294</v>
      </c>
      <c r="L213" s="44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82"/>
        <v>629</v>
      </c>
      <c r="S213" s="9">
        <f t="shared" si="92"/>
        <v>756</v>
      </c>
      <c r="T213" s="9">
        <v>99.99</v>
      </c>
      <c r="U213" s="45" t="s">
        <v>1536</v>
      </c>
      <c r="V213" s="45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5" t="s">
        <v>1537</v>
      </c>
      <c r="D214" s="45" t="s">
        <v>1538</v>
      </c>
      <c r="E214" s="7">
        <v>6</v>
      </c>
      <c r="F214" s="7" t="s">
        <v>1539</v>
      </c>
      <c r="G214" s="44" t="s">
        <v>1540</v>
      </c>
      <c r="H214" s="44" t="s">
        <v>1281</v>
      </c>
      <c r="I214" s="44" t="s">
        <v>1541</v>
      </c>
      <c r="J214" s="44" t="s">
        <v>1542</v>
      </c>
      <c r="K214" s="42" t="s">
        <v>1503</v>
      </c>
      <c r="L214" s="44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82"/>
        <v>644</v>
      </c>
      <c r="S214" s="9">
        <f t="shared" si="92"/>
        <v>776</v>
      </c>
      <c r="T214" s="9">
        <v>99.99</v>
      </c>
      <c r="U214" s="45" t="s">
        <v>1543</v>
      </c>
      <c r="V214" s="45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5" t="s">
        <v>1544</v>
      </c>
      <c r="D215" s="45" t="s">
        <v>1545</v>
      </c>
      <c r="E215" s="7">
        <v>6</v>
      </c>
      <c r="F215" s="7" t="s">
        <v>1546</v>
      </c>
      <c r="G215" s="44" t="s">
        <v>1547</v>
      </c>
      <c r="H215" s="44" t="s">
        <v>1281</v>
      </c>
      <c r="I215" s="44" t="s">
        <v>1548</v>
      </c>
      <c r="J215" s="44" t="s">
        <v>1549</v>
      </c>
      <c r="K215" s="42" t="s">
        <v>1523</v>
      </c>
      <c r="L215" s="44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82"/>
        <v>659</v>
      </c>
      <c r="S215" s="9">
        <f t="shared" si="92"/>
        <v>796</v>
      </c>
      <c r="T215" s="9">
        <v>99.99</v>
      </c>
      <c r="U215" s="45" t="s">
        <v>534</v>
      </c>
      <c r="V215" s="45" t="s">
        <v>534</v>
      </c>
      <c r="X215" s="7" t="s">
        <v>158</v>
      </c>
      <c r="Y215" s="7">
        <v>0</v>
      </c>
      <c r="Z215" s="9"/>
      <c r="AA215" s="9"/>
    </row>
    <row r="216" s="10" customFormat="1" customHeight="1" spans="1:27">
      <c r="A216" s="27"/>
      <c r="B216" s="27"/>
      <c r="C216" s="46" t="s">
        <v>1550</v>
      </c>
      <c r="D216" s="46" t="s">
        <v>1551</v>
      </c>
      <c r="E216" s="28">
        <v>7</v>
      </c>
      <c r="F216" s="10" t="s">
        <v>1552</v>
      </c>
      <c r="G216" s="47" t="s">
        <v>1453</v>
      </c>
      <c r="H216" s="48" t="s">
        <v>1281</v>
      </c>
      <c r="I216" s="47" t="s">
        <v>1553</v>
      </c>
      <c r="J216" s="41" t="s">
        <v>1554</v>
      </c>
      <c r="K216" s="37" t="s">
        <v>1549</v>
      </c>
      <c r="L216" s="41" t="s">
        <v>1555</v>
      </c>
      <c r="M216" s="28">
        <f t="shared" ref="M216:M250" si="93">M215+30000</f>
        <v>261000</v>
      </c>
      <c r="N216" s="28">
        <f t="shared" ref="N216:N250" si="94">N215+30000</f>
        <v>261000</v>
      </c>
      <c r="O216" s="28">
        <f t="shared" ref="O216:O250" si="95">O215+30000</f>
        <v>232750</v>
      </c>
      <c r="P216" s="28">
        <f t="shared" ref="P216:P250" si="96">P215+30000</f>
        <v>232750</v>
      </c>
      <c r="Q216" s="28">
        <f t="shared" ref="Q216:Q250" si="97">Q215+7</f>
        <v>292</v>
      </c>
      <c r="R216" s="9">
        <f t="shared" ref="R216:R250" si="98">R215+18</f>
        <v>677</v>
      </c>
      <c r="S216" s="27">
        <f t="shared" ref="S216:S250" si="99">S215+30</f>
        <v>826</v>
      </c>
      <c r="T216" s="27">
        <v>99.99</v>
      </c>
      <c r="U216" s="46" t="s">
        <v>1556</v>
      </c>
      <c r="V216" s="46" t="s">
        <v>1556</v>
      </c>
      <c r="X216" s="10" t="s">
        <v>158</v>
      </c>
      <c r="Y216" s="10">
        <v>0</v>
      </c>
    </row>
    <row r="217" s="5" customFormat="1" customHeight="1" spans="1:27">
      <c r="A217" s="8"/>
      <c r="B217" s="8"/>
      <c r="C217" s="43" t="s">
        <v>1557</v>
      </c>
      <c r="D217" s="45" t="s">
        <v>1558</v>
      </c>
      <c r="E217" s="6">
        <v>7</v>
      </c>
      <c r="F217" s="5" t="s">
        <v>1559</v>
      </c>
      <c r="G217" s="38" t="s">
        <v>1560</v>
      </c>
      <c r="H217" s="44" t="s">
        <v>1281</v>
      </c>
      <c r="I217" s="38" t="s">
        <v>1561</v>
      </c>
      <c r="J217" s="42" t="s">
        <v>1562</v>
      </c>
      <c r="K217" s="42" t="s">
        <v>1554</v>
      </c>
      <c r="L217" s="38" t="s">
        <v>1398</v>
      </c>
      <c r="M217" s="7">
        <f t="shared" si="93"/>
        <v>291000</v>
      </c>
      <c r="N217" s="7">
        <f t="shared" si="94"/>
        <v>291000</v>
      </c>
      <c r="O217" s="7">
        <f t="shared" si="95"/>
        <v>262750</v>
      </c>
      <c r="P217" s="7">
        <f t="shared" si="96"/>
        <v>262750</v>
      </c>
      <c r="Q217" s="6">
        <f t="shared" si="97"/>
        <v>299</v>
      </c>
      <c r="R217" s="9">
        <f t="shared" si="98"/>
        <v>695</v>
      </c>
      <c r="S217" s="9">
        <f t="shared" si="99"/>
        <v>856</v>
      </c>
      <c r="T217" s="9">
        <v>99.99</v>
      </c>
      <c r="U217" s="45" t="s">
        <v>1563</v>
      </c>
      <c r="V217" s="45" t="s">
        <v>1563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43" t="s">
        <v>1564</v>
      </c>
      <c r="D218" s="45" t="s">
        <v>1565</v>
      </c>
      <c r="E218" s="6">
        <v>7</v>
      </c>
      <c r="F218" s="5" t="s">
        <v>1566</v>
      </c>
      <c r="G218" s="38" t="s">
        <v>1487</v>
      </c>
      <c r="H218" s="44" t="s">
        <v>1281</v>
      </c>
      <c r="I218" s="38" t="s">
        <v>1567</v>
      </c>
      <c r="J218" s="38" t="s">
        <v>1308</v>
      </c>
      <c r="K218" s="38" t="s">
        <v>1341</v>
      </c>
      <c r="L218" s="38" t="s">
        <v>1415</v>
      </c>
      <c r="M218" s="7">
        <f t="shared" si="93"/>
        <v>321000</v>
      </c>
      <c r="N218" s="7">
        <f t="shared" si="94"/>
        <v>321000</v>
      </c>
      <c r="O218" s="7">
        <f t="shared" si="95"/>
        <v>292750</v>
      </c>
      <c r="P218" s="7">
        <f t="shared" si="96"/>
        <v>292750</v>
      </c>
      <c r="Q218" s="6">
        <f t="shared" si="97"/>
        <v>306</v>
      </c>
      <c r="R218" s="9">
        <f t="shared" si="98"/>
        <v>713</v>
      </c>
      <c r="S218" s="9">
        <f t="shared" si="99"/>
        <v>886</v>
      </c>
      <c r="T218" s="9">
        <v>99.99</v>
      </c>
      <c r="U218" s="45" t="s">
        <v>1568</v>
      </c>
      <c r="V218" s="45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43" t="s">
        <v>1569</v>
      </c>
      <c r="D219" s="45" t="s">
        <v>1570</v>
      </c>
      <c r="E219" s="6">
        <v>7</v>
      </c>
      <c r="F219" s="5" t="s">
        <v>1571</v>
      </c>
      <c r="G219" s="38" t="s">
        <v>1572</v>
      </c>
      <c r="H219" s="44" t="s">
        <v>1281</v>
      </c>
      <c r="I219" s="38" t="s">
        <v>1573</v>
      </c>
      <c r="J219" s="38" t="s">
        <v>1574</v>
      </c>
      <c r="K219" s="38" t="s">
        <v>1575</v>
      </c>
      <c r="L219" s="38" t="s">
        <v>1576</v>
      </c>
      <c r="M219" s="7">
        <f t="shared" si="93"/>
        <v>351000</v>
      </c>
      <c r="N219" s="7">
        <f t="shared" si="94"/>
        <v>351000</v>
      </c>
      <c r="O219" s="7">
        <f t="shared" si="95"/>
        <v>322750</v>
      </c>
      <c r="P219" s="7">
        <f t="shared" si="96"/>
        <v>322750</v>
      </c>
      <c r="Q219" s="6">
        <f t="shared" si="97"/>
        <v>313</v>
      </c>
      <c r="R219" s="9">
        <f t="shared" si="98"/>
        <v>731</v>
      </c>
      <c r="S219" s="9">
        <f t="shared" si="99"/>
        <v>916</v>
      </c>
      <c r="T219" s="9">
        <v>99.99</v>
      </c>
      <c r="U219" s="45" t="s">
        <v>1577</v>
      </c>
      <c r="V219" s="45" t="s">
        <v>1577</v>
      </c>
      <c r="X219" s="5" t="s">
        <v>158</v>
      </c>
      <c r="Y219" s="5">
        <v>0</v>
      </c>
    </row>
    <row r="220" s="5" customFormat="1" customHeight="1" spans="1:27">
      <c r="C220" s="43" t="s">
        <v>1578</v>
      </c>
      <c r="D220" s="45" t="s">
        <v>1579</v>
      </c>
      <c r="E220" s="6">
        <v>7</v>
      </c>
      <c r="F220" s="5" t="s">
        <v>1580</v>
      </c>
      <c r="G220" s="38" t="s">
        <v>1522</v>
      </c>
      <c r="H220" s="44" t="s">
        <v>1281</v>
      </c>
      <c r="I220" s="38" t="s">
        <v>1581</v>
      </c>
      <c r="J220" s="38" t="s">
        <v>1582</v>
      </c>
      <c r="K220" s="38" t="s">
        <v>1582</v>
      </c>
      <c r="L220" s="38" t="s">
        <v>1453</v>
      </c>
      <c r="M220" s="7">
        <f t="shared" si="93"/>
        <v>381000</v>
      </c>
      <c r="N220" s="7">
        <f t="shared" si="94"/>
        <v>381000</v>
      </c>
      <c r="O220" s="7">
        <f t="shared" si="95"/>
        <v>352750</v>
      </c>
      <c r="P220" s="7">
        <f t="shared" si="96"/>
        <v>352750</v>
      </c>
      <c r="Q220" s="6">
        <f t="shared" si="97"/>
        <v>320</v>
      </c>
      <c r="R220" s="9">
        <f t="shared" si="98"/>
        <v>749</v>
      </c>
      <c r="S220" s="9">
        <f t="shared" si="99"/>
        <v>946</v>
      </c>
      <c r="T220" s="9">
        <v>99.99</v>
      </c>
      <c r="U220" s="45" t="s">
        <v>1583</v>
      </c>
      <c r="V220" s="45" t="s">
        <v>1583</v>
      </c>
      <c r="X220" s="5" t="s">
        <v>158</v>
      </c>
      <c r="Y220" s="5">
        <v>0</v>
      </c>
    </row>
    <row r="221" s="3" customFormat="1" customHeight="1" spans="1:27">
      <c r="A221" s="8"/>
      <c r="B221" s="8"/>
      <c r="C221" s="45" t="s">
        <v>1584</v>
      </c>
      <c r="D221" s="45" t="s">
        <v>1585</v>
      </c>
      <c r="E221" s="7">
        <v>7</v>
      </c>
      <c r="F221" s="6" t="s">
        <v>1586</v>
      </c>
      <c r="G221" s="38" t="s">
        <v>1587</v>
      </c>
      <c r="H221" s="44" t="s">
        <v>1281</v>
      </c>
      <c r="I221" s="38" t="s">
        <v>1588</v>
      </c>
      <c r="J221" s="38" t="s">
        <v>1376</v>
      </c>
      <c r="K221" s="38" t="s">
        <v>1376</v>
      </c>
      <c r="L221" s="38" t="s">
        <v>1560</v>
      </c>
      <c r="M221" s="7">
        <f t="shared" si="93"/>
        <v>411000</v>
      </c>
      <c r="N221" s="7">
        <f t="shared" si="94"/>
        <v>411000</v>
      </c>
      <c r="O221" s="7">
        <f t="shared" si="95"/>
        <v>382750</v>
      </c>
      <c r="P221" s="7">
        <f t="shared" si="96"/>
        <v>382750</v>
      </c>
      <c r="Q221" s="6">
        <f t="shared" si="97"/>
        <v>327</v>
      </c>
      <c r="R221" s="9">
        <f t="shared" si="98"/>
        <v>767</v>
      </c>
      <c r="S221" s="9">
        <f t="shared" si="99"/>
        <v>976</v>
      </c>
      <c r="T221" s="9">
        <v>99.99</v>
      </c>
      <c r="U221" s="45" t="s">
        <v>1589</v>
      </c>
      <c r="V221" s="45" t="s">
        <v>1589</v>
      </c>
      <c r="X221" s="3" t="s">
        <v>158</v>
      </c>
      <c r="Y221" s="3">
        <v>0</v>
      </c>
    </row>
    <row r="222" s="3" customFormat="1" customHeight="1" spans="1:27">
      <c r="A222" s="8"/>
      <c r="B222" s="8"/>
      <c r="C222" s="45" t="s">
        <v>1590</v>
      </c>
      <c r="D222" s="45" t="s">
        <v>1591</v>
      </c>
      <c r="E222" s="7">
        <v>7</v>
      </c>
      <c r="F222" s="6" t="s">
        <v>1592</v>
      </c>
      <c r="G222" s="38" t="s">
        <v>1593</v>
      </c>
      <c r="H222" s="44" t="s">
        <v>1281</v>
      </c>
      <c r="I222" s="38" t="s">
        <v>1594</v>
      </c>
      <c r="J222" s="38" t="s">
        <v>1595</v>
      </c>
      <c r="K222" s="38" t="s">
        <v>1595</v>
      </c>
      <c r="L222" s="38" t="s">
        <v>1487</v>
      </c>
      <c r="M222" s="7">
        <f t="shared" si="93"/>
        <v>441000</v>
      </c>
      <c r="N222" s="7">
        <f t="shared" si="94"/>
        <v>441000</v>
      </c>
      <c r="O222" s="7">
        <f t="shared" si="95"/>
        <v>412750</v>
      </c>
      <c r="P222" s="7">
        <f t="shared" si="96"/>
        <v>412750</v>
      </c>
      <c r="Q222" s="6">
        <f t="shared" si="97"/>
        <v>334</v>
      </c>
      <c r="R222" s="9">
        <f t="shared" si="98"/>
        <v>785</v>
      </c>
      <c r="S222" s="9">
        <f t="shared" si="99"/>
        <v>1006</v>
      </c>
      <c r="T222" s="9">
        <v>99.99</v>
      </c>
      <c r="U222" s="45" t="s">
        <v>1596</v>
      </c>
      <c r="V222" s="45" t="s">
        <v>1596</v>
      </c>
      <c r="W222" s="5"/>
      <c r="X222" s="5" t="s">
        <v>158</v>
      </c>
      <c r="Y222" s="3">
        <v>0</v>
      </c>
    </row>
    <row r="223" s="3" customFormat="1" customHeight="1" spans="1:27">
      <c r="A223" s="8"/>
      <c r="B223" s="8"/>
      <c r="C223" s="45" t="s">
        <v>1597</v>
      </c>
      <c r="D223" s="45" t="s">
        <v>1598</v>
      </c>
      <c r="E223" s="7">
        <v>7</v>
      </c>
      <c r="F223" s="6" t="s">
        <v>1599</v>
      </c>
      <c r="G223" s="38" t="s">
        <v>1600</v>
      </c>
      <c r="H223" s="44" t="s">
        <v>1281</v>
      </c>
      <c r="I223" s="38" t="s">
        <v>1601</v>
      </c>
      <c r="J223" s="38" t="s">
        <v>1401</v>
      </c>
      <c r="K223" s="38" t="s">
        <v>1401</v>
      </c>
      <c r="L223" s="38" t="s">
        <v>1572</v>
      </c>
      <c r="M223" s="7">
        <f t="shared" si="93"/>
        <v>471000</v>
      </c>
      <c r="N223" s="7">
        <f t="shared" si="94"/>
        <v>471000</v>
      </c>
      <c r="O223" s="7">
        <f t="shared" si="95"/>
        <v>442750</v>
      </c>
      <c r="P223" s="7">
        <f t="shared" si="96"/>
        <v>442750</v>
      </c>
      <c r="Q223" s="6">
        <f t="shared" si="97"/>
        <v>341</v>
      </c>
      <c r="R223" s="9">
        <f t="shared" si="98"/>
        <v>803</v>
      </c>
      <c r="S223" s="9">
        <f t="shared" si="99"/>
        <v>1036</v>
      </c>
      <c r="T223" s="9">
        <v>99.99</v>
      </c>
      <c r="U223" s="45" t="s">
        <v>1602</v>
      </c>
      <c r="V223" s="45" t="s">
        <v>1602</v>
      </c>
      <c r="W223" s="5"/>
      <c r="X223" s="5" t="s">
        <v>158</v>
      </c>
      <c r="Y223" s="3">
        <v>0</v>
      </c>
    </row>
    <row r="224" s="3" customFormat="1" customHeight="1" spans="1:27">
      <c r="A224" s="8"/>
      <c r="B224" s="8"/>
      <c r="C224" s="45" t="s">
        <v>1603</v>
      </c>
      <c r="D224" s="45" t="s">
        <v>1604</v>
      </c>
      <c r="E224" s="7">
        <v>7</v>
      </c>
      <c r="F224" s="6" t="s">
        <v>1605</v>
      </c>
      <c r="G224" s="38" t="s">
        <v>1573</v>
      </c>
      <c r="H224" s="44" t="s">
        <v>1281</v>
      </c>
      <c r="I224" s="38" t="s">
        <v>1606</v>
      </c>
      <c r="J224" s="38" t="s">
        <v>1290</v>
      </c>
      <c r="K224" s="38" t="s">
        <v>1290</v>
      </c>
      <c r="L224" s="38" t="s">
        <v>1522</v>
      </c>
      <c r="M224" s="7">
        <f t="shared" si="93"/>
        <v>501000</v>
      </c>
      <c r="N224" s="7">
        <f t="shared" si="94"/>
        <v>501000</v>
      </c>
      <c r="O224" s="7">
        <f t="shared" si="95"/>
        <v>472750</v>
      </c>
      <c r="P224" s="7">
        <f t="shared" si="96"/>
        <v>472750</v>
      </c>
      <c r="Q224" s="6">
        <f t="shared" si="97"/>
        <v>348</v>
      </c>
      <c r="R224" s="9">
        <f t="shared" si="98"/>
        <v>821</v>
      </c>
      <c r="S224" s="9">
        <f t="shared" si="99"/>
        <v>1066</v>
      </c>
      <c r="T224" s="9">
        <v>99.99</v>
      </c>
      <c r="U224" s="45" t="s">
        <v>1607</v>
      </c>
      <c r="V224" s="45" t="s">
        <v>1607</v>
      </c>
      <c r="W224" s="5"/>
      <c r="X224" s="5" t="s">
        <v>158</v>
      </c>
      <c r="Y224" s="3">
        <v>0</v>
      </c>
    </row>
    <row r="225" s="3" customFormat="1" customHeight="1" spans="1:25">
      <c r="A225" s="8"/>
      <c r="B225" s="8"/>
      <c r="C225" s="45" t="s">
        <v>1608</v>
      </c>
      <c r="D225" s="45" t="s">
        <v>1609</v>
      </c>
      <c r="E225" s="7">
        <v>7</v>
      </c>
      <c r="F225" s="6" t="s">
        <v>1610</v>
      </c>
      <c r="G225" s="38" t="s">
        <v>1611</v>
      </c>
      <c r="H225" s="44" t="s">
        <v>1281</v>
      </c>
      <c r="I225" s="38" t="s">
        <v>1612</v>
      </c>
      <c r="J225" s="38" t="s">
        <v>1373</v>
      </c>
      <c r="K225" s="38" t="s">
        <v>1373</v>
      </c>
      <c r="L225" s="38" t="s">
        <v>1587</v>
      </c>
      <c r="M225" s="7">
        <f t="shared" si="93"/>
        <v>531000</v>
      </c>
      <c r="N225" s="7">
        <f t="shared" si="94"/>
        <v>531000</v>
      </c>
      <c r="O225" s="7">
        <f t="shared" si="95"/>
        <v>502750</v>
      </c>
      <c r="P225" s="7">
        <f t="shared" si="96"/>
        <v>502750</v>
      </c>
      <c r="Q225" s="6">
        <f t="shared" si="97"/>
        <v>355</v>
      </c>
      <c r="R225" s="9">
        <f t="shared" si="98"/>
        <v>839</v>
      </c>
      <c r="S225" s="9">
        <f t="shared" si="99"/>
        <v>1096</v>
      </c>
      <c r="T225" s="9">
        <v>99.99</v>
      </c>
      <c r="U225" s="45" t="s">
        <v>1613</v>
      </c>
      <c r="V225" s="45" t="s">
        <v>1613</v>
      </c>
      <c r="W225" s="5"/>
      <c r="X225" s="5" t="s">
        <v>158</v>
      </c>
      <c r="Y225" s="3">
        <v>0</v>
      </c>
    </row>
    <row r="226" s="3" customFormat="1" customHeight="1" spans="1:25">
      <c r="A226" s="8"/>
      <c r="B226" s="8"/>
      <c r="C226" s="45" t="s">
        <v>1614</v>
      </c>
      <c r="D226" s="45" t="s">
        <v>1615</v>
      </c>
      <c r="E226" s="7">
        <v>7</v>
      </c>
      <c r="F226" s="6" t="s">
        <v>1616</v>
      </c>
      <c r="G226" s="38" t="s">
        <v>1617</v>
      </c>
      <c r="H226" s="44" t="s">
        <v>1281</v>
      </c>
      <c r="I226" s="38" t="s">
        <v>1618</v>
      </c>
      <c r="J226" s="42" t="s">
        <v>1619</v>
      </c>
      <c r="K226" s="42" t="s">
        <v>1619</v>
      </c>
      <c r="L226" s="38" t="s">
        <v>1593</v>
      </c>
      <c r="M226" s="7">
        <f t="shared" si="93"/>
        <v>561000</v>
      </c>
      <c r="N226" s="7">
        <f t="shared" si="94"/>
        <v>561000</v>
      </c>
      <c r="O226" s="7">
        <f t="shared" si="95"/>
        <v>532750</v>
      </c>
      <c r="P226" s="7">
        <f t="shared" si="96"/>
        <v>532750</v>
      </c>
      <c r="Q226" s="6">
        <f t="shared" si="97"/>
        <v>362</v>
      </c>
      <c r="R226" s="9">
        <f t="shared" si="98"/>
        <v>857</v>
      </c>
      <c r="S226" s="9">
        <f t="shared" si="99"/>
        <v>1126</v>
      </c>
      <c r="T226" s="9">
        <v>99.99</v>
      </c>
      <c r="U226" s="45" t="s">
        <v>1620</v>
      </c>
      <c r="V226" s="45" t="s">
        <v>1620</v>
      </c>
      <c r="X226" s="3" t="s">
        <v>158</v>
      </c>
      <c r="Y226" s="3">
        <v>0</v>
      </c>
    </row>
    <row r="227" s="3" customFormat="1" customHeight="1" spans="1:25">
      <c r="A227" s="8"/>
      <c r="B227" s="8"/>
      <c r="C227" s="45" t="s">
        <v>1621</v>
      </c>
      <c r="D227" s="45" t="s">
        <v>1622</v>
      </c>
      <c r="E227" s="7">
        <v>7</v>
      </c>
      <c r="F227" s="6" t="s">
        <v>1623</v>
      </c>
      <c r="G227" s="38" t="s">
        <v>1624</v>
      </c>
      <c r="H227" s="44" t="s">
        <v>1281</v>
      </c>
      <c r="I227" s="38" t="s">
        <v>1625</v>
      </c>
      <c r="J227" s="42" t="s">
        <v>1191</v>
      </c>
      <c r="K227" s="42" t="s">
        <v>1191</v>
      </c>
      <c r="L227" s="38" t="s">
        <v>1600</v>
      </c>
      <c r="M227" s="7">
        <f t="shared" si="93"/>
        <v>591000</v>
      </c>
      <c r="N227" s="7">
        <f t="shared" si="94"/>
        <v>591000</v>
      </c>
      <c r="O227" s="7">
        <f t="shared" si="95"/>
        <v>562750</v>
      </c>
      <c r="P227" s="7">
        <f t="shared" si="96"/>
        <v>562750</v>
      </c>
      <c r="Q227" s="6">
        <f t="shared" si="97"/>
        <v>369</v>
      </c>
      <c r="R227" s="9">
        <f t="shared" si="98"/>
        <v>875</v>
      </c>
      <c r="S227" s="9">
        <f t="shared" si="99"/>
        <v>1156</v>
      </c>
      <c r="T227" s="9">
        <v>99.99</v>
      </c>
      <c r="U227" s="45" t="s">
        <v>1626</v>
      </c>
      <c r="V227" s="45" t="s">
        <v>1626</v>
      </c>
      <c r="X227" s="3" t="s">
        <v>158</v>
      </c>
      <c r="Y227" s="3">
        <v>0</v>
      </c>
    </row>
    <row r="228" s="3" customFormat="1" customHeight="1" spans="1:25">
      <c r="A228" s="8"/>
      <c r="B228" s="8"/>
      <c r="C228" s="45" t="s">
        <v>1627</v>
      </c>
      <c r="D228" s="45" t="s">
        <v>1628</v>
      </c>
      <c r="E228" s="7">
        <v>7</v>
      </c>
      <c r="F228" s="6" t="s">
        <v>1629</v>
      </c>
      <c r="G228" s="38" t="s">
        <v>1630</v>
      </c>
      <c r="H228" s="44" t="s">
        <v>1281</v>
      </c>
      <c r="I228" s="38" t="s">
        <v>1631</v>
      </c>
      <c r="J228" s="42" t="s">
        <v>1318</v>
      </c>
      <c r="K228" s="42" t="s">
        <v>1318</v>
      </c>
      <c r="L228" s="38" t="s">
        <v>1573</v>
      </c>
      <c r="M228" s="7">
        <f t="shared" si="93"/>
        <v>621000</v>
      </c>
      <c r="N228" s="7">
        <f t="shared" si="94"/>
        <v>621000</v>
      </c>
      <c r="O228" s="7">
        <f t="shared" si="95"/>
        <v>592750</v>
      </c>
      <c r="P228" s="7">
        <f t="shared" si="96"/>
        <v>592750</v>
      </c>
      <c r="Q228" s="6">
        <f t="shared" si="97"/>
        <v>376</v>
      </c>
      <c r="R228" s="9">
        <f t="shared" si="98"/>
        <v>893</v>
      </c>
      <c r="S228" s="9">
        <f t="shared" si="99"/>
        <v>1186</v>
      </c>
      <c r="T228" s="9">
        <v>99.99</v>
      </c>
      <c r="U228" s="45" t="s">
        <v>1632</v>
      </c>
      <c r="V228" s="45" t="s">
        <v>1632</v>
      </c>
      <c r="X228" s="3" t="s">
        <v>158</v>
      </c>
      <c r="Y228" s="3">
        <v>0</v>
      </c>
    </row>
    <row r="229" s="3" customFormat="1" customHeight="1" spans="1:25">
      <c r="A229" s="8"/>
      <c r="B229" s="8"/>
      <c r="C229" s="45" t="s">
        <v>1633</v>
      </c>
      <c r="D229" s="45" t="s">
        <v>1634</v>
      </c>
      <c r="E229" s="7">
        <v>7</v>
      </c>
      <c r="F229" s="6" t="s">
        <v>1635</v>
      </c>
      <c r="G229" s="38" t="s">
        <v>1636</v>
      </c>
      <c r="H229" s="44" t="s">
        <v>1281</v>
      </c>
      <c r="I229" s="38" t="s">
        <v>1637</v>
      </c>
      <c r="J229" s="42" t="s">
        <v>1422</v>
      </c>
      <c r="K229" s="42" t="s">
        <v>1422</v>
      </c>
      <c r="L229" s="38" t="s">
        <v>1611</v>
      </c>
      <c r="M229" s="7">
        <f t="shared" si="93"/>
        <v>651000</v>
      </c>
      <c r="N229" s="7">
        <f t="shared" si="94"/>
        <v>651000</v>
      </c>
      <c r="O229" s="7">
        <f t="shared" si="95"/>
        <v>622750</v>
      </c>
      <c r="P229" s="7">
        <f t="shared" si="96"/>
        <v>622750</v>
      </c>
      <c r="Q229" s="6">
        <f t="shared" si="97"/>
        <v>383</v>
      </c>
      <c r="R229" s="9">
        <f t="shared" si="98"/>
        <v>911</v>
      </c>
      <c r="S229" s="9">
        <f t="shared" si="99"/>
        <v>1216</v>
      </c>
      <c r="T229" s="9">
        <v>99.99</v>
      </c>
      <c r="U229" s="45" t="s">
        <v>1638</v>
      </c>
      <c r="V229" s="45" t="s">
        <v>1638</v>
      </c>
      <c r="X229" s="3" t="s">
        <v>158</v>
      </c>
      <c r="Y229" s="3">
        <v>0</v>
      </c>
    </row>
    <row r="230" s="3" customFormat="1" customHeight="1" spans="1:25">
      <c r="A230" s="8"/>
      <c r="B230" s="8"/>
      <c r="C230" s="45" t="s">
        <v>1639</v>
      </c>
      <c r="D230" s="45" t="s">
        <v>1640</v>
      </c>
      <c r="E230" s="7">
        <v>7</v>
      </c>
      <c r="F230" s="6" t="s">
        <v>1641</v>
      </c>
      <c r="G230" s="38" t="s">
        <v>1642</v>
      </c>
      <c r="H230" s="44" t="s">
        <v>1281</v>
      </c>
      <c r="I230" s="38" t="s">
        <v>1643</v>
      </c>
      <c r="J230" s="42" t="s">
        <v>1644</v>
      </c>
      <c r="K230" s="42" t="s">
        <v>1644</v>
      </c>
      <c r="L230" s="38" t="s">
        <v>1645</v>
      </c>
      <c r="M230" s="7">
        <f t="shared" si="93"/>
        <v>681000</v>
      </c>
      <c r="N230" s="7">
        <f t="shared" si="94"/>
        <v>681000</v>
      </c>
      <c r="O230" s="7">
        <f t="shared" si="95"/>
        <v>652750</v>
      </c>
      <c r="P230" s="7">
        <f t="shared" si="96"/>
        <v>652750</v>
      </c>
      <c r="Q230" s="6">
        <f t="shared" si="97"/>
        <v>390</v>
      </c>
      <c r="R230" s="9">
        <f t="shared" si="98"/>
        <v>929</v>
      </c>
      <c r="S230" s="9">
        <f t="shared" si="99"/>
        <v>1246</v>
      </c>
      <c r="T230" s="9">
        <v>99.99</v>
      </c>
      <c r="U230" s="45" t="s">
        <v>1646</v>
      </c>
      <c r="V230" s="45" t="s">
        <v>1646</v>
      </c>
      <c r="X230" s="3" t="s">
        <v>158</v>
      </c>
      <c r="Y230" s="3">
        <v>0</v>
      </c>
    </row>
    <row r="231" s="3" customFormat="1" customHeight="1" spans="1:25">
      <c r="A231" s="8"/>
      <c r="B231" s="8"/>
      <c r="C231" s="45" t="s">
        <v>1647</v>
      </c>
      <c r="D231" s="45" t="s">
        <v>1648</v>
      </c>
      <c r="E231" s="7">
        <v>7</v>
      </c>
      <c r="F231" s="6" t="s">
        <v>1649</v>
      </c>
      <c r="G231" s="38" t="s">
        <v>1650</v>
      </c>
      <c r="H231" s="44" t="s">
        <v>1281</v>
      </c>
      <c r="I231" s="38" t="s">
        <v>1651</v>
      </c>
      <c r="J231" s="42" t="s">
        <v>1445</v>
      </c>
      <c r="K231" s="42" t="s">
        <v>1445</v>
      </c>
      <c r="L231" s="38" t="s">
        <v>1601</v>
      </c>
      <c r="M231" s="7">
        <f t="shared" si="93"/>
        <v>711000</v>
      </c>
      <c r="N231" s="7">
        <f t="shared" si="94"/>
        <v>711000</v>
      </c>
      <c r="O231" s="7">
        <f t="shared" si="95"/>
        <v>682750</v>
      </c>
      <c r="P231" s="7">
        <f t="shared" si="96"/>
        <v>682750</v>
      </c>
      <c r="Q231" s="6">
        <f t="shared" si="97"/>
        <v>397</v>
      </c>
      <c r="R231" s="9">
        <f t="shared" si="98"/>
        <v>947</v>
      </c>
      <c r="S231" s="9">
        <f t="shared" si="99"/>
        <v>1276</v>
      </c>
      <c r="T231" s="9">
        <v>99.99</v>
      </c>
      <c r="U231" s="45" t="s">
        <v>541</v>
      </c>
      <c r="V231" s="45" t="s">
        <v>541</v>
      </c>
      <c r="X231" s="3" t="s">
        <v>158</v>
      </c>
      <c r="Y231" s="3">
        <v>0</v>
      </c>
    </row>
    <row r="232" s="3" customFormat="1" customHeight="1" spans="1:25">
      <c r="A232" s="8"/>
      <c r="B232" s="8"/>
      <c r="C232" s="45" t="s">
        <v>1652</v>
      </c>
      <c r="D232" s="45" t="s">
        <v>1653</v>
      </c>
      <c r="E232" s="7">
        <v>7</v>
      </c>
      <c r="F232" s="7" t="s">
        <v>1654</v>
      </c>
      <c r="G232" s="38" t="s">
        <v>1655</v>
      </c>
      <c r="H232" s="44" t="s">
        <v>1281</v>
      </c>
      <c r="I232" s="38" t="s">
        <v>1656</v>
      </c>
      <c r="J232" s="42" t="s">
        <v>1657</v>
      </c>
      <c r="K232" s="42" t="s">
        <v>1657</v>
      </c>
      <c r="L232" s="38" t="s">
        <v>1630</v>
      </c>
      <c r="M232" s="7">
        <f t="shared" si="93"/>
        <v>741000</v>
      </c>
      <c r="N232" s="7">
        <f t="shared" si="94"/>
        <v>741000</v>
      </c>
      <c r="O232" s="7">
        <f t="shared" si="95"/>
        <v>712750</v>
      </c>
      <c r="P232" s="7">
        <f t="shared" si="96"/>
        <v>712750</v>
      </c>
      <c r="Q232" s="6">
        <f t="shared" si="97"/>
        <v>404</v>
      </c>
      <c r="R232" s="9">
        <f t="shared" si="98"/>
        <v>965</v>
      </c>
      <c r="S232" s="9">
        <f t="shared" si="99"/>
        <v>1306</v>
      </c>
      <c r="T232" s="9">
        <v>99.99</v>
      </c>
      <c r="U232" s="45" t="s">
        <v>1658</v>
      </c>
      <c r="V232" s="45" t="s">
        <v>1658</v>
      </c>
      <c r="X232" s="3" t="s">
        <v>158</v>
      </c>
      <c r="Y232" s="3">
        <v>0</v>
      </c>
    </row>
    <row r="233" s="3" customFormat="1" customHeight="1" spans="1:25">
      <c r="A233" s="8"/>
      <c r="B233" s="8"/>
      <c r="C233" s="45" t="s">
        <v>1659</v>
      </c>
      <c r="D233" s="45" t="s">
        <v>1660</v>
      </c>
      <c r="E233" s="7">
        <v>7</v>
      </c>
      <c r="F233" s="7" t="s">
        <v>1661</v>
      </c>
      <c r="G233" s="38" t="s">
        <v>1662</v>
      </c>
      <c r="H233" s="44" t="s">
        <v>1281</v>
      </c>
      <c r="I233" s="38" t="s">
        <v>1663</v>
      </c>
      <c r="J233" s="42" t="s">
        <v>1466</v>
      </c>
      <c r="K233" s="42" t="s">
        <v>1466</v>
      </c>
      <c r="L233" s="38" t="s">
        <v>1664</v>
      </c>
      <c r="M233" s="7">
        <f t="shared" si="93"/>
        <v>771000</v>
      </c>
      <c r="N233" s="7">
        <f t="shared" si="94"/>
        <v>771000</v>
      </c>
      <c r="O233" s="7">
        <f t="shared" si="95"/>
        <v>742750</v>
      </c>
      <c r="P233" s="7">
        <f t="shared" si="96"/>
        <v>742750</v>
      </c>
      <c r="Q233" s="6">
        <f t="shared" si="97"/>
        <v>411</v>
      </c>
      <c r="R233" s="9">
        <f t="shared" si="98"/>
        <v>983</v>
      </c>
      <c r="S233" s="9">
        <f t="shared" si="99"/>
        <v>1336</v>
      </c>
      <c r="T233" s="9">
        <v>99.99</v>
      </c>
      <c r="U233" s="45" t="s">
        <v>1665</v>
      </c>
      <c r="V233" s="45" t="s">
        <v>1665</v>
      </c>
      <c r="X233" s="3" t="s">
        <v>158</v>
      </c>
      <c r="Y233" s="3">
        <v>0</v>
      </c>
    </row>
    <row r="234" s="3" customFormat="1" customHeight="1" spans="1:25">
      <c r="A234" s="8"/>
      <c r="B234" s="8"/>
      <c r="C234" s="45" t="s">
        <v>1666</v>
      </c>
      <c r="D234" s="45" t="s">
        <v>1667</v>
      </c>
      <c r="E234" s="7">
        <v>7</v>
      </c>
      <c r="F234" s="7" t="s">
        <v>1668</v>
      </c>
      <c r="G234" s="38" t="s">
        <v>1669</v>
      </c>
      <c r="H234" s="44" t="s">
        <v>1281</v>
      </c>
      <c r="I234" s="38" t="s">
        <v>1670</v>
      </c>
      <c r="J234" s="42" t="s">
        <v>1291</v>
      </c>
      <c r="K234" s="42" t="s">
        <v>1291</v>
      </c>
      <c r="L234" s="38" t="s">
        <v>1612</v>
      </c>
      <c r="M234" s="7">
        <f t="shared" si="93"/>
        <v>801000</v>
      </c>
      <c r="N234" s="7">
        <f t="shared" si="94"/>
        <v>801000</v>
      </c>
      <c r="O234" s="7">
        <f t="shared" si="95"/>
        <v>772750</v>
      </c>
      <c r="P234" s="7">
        <f t="shared" si="96"/>
        <v>772750</v>
      </c>
      <c r="Q234" s="6">
        <f t="shared" si="97"/>
        <v>418</v>
      </c>
      <c r="R234" s="9">
        <f t="shared" si="98"/>
        <v>1001</v>
      </c>
      <c r="S234" s="9">
        <f t="shared" si="99"/>
        <v>1366</v>
      </c>
      <c r="T234" s="9">
        <v>99.99</v>
      </c>
      <c r="U234" s="45" t="s">
        <v>1671</v>
      </c>
      <c r="V234" s="45" t="s">
        <v>1671</v>
      </c>
      <c r="X234" s="3" t="s">
        <v>158</v>
      </c>
      <c r="Y234" s="3">
        <v>0</v>
      </c>
    </row>
    <row r="235" s="5" customFormat="1" customHeight="1" spans="1:25">
      <c r="A235" s="8"/>
      <c r="B235" s="8"/>
      <c r="C235" s="43" t="s">
        <v>1672</v>
      </c>
      <c r="D235" s="43" t="s">
        <v>1673</v>
      </c>
      <c r="E235" s="6">
        <v>7</v>
      </c>
      <c r="F235" s="6" t="s">
        <v>1674</v>
      </c>
      <c r="G235" s="38" t="s">
        <v>1675</v>
      </c>
      <c r="H235" s="44" t="s">
        <v>1281</v>
      </c>
      <c r="I235" s="38" t="s">
        <v>1676</v>
      </c>
      <c r="J235" s="42" t="s">
        <v>1486</v>
      </c>
      <c r="K235" s="42" t="s">
        <v>1486</v>
      </c>
      <c r="L235" s="38" t="s">
        <v>1642</v>
      </c>
      <c r="M235" s="6">
        <f t="shared" si="93"/>
        <v>831000</v>
      </c>
      <c r="N235" s="6">
        <f t="shared" si="94"/>
        <v>831000</v>
      </c>
      <c r="O235" s="6">
        <f t="shared" si="95"/>
        <v>802750</v>
      </c>
      <c r="P235" s="6">
        <f t="shared" si="96"/>
        <v>802750</v>
      </c>
      <c r="Q235" s="6">
        <f t="shared" si="97"/>
        <v>425</v>
      </c>
      <c r="R235" s="9">
        <f t="shared" si="98"/>
        <v>1019</v>
      </c>
      <c r="S235" s="8">
        <f t="shared" si="99"/>
        <v>1396</v>
      </c>
      <c r="T235" s="8">
        <v>99.99</v>
      </c>
      <c r="U235" s="43" t="s">
        <v>1677</v>
      </c>
      <c r="V235" s="43" t="s">
        <v>1677</v>
      </c>
      <c r="X235" s="5" t="s">
        <v>158</v>
      </c>
      <c r="Y235" s="5">
        <v>0</v>
      </c>
    </row>
    <row r="236" s="3" customFormat="1" customHeight="1" spans="1:25">
      <c r="A236" s="8"/>
      <c r="B236" s="8"/>
      <c r="C236" s="45" t="s">
        <v>1678</v>
      </c>
      <c r="D236" s="45" t="s">
        <v>1679</v>
      </c>
      <c r="E236" s="7">
        <v>7</v>
      </c>
      <c r="F236" s="6" t="s">
        <v>1680</v>
      </c>
      <c r="G236" s="38" t="s">
        <v>1651</v>
      </c>
      <c r="H236" s="44" t="s">
        <v>1281</v>
      </c>
      <c r="I236" s="38" t="s">
        <v>1681</v>
      </c>
      <c r="J236" s="42" t="s">
        <v>1682</v>
      </c>
      <c r="K236" s="42" t="s">
        <v>1682</v>
      </c>
      <c r="L236" s="38" t="s">
        <v>1683</v>
      </c>
      <c r="M236" s="6">
        <f t="shared" si="93"/>
        <v>861000</v>
      </c>
      <c r="N236" s="6">
        <f t="shared" si="94"/>
        <v>861000</v>
      </c>
      <c r="O236" s="6">
        <f t="shared" si="95"/>
        <v>832750</v>
      </c>
      <c r="P236" s="6">
        <f t="shared" si="96"/>
        <v>832750</v>
      </c>
      <c r="Q236" s="6">
        <f t="shared" si="97"/>
        <v>432</v>
      </c>
      <c r="R236" s="9">
        <f t="shared" si="98"/>
        <v>1037</v>
      </c>
      <c r="S236" s="8">
        <f t="shared" si="99"/>
        <v>1426</v>
      </c>
      <c r="T236" s="8">
        <v>99.99</v>
      </c>
      <c r="U236" s="43" t="s">
        <v>1684</v>
      </c>
      <c r="V236" s="43" t="s">
        <v>1684</v>
      </c>
      <c r="X236" s="3" t="s">
        <v>158</v>
      </c>
      <c r="Y236" s="3">
        <v>0</v>
      </c>
    </row>
    <row r="237" s="3" customFormat="1" customHeight="1" spans="1:25">
      <c r="A237" s="8"/>
      <c r="B237" s="8"/>
      <c r="C237" s="45" t="s">
        <v>1685</v>
      </c>
      <c r="D237" s="45" t="s">
        <v>1686</v>
      </c>
      <c r="E237" s="7">
        <v>7</v>
      </c>
      <c r="F237" s="7" t="s">
        <v>1687</v>
      </c>
      <c r="G237" s="38" t="s">
        <v>1688</v>
      </c>
      <c r="H237" s="44" t="s">
        <v>1281</v>
      </c>
      <c r="I237" s="38" t="s">
        <v>1689</v>
      </c>
      <c r="J237" s="42" t="s">
        <v>1509</v>
      </c>
      <c r="K237" s="42" t="s">
        <v>1509</v>
      </c>
      <c r="L237" s="38" t="s">
        <v>1625</v>
      </c>
      <c r="M237" s="6">
        <f t="shared" si="93"/>
        <v>891000</v>
      </c>
      <c r="N237" s="6">
        <f t="shared" si="94"/>
        <v>891000</v>
      </c>
      <c r="O237" s="6">
        <f t="shared" si="95"/>
        <v>862750</v>
      </c>
      <c r="P237" s="6">
        <f t="shared" si="96"/>
        <v>862750</v>
      </c>
      <c r="Q237" s="6">
        <f t="shared" si="97"/>
        <v>439</v>
      </c>
      <c r="R237" s="9">
        <f t="shared" si="98"/>
        <v>1055</v>
      </c>
      <c r="S237" s="8">
        <f t="shared" si="99"/>
        <v>1456</v>
      </c>
      <c r="T237" s="8">
        <v>99.99</v>
      </c>
      <c r="U237" s="43" t="s">
        <v>1690</v>
      </c>
      <c r="V237" s="43" t="s">
        <v>1690</v>
      </c>
      <c r="X237" s="3" t="s">
        <v>158</v>
      </c>
      <c r="Y237" s="3">
        <v>0</v>
      </c>
    </row>
    <row r="238" s="3" customFormat="1" customHeight="1" spans="1:25">
      <c r="A238" s="8"/>
      <c r="B238" s="8"/>
      <c r="C238" s="45" t="s">
        <v>1691</v>
      </c>
      <c r="D238" s="45" t="s">
        <v>1692</v>
      </c>
      <c r="E238" s="7">
        <v>7</v>
      </c>
      <c r="F238" s="7" t="s">
        <v>1693</v>
      </c>
      <c r="G238" s="38" t="s">
        <v>1694</v>
      </c>
      <c r="H238" s="44" t="s">
        <v>1281</v>
      </c>
      <c r="I238" s="38" t="s">
        <v>1695</v>
      </c>
      <c r="J238" s="42" t="s">
        <v>1696</v>
      </c>
      <c r="K238" s="42" t="s">
        <v>1696</v>
      </c>
      <c r="L238" s="38" t="s">
        <v>1655</v>
      </c>
      <c r="M238" s="6">
        <f t="shared" si="93"/>
        <v>921000</v>
      </c>
      <c r="N238" s="6">
        <f t="shared" si="94"/>
        <v>921000</v>
      </c>
      <c r="O238" s="6">
        <f t="shared" si="95"/>
        <v>892750</v>
      </c>
      <c r="P238" s="6">
        <f t="shared" si="96"/>
        <v>892750</v>
      </c>
      <c r="Q238" s="6">
        <f t="shared" si="97"/>
        <v>446</v>
      </c>
      <c r="R238" s="9">
        <f t="shared" si="98"/>
        <v>1073</v>
      </c>
      <c r="S238" s="8">
        <f t="shared" si="99"/>
        <v>1486</v>
      </c>
      <c r="T238" s="8">
        <v>99.99</v>
      </c>
      <c r="U238" s="43" t="s">
        <v>1697</v>
      </c>
      <c r="V238" s="43" t="s">
        <v>1697</v>
      </c>
      <c r="X238" s="3" t="s">
        <v>158</v>
      </c>
      <c r="Y238" s="3">
        <v>0</v>
      </c>
    </row>
    <row r="239" s="3" customFormat="1" customHeight="1" spans="1:25">
      <c r="A239" s="8"/>
      <c r="B239" s="8"/>
      <c r="C239" s="45" t="s">
        <v>1698</v>
      </c>
      <c r="D239" s="45" t="s">
        <v>1699</v>
      </c>
      <c r="E239" s="7">
        <v>7</v>
      </c>
      <c r="F239" s="7" t="s">
        <v>1700</v>
      </c>
      <c r="G239" s="38" t="s">
        <v>1656</v>
      </c>
      <c r="H239" s="44" t="s">
        <v>1281</v>
      </c>
      <c r="I239" s="38" t="s">
        <v>1701</v>
      </c>
      <c r="J239" s="42" t="s">
        <v>1528</v>
      </c>
      <c r="K239" s="42" t="s">
        <v>1528</v>
      </c>
      <c r="L239" s="38" t="s">
        <v>1702</v>
      </c>
      <c r="M239" s="6">
        <f t="shared" si="93"/>
        <v>951000</v>
      </c>
      <c r="N239" s="6">
        <f t="shared" si="94"/>
        <v>951000</v>
      </c>
      <c r="O239" s="6">
        <f t="shared" si="95"/>
        <v>922750</v>
      </c>
      <c r="P239" s="6">
        <f t="shared" si="96"/>
        <v>922750</v>
      </c>
      <c r="Q239" s="6">
        <f t="shared" si="97"/>
        <v>453</v>
      </c>
      <c r="R239" s="9">
        <f t="shared" si="98"/>
        <v>1091</v>
      </c>
      <c r="S239" s="8">
        <f t="shared" si="99"/>
        <v>1516</v>
      </c>
      <c r="T239" s="8">
        <v>99.99</v>
      </c>
      <c r="U239" s="43" t="s">
        <v>1703</v>
      </c>
      <c r="V239" s="43" t="s">
        <v>1703</v>
      </c>
      <c r="X239" s="3" t="s">
        <v>158</v>
      </c>
      <c r="Y239" s="3">
        <v>0</v>
      </c>
    </row>
    <row r="240" s="10" customFormat="1" customHeight="1" spans="1:25">
      <c r="A240" s="27"/>
      <c r="B240" s="27"/>
      <c r="C240" s="46" t="s">
        <v>1704</v>
      </c>
      <c r="D240" s="46" t="s">
        <v>1705</v>
      </c>
      <c r="E240" s="28">
        <v>7</v>
      </c>
      <c r="F240" s="28" t="s">
        <v>1706</v>
      </c>
      <c r="G240" s="38" t="s">
        <v>1707</v>
      </c>
      <c r="H240" s="48" t="s">
        <v>1281</v>
      </c>
      <c r="I240" s="38" t="s">
        <v>1708</v>
      </c>
      <c r="J240" s="42" t="s">
        <v>1709</v>
      </c>
      <c r="K240" s="42" t="s">
        <v>1709</v>
      </c>
      <c r="L240" s="38" t="s">
        <v>1637</v>
      </c>
      <c r="M240" s="6">
        <f t="shared" si="93"/>
        <v>981000</v>
      </c>
      <c r="N240" s="6">
        <f t="shared" si="94"/>
        <v>981000</v>
      </c>
      <c r="O240" s="6">
        <f t="shared" si="95"/>
        <v>952750</v>
      </c>
      <c r="P240" s="6">
        <f t="shared" si="96"/>
        <v>952750</v>
      </c>
      <c r="Q240" s="6">
        <f t="shared" si="97"/>
        <v>460</v>
      </c>
      <c r="R240" s="9">
        <f t="shared" si="98"/>
        <v>1109</v>
      </c>
      <c r="S240" s="8">
        <f t="shared" si="99"/>
        <v>1546</v>
      </c>
      <c r="T240" s="8">
        <v>99.99</v>
      </c>
      <c r="U240" s="43" t="s">
        <v>1710</v>
      </c>
      <c r="V240" s="43" t="s">
        <v>1710</v>
      </c>
      <c r="X240" s="10" t="s">
        <v>158</v>
      </c>
      <c r="Y240" s="10">
        <v>0</v>
      </c>
    </row>
    <row r="241" s="3" customFormat="1" customHeight="1" spans="1:25">
      <c r="A241" s="8"/>
      <c r="B241" s="8"/>
      <c r="C241" s="45" t="s">
        <v>1711</v>
      </c>
      <c r="D241" s="45" t="s">
        <v>1712</v>
      </c>
      <c r="E241" s="7">
        <v>7</v>
      </c>
      <c r="F241" s="6" t="s">
        <v>1713</v>
      </c>
      <c r="G241" s="38" t="s">
        <v>1714</v>
      </c>
      <c r="H241" s="44" t="s">
        <v>1281</v>
      </c>
      <c r="I241" s="38" t="s">
        <v>1715</v>
      </c>
      <c r="J241" s="42" t="s">
        <v>1547</v>
      </c>
      <c r="K241" s="42" t="s">
        <v>1547</v>
      </c>
      <c r="L241" s="38" t="s">
        <v>1669</v>
      </c>
      <c r="M241" s="7">
        <f t="shared" si="93"/>
        <v>1011000</v>
      </c>
      <c r="N241" s="7">
        <f t="shared" si="94"/>
        <v>1011000</v>
      </c>
      <c r="O241" s="7">
        <f t="shared" si="95"/>
        <v>982750</v>
      </c>
      <c r="P241" s="7">
        <f t="shared" si="96"/>
        <v>982750</v>
      </c>
      <c r="Q241" s="6">
        <f t="shared" si="97"/>
        <v>467</v>
      </c>
      <c r="R241" s="8">
        <f t="shared" si="98"/>
        <v>1127</v>
      </c>
      <c r="S241" s="9">
        <f t="shared" si="99"/>
        <v>1576</v>
      </c>
      <c r="T241" s="8">
        <v>99.99</v>
      </c>
      <c r="U241" s="43" t="s">
        <v>1716</v>
      </c>
      <c r="V241" s="43" t="s">
        <v>1716</v>
      </c>
      <c r="X241" s="3" t="s">
        <v>158</v>
      </c>
      <c r="Y241" s="3">
        <v>0</v>
      </c>
    </row>
    <row r="242" s="3" customFormat="1" customHeight="1" spans="1:25">
      <c r="A242" s="8"/>
      <c r="B242" s="8"/>
      <c r="C242" s="45" t="s">
        <v>1717</v>
      </c>
      <c r="D242" s="45" t="s">
        <v>1718</v>
      </c>
      <c r="E242" s="7">
        <v>7</v>
      </c>
      <c r="F242" s="7" t="s">
        <v>1719</v>
      </c>
      <c r="G242" s="38" t="s">
        <v>1663</v>
      </c>
      <c r="H242" s="44" t="s">
        <v>1281</v>
      </c>
      <c r="I242" s="38" t="s">
        <v>1720</v>
      </c>
      <c r="J242" s="42" t="s">
        <v>1721</v>
      </c>
      <c r="K242" s="42" t="s">
        <v>1721</v>
      </c>
      <c r="L242" s="38" t="s">
        <v>1722</v>
      </c>
      <c r="M242" s="7">
        <f t="shared" si="93"/>
        <v>1041000</v>
      </c>
      <c r="N242" s="7">
        <f t="shared" si="94"/>
        <v>1041000</v>
      </c>
      <c r="O242" s="7">
        <f t="shared" si="95"/>
        <v>1012750</v>
      </c>
      <c r="P242" s="7">
        <f t="shared" si="96"/>
        <v>1012750</v>
      </c>
      <c r="Q242" s="6">
        <f t="shared" si="97"/>
        <v>474</v>
      </c>
      <c r="R242" s="8">
        <f t="shared" si="98"/>
        <v>1145</v>
      </c>
      <c r="S242" s="9">
        <f t="shared" si="99"/>
        <v>1606</v>
      </c>
      <c r="T242" s="8">
        <v>99.99</v>
      </c>
      <c r="U242" s="43" t="s">
        <v>1723</v>
      </c>
      <c r="V242" s="43" t="s">
        <v>1723</v>
      </c>
      <c r="X242" s="3" t="s">
        <v>158</v>
      </c>
      <c r="Y242" s="3">
        <v>0</v>
      </c>
    </row>
    <row r="243" s="3" customFormat="1" customHeight="1" spans="1:25">
      <c r="A243" s="8"/>
      <c r="B243" s="8"/>
      <c r="C243" s="45" t="s">
        <v>1724</v>
      </c>
      <c r="D243" s="45" t="s">
        <v>1725</v>
      </c>
      <c r="E243" s="7">
        <v>7</v>
      </c>
      <c r="F243" s="7" t="s">
        <v>1726</v>
      </c>
      <c r="G243" s="38" t="s">
        <v>1727</v>
      </c>
      <c r="H243" s="44" t="s">
        <v>1281</v>
      </c>
      <c r="I243" s="38" t="s">
        <v>1728</v>
      </c>
      <c r="J243" s="42" t="s">
        <v>1729</v>
      </c>
      <c r="K243" s="42" t="s">
        <v>1729</v>
      </c>
      <c r="L243" s="38" t="s">
        <v>1651</v>
      </c>
      <c r="M243" s="7">
        <f t="shared" si="93"/>
        <v>1071000</v>
      </c>
      <c r="N243" s="7">
        <f t="shared" si="94"/>
        <v>1071000</v>
      </c>
      <c r="O243" s="7">
        <f t="shared" si="95"/>
        <v>1042750</v>
      </c>
      <c r="P243" s="7">
        <f t="shared" si="96"/>
        <v>1042750</v>
      </c>
      <c r="Q243" s="6">
        <f t="shared" si="97"/>
        <v>481</v>
      </c>
      <c r="R243" s="8">
        <f t="shared" si="98"/>
        <v>1163</v>
      </c>
      <c r="S243" s="9">
        <f t="shared" si="99"/>
        <v>1636</v>
      </c>
      <c r="T243" s="8">
        <v>99.99</v>
      </c>
      <c r="U243" s="43" t="s">
        <v>1730</v>
      </c>
      <c r="V243" s="43" t="s">
        <v>1730</v>
      </c>
      <c r="X243" s="3" t="s">
        <v>158</v>
      </c>
      <c r="Y243" s="3">
        <v>0</v>
      </c>
    </row>
    <row r="244" s="3" customFormat="1" customHeight="1" spans="1:25">
      <c r="A244" s="8"/>
      <c r="B244" s="8"/>
      <c r="C244" s="45" t="s">
        <v>1731</v>
      </c>
      <c r="D244" s="45" t="s">
        <v>1732</v>
      </c>
      <c r="E244" s="7">
        <v>7</v>
      </c>
      <c r="F244" s="7" t="s">
        <v>1733</v>
      </c>
      <c r="G244" s="38" t="s">
        <v>1734</v>
      </c>
      <c r="H244" s="44" t="s">
        <v>1281</v>
      </c>
      <c r="I244" s="38" t="s">
        <v>1735</v>
      </c>
      <c r="J244" s="42" t="s">
        <v>1736</v>
      </c>
      <c r="K244" s="42" t="s">
        <v>1736</v>
      </c>
      <c r="L244" s="38" t="s">
        <v>1694</v>
      </c>
      <c r="M244" s="7">
        <f t="shared" si="93"/>
        <v>1101000</v>
      </c>
      <c r="N244" s="7">
        <f t="shared" si="94"/>
        <v>1101000</v>
      </c>
      <c r="O244" s="7">
        <f t="shared" si="95"/>
        <v>1072750</v>
      </c>
      <c r="P244" s="7">
        <f t="shared" si="96"/>
        <v>1072750</v>
      </c>
      <c r="Q244" s="6">
        <f t="shared" si="97"/>
        <v>488</v>
      </c>
      <c r="R244" s="8">
        <f t="shared" si="98"/>
        <v>1181</v>
      </c>
      <c r="S244" s="9">
        <f t="shared" si="99"/>
        <v>1666</v>
      </c>
      <c r="T244" s="8">
        <v>99.99</v>
      </c>
      <c r="U244" s="43" t="s">
        <v>1737</v>
      </c>
      <c r="V244" s="43" t="s">
        <v>1737</v>
      </c>
      <c r="X244" s="3" t="s">
        <v>158</v>
      </c>
      <c r="Y244" s="3">
        <v>0</v>
      </c>
    </row>
    <row r="245" s="3" customFormat="1" customHeight="1" spans="1:25">
      <c r="A245" s="8"/>
      <c r="B245" s="8"/>
      <c r="C245" s="45" t="s">
        <v>1738</v>
      </c>
      <c r="D245" s="45" t="s">
        <v>1739</v>
      </c>
      <c r="E245" s="7">
        <v>7</v>
      </c>
      <c r="F245" s="7" t="s">
        <v>1740</v>
      </c>
      <c r="G245" s="38" t="s">
        <v>1670</v>
      </c>
      <c r="H245" s="44" t="s">
        <v>1281</v>
      </c>
      <c r="I245" s="38" t="s">
        <v>1741</v>
      </c>
      <c r="J245" s="42" t="s">
        <v>1555</v>
      </c>
      <c r="K245" s="42" t="s">
        <v>1555</v>
      </c>
      <c r="L245" s="38" t="s">
        <v>1707</v>
      </c>
      <c r="M245" s="7">
        <f t="shared" si="93"/>
        <v>1131000</v>
      </c>
      <c r="N245" s="7">
        <f t="shared" si="94"/>
        <v>1131000</v>
      </c>
      <c r="O245" s="7">
        <f t="shared" si="95"/>
        <v>1102750</v>
      </c>
      <c r="P245" s="7">
        <f t="shared" si="96"/>
        <v>1102750</v>
      </c>
      <c r="Q245" s="6">
        <f t="shared" si="97"/>
        <v>495</v>
      </c>
      <c r="R245" s="8">
        <f t="shared" si="98"/>
        <v>1199</v>
      </c>
      <c r="S245" s="9">
        <f t="shared" si="99"/>
        <v>1696</v>
      </c>
      <c r="T245" s="8">
        <v>99.99</v>
      </c>
      <c r="U245" s="43" t="s">
        <v>1742</v>
      </c>
      <c r="V245" s="43" t="s">
        <v>1742</v>
      </c>
      <c r="X245" s="3" t="s">
        <v>158</v>
      </c>
      <c r="Y245" s="3">
        <v>0</v>
      </c>
    </row>
    <row r="246" s="3" customFormat="1" customHeight="1" spans="1:25">
      <c r="A246" s="8"/>
      <c r="B246" s="8"/>
      <c r="C246" s="45" t="s">
        <v>1743</v>
      </c>
      <c r="D246" s="45" t="s">
        <v>1744</v>
      </c>
      <c r="E246" s="7">
        <v>7</v>
      </c>
      <c r="F246" s="7" t="s">
        <v>1745</v>
      </c>
      <c r="G246" s="38" t="s">
        <v>1746</v>
      </c>
      <c r="H246" s="44" t="s">
        <v>1281</v>
      </c>
      <c r="I246" s="38" t="s">
        <v>1747</v>
      </c>
      <c r="J246" s="42" t="s">
        <v>1748</v>
      </c>
      <c r="K246" s="42" t="s">
        <v>1748</v>
      </c>
      <c r="L246" s="38" t="s">
        <v>1663</v>
      </c>
      <c r="M246" s="7">
        <f t="shared" si="93"/>
        <v>1161000</v>
      </c>
      <c r="N246" s="7">
        <f t="shared" si="94"/>
        <v>1161000</v>
      </c>
      <c r="O246" s="7">
        <f t="shared" si="95"/>
        <v>1132750</v>
      </c>
      <c r="P246" s="7">
        <f t="shared" si="96"/>
        <v>1132750</v>
      </c>
      <c r="Q246" s="6">
        <f t="shared" si="97"/>
        <v>502</v>
      </c>
      <c r="R246" s="8">
        <f t="shared" si="98"/>
        <v>1217</v>
      </c>
      <c r="S246" s="9">
        <f t="shared" si="99"/>
        <v>1726</v>
      </c>
      <c r="T246" s="8">
        <v>99.99</v>
      </c>
      <c r="U246" s="43" t="s">
        <v>1749</v>
      </c>
      <c r="V246" s="43" t="s">
        <v>1749</v>
      </c>
      <c r="X246" s="3" t="s">
        <v>158</v>
      </c>
      <c r="Y246" s="3">
        <v>0</v>
      </c>
    </row>
    <row r="247" s="3" customFormat="1" customHeight="1" spans="1:25">
      <c r="A247" s="8"/>
      <c r="B247" s="8"/>
      <c r="C247" s="45" t="s">
        <v>1750</v>
      </c>
      <c r="D247" s="45" t="s">
        <v>1751</v>
      </c>
      <c r="E247" s="7">
        <v>7</v>
      </c>
      <c r="F247" s="7" t="s">
        <v>1752</v>
      </c>
      <c r="G247" s="38" t="s">
        <v>1753</v>
      </c>
      <c r="H247" s="44" t="s">
        <v>1281</v>
      </c>
      <c r="I247" s="38" t="s">
        <v>1754</v>
      </c>
      <c r="J247" s="42" t="s">
        <v>1755</v>
      </c>
      <c r="K247" s="42" t="s">
        <v>1755</v>
      </c>
      <c r="L247" s="38" t="s">
        <v>1734</v>
      </c>
      <c r="M247" s="7">
        <f t="shared" si="93"/>
        <v>1191000</v>
      </c>
      <c r="N247" s="7">
        <f t="shared" si="94"/>
        <v>1191000</v>
      </c>
      <c r="O247" s="7">
        <f t="shared" si="95"/>
        <v>1162750</v>
      </c>
      <c r="P247" s="7">
        <f t="shared" si="96"/>
        <v>1162750</v>
      </c>
      <c r="Q247" s="6">
        <f t="shared" si="97"/>
        <v>509</v>
      </c>
      <c r="R247" s="8">
        <f t="shared" si="98"/>
        <v>1235</v>
      </c>
      <c r="S247" s="9">
        <f t="shared" si="99"/>
        <v>1756</v>
      </c>
      <c r="T247" s="8">
        <v>99.99</v>
      </c>
      <c r="U247" s="43" t="s">
        <v>1756</v>
      </c>
      <c r="V247" s="43" t="s">
        <v>1756</v>
      </c>
      <c r="X247" s="3" t="s">
        <v>158</v>
      </c>
      <c r="Y247" s="3">
        <v>0</v>
      </c>
    </row>
    <row r="248" s="3" customFormat="1" customHeight="1" spans="1:25">
      <c r="A248" s="8"/>
      <c r="B248" s="8"/>
      <c r="C248" s="45" t="s">
        <v>1757</v>
      </c>
      <c r="D248" s="45" t="s">
        <v>1758</v>
      </c>
      <c r="E248" s="7">
        <v>7</v>
      </c>
      <c r="F248" s="7" t="s">
        <v>1759</v>
      </c>
      <c r="G248" s="38" t="s">
        <v>1676</v>
      </c>
      <c r="H248" s="44" t="s">
        <v>1281</v>
      </c>
      <c r="I248" s="38" t="s">
        <v>1760</v>
      </c>
      <c r="J248" s="42" t="s">
        <v>1761</v>
      </c>
      <c r="K248" s="42" t="s">
        <v>1761</v>
      </c>
      <c r="L248" s="38" t="s">
        <v>1746</v>
      </c>
      <c r="M248" s="7">
        <f t="shared" si="93"/>
        <v>1221000</v>
      </c>
      <c r="N248" s="7">
        <f t="shared" si="94"/>
        <v>1221000</v>
      </c>
      <c r="O248" s="7">
        <f t="shared" si="95"/>
        <v>1192750</v>
      </c>
      <c r="P248" s="7">
        <f t="shared" si="96"/>
        <v>1192750</v>
      </c>
      <c r="Q248" s="6">
        <f t="shared" si="97"/>
        <v>516</v>
      </c>
      <c r="R248" s="8">
        <f t="shared" si="98"/>
        <v>1253</v>
      </c>
      <c r="S248" s="9">
        <f t="shared" si="99"/>
        <v>1786</v>
      </c>
      <c r="T248" s="8">
        <v>99.99</v>
      </c>
      <c r="U248" s="43" t="s">
        <v>505</v>
      </c>
      <c r="V248" s="43" t="s">
        <v>505</v>
      </c>
      <c r="X248" s="3" t="s">
        <v>158</v>
      </c>
      <c r="Y248" s="3">
        <v>0</v>
      </c>
    </row>
    <row r="249" s="3" customFormat="1" customHeight="1" spans="1:25">
      <c r="A249" s="8"/>
      <c r="B249" s="8"/>
      <c r="C249" s="45" t="s">
        <v>1762</v>
      </c>
      <c r="D249" s="45" t="s">
        <v>1763</v>
      </c>
      <c r="E249" s="7">
        <v>7</v>
      </c>
      <c r="F249" s="7" t="s">
        <v>1764</v>
      </c>
      <c r="G249" s="38" t="s">
        <v>1765</v>
      </c>
      <c r="H249" s="44" t="s">
        <v>1281</v>
      </c>
      <c r="I249" s="38" t="s">
        <v>1766</v>
      </c>
      <c r="J249" s="42" t="s">
        <v>1423</v>
      </c>
      <c r="K249" s="42" t="s">
        <v>1423</v>
      </c>
      <c r="L249" s="38" t="s">
        <v>1676</v>
      </c>
      <c r="M249" s="7">
        <f t="shared" si="93"/>
        <v>1251000</v>
      </c>
      <c r="N249" s="7">
        <f t="shared" si="94"/>
        <v>1251000</v>
      </c>
      <c r="O249" s="7">
        <f t="shared" si="95"/>
        <v>1222750</v>
      </c>
      <c r="P249" s="7">
        <f t="shared" si="96"/>
        <v>1222750</v>
      </c>
      <c r="Q249" s="6">
        <f t="shared" si="97"/>
        <v>523</v>
      </c>
      <c r="R249" s="8">
        <f t="shared" si="98"/>
        <v>1271</v>
      </c>
      <c r="S249" s="9">
        <f t="shared" si="99"/>
        <v>1816</v>
      </c>
      <c r="T249" s="8">
        <v>99.99</v>
      </c>
      <c r="U249" s="43" t="s">
        <v>547</v>
      </c>
      <c r="V249" s="43" t="s">
        <v>547</v>
      </c>
      <c r="X249" s="3" t="s">
        <v>158</v>
      </c>
      <c r="Y249" s="3">
        <v>0</v>
      </c>
    </row>
    <row r="250" s="3" customFormat="1" customHeight="1" spans="1:25">
      <c r="A250" s="8"/>
      <c r="B250" s="8"/>
      <c r="C250" s="45" t="s">
        <v>1767</v>
      </c>
      <c r="D250" s="45" t="s">
        <v>1768</v>
      </c>
      <c r="E250" s="7">
        <v>7</v>
      </c>
      <c r="F250" s="7" t="s">
        <v>1769</v>
      </c>
      <c r="G250" s="38" t="s">
        <v>1770</v>
      </c>
      <c r="H250" s="44" t="s">
        <v>1281</v>
      </c>
      <c r="I250" s="38" t="s">
        <v>1771</v>
      </c>
      <c r="J250" s="42" t="s">
        <v>1576</v>
      </c>
      <c r="K250" s="42" t="s">
        <v>1576</v>
      </c>
      <c r="L250" s="38" t="s">
        <v>1770</v>
      </c>
      <c r="M250" s="7">
        <f t="shared" si="93"/>
        <v>1281000</v>
      </c>
      <c r="N250" s="7">
        <f t="shared" si="94"/>
        <v>1281000</v>
      </c>
      <c r="O250" s="7">
        <f t="shared" si="95"/>
        <v>1252750</v>
      </c>
      <c r="P250" s="7">
        <f t="shared" si="96"/>
        <v>1252750</v>
      </c>
      <c r="Q250" s="6">
        <f t="shared" si="97"/>
        <v>530</v>
      </c>
      <c r="R250" s="8">
        <f t="shared" si="98"/>
        <v>1289</v>
      </c>
      <c r="S250" s="9">
        <f t="shared" si="99"/>
        <v>1846</v>
      </c>
      <c r="T250" s="8">
        <v>99.99</v>
      </c>
      <c r="U250" s="43" t="s">
        <v>1772</v>
      </c>
      <c r="V250" s="43" t="s">
        <v>1772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2026-09-19T01:59:18Z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
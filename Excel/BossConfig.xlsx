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<sst xmlns="http://schemas.openxmlformats.org/spreadsheetml/2006/main" count="2123" uniqueCount="1531">
  <si>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</si>
  <si>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</si>
  <si>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</si>
  <si>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</si>
  <si>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</si>
  <si>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</si>
  <si>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</si>
  <si>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</si>
  <si>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</si>
  <si>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</si>
  <si>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</si>
  <si>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</si>
  <si>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</si>
  <si>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</si>
  <si>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</si>
  <si>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</si>
  <si>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</si>
  <si>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</si>
  <si>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</si>
  <si>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</si>
  <si>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</si>
  <si>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</si>
  <si>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</si>
  <si>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</si>
  <si>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</si>
  <si>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</si>
  <si>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</si>
  <si>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</si>
  <si>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</si>
  <si>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</si>
  <si>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</si>
  <si>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</si>
  <si>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</si>
  <si>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</si>
  <si>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</si>
  <si>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</si>
  <si>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</si>
  <si>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</si>
  <si>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</si>
  <si>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</si>
  <si>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</si>
  <si>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</si>
  <si>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</si>
  <si>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</si>
  <si>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</si>
  <si>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</si>
  <si>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</si>
  <si>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</si>
  <si>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</si>
  <si>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</si>
  <si>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</si>
  <si>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</si>
  <si>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</si>
  <si>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</si>
  <si>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</si>
  <si>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</si>
  <si>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</si>
  <si>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</si>
  <si>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</si>
  <si>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</si>
  <si>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</si>
  <si>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</si>
  <si>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</si>
  <si>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</si>
  <si>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</si>
  <si>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</si>
  <si>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</si>
  <si>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</si>
  <si>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</si>
  <si>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</si>
  <si>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</si>
  <si>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</si>
  <si>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</si>
  <si>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</si>
  <si>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</si>
  <si>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</si>
  <si>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</si>
  <si>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</si>
  <si>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</si>
  <si>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</si>
  <si>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</si>
  <si>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</si>
  <si>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</si>
  <si>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</si>
  <si>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</si>
  <si>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</si>
  <si>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</si>
  <si>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</si>
  <si>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</si>
  <si>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</si>
  <si>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</si>
  <si>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</si>
  <si>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</si>
  <si>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</si>
  <si>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</si>
  <si>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</si>
  <si>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</si>
  <si>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</si>
  <si>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</si>
  <si>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</si>
  <si>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</si>
  <si>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</si>
  <si>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</si>
  <si>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</si>
  <si>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</si>
  <si>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</si>
  <si>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</si>
  <si>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</si>
  <si>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</si>
  <si>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</si>
  <si>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</si>
  <si>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</si>
  <si>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</si>
  <si>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</si>
  <si>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</si>
  <si>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</si>
  <si>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</si>
  <si>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</si>
  <si>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</si>
  <si>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</si>
  <si>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</si>
  <si>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</si>
  <si>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</si>
  <si>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</si>
  <si>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</si>
  <si>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</si>
  <si>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</si>
  <si>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</si>
  <si>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</si>
  <si>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</si>
  <si>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</si>
  <si>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</si>
  <si>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</si>
  <si>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</si>
  <si>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</si>
  <si>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</si>
  <si>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</si>
  <si>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</si>
  <si>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</si>
  <si>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</si>
  <si>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</si>
  <si>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</si>
  <si>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</si>
  <si>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</si>
  <si>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</si>
  <si>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</si>
  <si>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</si>
  <si>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</si>
  <si>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</si>
  <si>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</si>
  <si>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</si>
  <si>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</si>
  <si>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</si>
  <si>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</si>
  <si>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</si>
  <si>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</si>
  <si>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</si>
  <si>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</si>
  <si>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</si>
  <si>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</si>
  <si>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</si>
  <si>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</si>
  <si>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</si>
  <si>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</si>
  <si>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</si>
  <si>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</si>
  <si>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</si>
  <si>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</si>
  <si>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</si>
  <si>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</si>
  <si>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</si>
  <si>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</si>
  <si>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</si>
  <si>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</si>
  <si>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</si>
  <si>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</si>
  <si>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</si>
  <si>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</si>
  <si>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</si>
  <si>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</si>
  <si>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</si>
  <si>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</si>
  <si>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</si>
  <si>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</si>
  <si>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</si>
  <si>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</si>
  <si>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</si>
  <si>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</si>
  <si>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</si>
  <si>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</si>
  <si>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</si>
  <si>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</si>
  <si>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</si>
  <si>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</si>
  <si>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</si>
  <si>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</si>
  <si>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</si>
  <si>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</si>
  <si>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</si>
  <si>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</si>
  <si>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</si>
  <si>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</si>
  <si>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</si>
  <si>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</si>
  <si>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</si>
  <si>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</si>
  <si>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</si>
  <si>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</si>
  <si>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</si>
  <si>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</si>
  <si>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</si>
  <si>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</si>
  <si>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</si>
  <si>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</si>
  <si>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</si>
  <si>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</si>
  <si>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</si>
  <si>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</si>
  <si>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</si>
  <si>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</si>
  <si>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</si>
  <si>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</si>
  <si>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</si>
  <si>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</si>
  <si>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</si>
  <si>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</si>
  <si>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</si>
  <si>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</si>
  <si>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</si>
  <si>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</si>
  <si>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</si>
  <si>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</si>
  <si>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</si>
  <si>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</si>
  <si>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</si>
  <si>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</si>
  <si>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</si>
  <si>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</si>
  <si>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</si>
  <si>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</si>
  <si>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</si>
  <si>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</si>
  <si>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</si>
  <si>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</si>
  <si>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</si>
  <si>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</si>
  <si>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</si>
  <si>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</si>
  <si>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</si>
  <si>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</si>
  <si>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</si>
  <si>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</si>
  <si>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</si>
  <si>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</si>
  <si>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</si>
  <si>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</si>
  <si>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</si>
  <si>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</si>
  <si>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</si>
  <si>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</si>
  <si>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</si>
  <si>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</si>
  <si>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</si>
  <si>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</si>
  <si>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</si>
  <si>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</si>
  <si>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</si>
  <si>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</si>
  <si>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</si>
  <si>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</si>
  <si>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</si>
  <si>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</si>
  <si>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</si>
  <si>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</si>
  <si>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</si>
  <si>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</si>
  <si>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</si>
  <si>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</si>
  <si>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</si>
  <si>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</si>
  <si>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</si>
  <si>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</si>
  <si>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</si>
  <si>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</si>
  <si>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</si>
  <si>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</si>
  <si>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</si>
  <si>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</si>
  <si>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</si>
  <si>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</si>
  <si>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</si>
  <si>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</si>
  <si>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</si>
  <si>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</si>
  <si>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</si>
  <si>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</si>
  <si>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</si>
  <si>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</si>
  <si>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</si>
  <si>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</si>
  <si>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</si>
  <si>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</si>
  <si>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</si>
  <si>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</si>
  <si>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</si>
  <si>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</si>
  <si>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</si>
  <si>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</si>
  <si>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</si>
  <si>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</si>
  <si>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</si>
  <si>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</si>
  <si>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</si>
  <si>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</si>
  <si>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</si>
  <si>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</si>
  <si>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</si>
  <si>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</si>
  <si>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</si>
  <si>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</si>
  <si>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</si>
  <si>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</si>
  <si>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</si>
  <si>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</si>
  <si>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</si>
  <si>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</si>
  <si>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</si>
  <si>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</si>
  <si>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</si>
  <si>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</si>
  <si>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</si>
  <si>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</si>
  <si>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</si>
  <si>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</si>
  <si>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</si>
  <si>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</si>
  <si>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</si>
  <si>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</si>
  <si>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</si>
  <si>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</si>
  <si>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</si>
  <si>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</si>
  <si>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</si>
  <si>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</si>
  <si>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</si>
  <si>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</si>
  <si>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</si>
  <si>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</si>
  <si>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</si>
  <si>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</si>
  <si>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</si>
  <si>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</si>
  <si>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</si>
  <si>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</si>
  <si>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</si>
  <si>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</si>
  <si>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</si>
  <si>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</si>
  <si>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</si>
  <si>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</si>
  <si>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</si>
  <si>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</si>
  <si>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</si>
  <si>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</si>
  <si>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</si>
  <si>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</si>
  <si>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</si>
  <si>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</si>
  <si>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</si>
  <si>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</si>
  <si>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</si>
  <si>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</si>
  <si>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</si>
  <si>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</si>
  <si>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</si>
  <si>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</si>
  <si>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</si>
  <si>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</si>
  <si>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</si>
  <si>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</si>
  <si>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</si>
  <si>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</si>
  <si>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</si>
  <si>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</si>
  <si>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</si>
  <si>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</si>
  <si>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</si>
  <si>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</si>
  <si>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</si>
  <si>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</si>
  <si>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</si>
  <si>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</si>
  <si>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</si>
  <si>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</si>
  <si>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</si>
  <si>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</si>
  <si>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</si>
  <si>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</si>
  <si>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</si>
  <si>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</si>
  <si>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</si>
  <si>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</si>
  <si>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</si>
  <si>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</si>
  <si>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</si>
  <si>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</si>
  <si>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</si>
  <si>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</si>
  <si>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</si>
  <si>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</si>
  <si>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</si>
  <si>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</si>
  <si>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</si>
  <si>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</si>
  <si>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</si>
  <si>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</si>
  <si>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</si>
  <si>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</si>
  <si>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</si>
  <si>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</si>
  <si>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</si>
  <si>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</si>
  <si>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</si>
  <si>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</si>
  <si>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</si>
  <si>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</si>
  <si>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</si>
  <si>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</si>
  <si>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</si>
  <si>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</si>
  <si>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</si>
  <si>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</si>
  <si>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</si>
  <si>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</si>
  <si>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</si>
  <si>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</si>
  <si>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</si>
  <si>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</si>
  <si>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</si>
  <si>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</si>
  <si>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</si>
  <si>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</si>
  <si>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</si>
  <si>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</si>
  <si>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</si>
  <si>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</si>
  <si>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</si>
  <si>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</si>
  <si>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</si>
  <si>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</si>
  <si>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</si>
  <si>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</si>
  <si>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</si>
  <si>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</si>
  <si>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</si>
  <si>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</si>
  <si>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</si>
  <si>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</si>
  <si>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</si>
  <si>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</si>
  <si>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</si>
  <si>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</si>
  <si>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</si>
  <si>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</si>
  <si>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</si>
  <si>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</si>
  <si>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</si>
  <si>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</si>
  <si>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</si>
  <si>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</si>
  <si>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</si>
  <si>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</si>
  <si>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</si>
  <si>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</si>
  <si>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</si>
  <si>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</si>
  <si>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</si>
  <si>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</si>
  <si>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</si>
  <si>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</si>
  <si>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</si>
  <si>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</si>
  <si>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</si>
  <si>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</si>
  <si>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</si>
  <si>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</si>
  <si>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</si>
  <si>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</si>
  <si>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</si>
  <si>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</si>
  <si>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</si>
  <si>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</si>
  <si>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</si>
  <si>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</si>
  <si>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</si>
  <si>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</si>
  <si>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</si>
  <si>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</si>
  <si>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</si>
  <si>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</si>
  <si>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</si>
  <si>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</si>
  <si>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</si>
  <si>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</si>
  <si>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</si>
  <si>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</si>
  <si>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</si>
  <si>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</si>
  <si>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</si>
  <si>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</si>
  <si>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</si>
  <si>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</si>
  <si>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</si>
  <si>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</si>
  <si>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</si>
  <si>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</si>
  <si>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</si>
  <si>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</si>
  <si>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</si>
  <si>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</si>
  <si>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</si>
  <si>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</si>
  <si>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</si>
  <si>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</si>
  <si>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</si>
  <si>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</si>
  <si>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</si>
  <si>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</si>
  <si>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</si>
  <si>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</si>
  <si>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</si>
  <si>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</si>
  <si>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</si>
  <si>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</si>
  <si>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</si>
  <si>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</si>
  <si>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</si>
  <si>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</si>
  <si>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</si>
  <si>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</si>
  <si>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</si>
  <si>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</si>
  <si>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</si>
  <si>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</si>
  <si>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</si>
  <si>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</si>
  <si>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</si>
  <si>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</si>
  <si>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</si>
  <si>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</si>
  <si>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</si>
  <si>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</si>
  <si>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</si>
  <si>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</si>
  <si>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</si>
  <si>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</si>
  <si>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</si>
  <si>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</si>
  <si>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</si>
  <si>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</si>
  <si>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</si>
  <si>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</si>
  <si>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</si>
  <si>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</si>
  <si>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</si>
  <si>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</si>
  <si>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</si>
  <si>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</si>
  <si>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</si>
  <si>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</si>
  <si>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</si>
  <si>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</si>
  <si>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</si>
  <si>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</si>
  <si>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</si>
  <si>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</si>
  <si>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</si>
  <si>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</si>
  <si>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</si>
  <si>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</si>
  <si>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</si>
  <si>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</si>
  <si>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</si>
  <si>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</si>
  <si>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</si>
  <si>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</si>
  <si>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</si>
  <si>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</si>
  <si>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</si>
  <si>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</si>
  <si>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</si>
  <si>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</si>
  <si>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</si>
  <si>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</si>
  <si>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</si>
  <si>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</si>
  <si>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</si>
  <si>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</si>
  <si>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</si>
  <si>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</si>
  <si>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</si>
  <si>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</si>
  <si>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</si>
  <si>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</si>
  <si>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</si>
  <si>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</si>
  <si>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</si>
  <si>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</si>
  <si>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</si>
  <si>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</si>
  <si>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</si>
  <si>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</si>
  <si>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</si>
  <si>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</si>
  <si>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</si>
  <si>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</si>
  <si>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</si>
  <si>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</si>
  <si>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</si>
  <si>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</si>
  <si>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</si>
  <si>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</si>
  <si>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</si>
  <si>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</si>
  <si>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</si>
  <si>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</si>
  <si>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</si>
  <si>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</si>
  <si>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</si>
  <si>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</si>
  <si>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</si>
  <si>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</si>
  <si>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</si>
  <si>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</si>
  <si>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</si>
  <si>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</si>
  <si>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</si>
  <si>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</si>
  <si>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</si>
  <si>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</si>
  <si>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</si>
  <si>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</si>
  <si>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</si>
  <si>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</si>
  <si>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</si>
  <si>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</si>
  <si>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</si>
  <si>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</si>
  <si>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</si>
  <si>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</si>
  <si>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</si>
  <si>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</si>
  <si>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</si>
  <si>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</si>
  <si>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</si>
  <si>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</si>
  <si>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</si>
  <si>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</si>
  <si>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</si>
  <si>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</si>
  <si>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</si>
  <si>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</si>
  <si>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</si>
  <si>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</si>
  <si>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</si>
  <si>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</si>
  <si>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</si>
  <si>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</si>
  <si>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</si>
  <si>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</si>
  <si>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</si>
  <si>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</si>
  <si>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</si>
  <si>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</si>
  <si>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</si>
  <si>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</si>
  <si>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</si>
  <si>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</si>
  <si>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</si>
  <si>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</si>
  <si>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</si>
  <si>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</si>
  <si>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</si>
  <si>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</si>
  <si>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</si>
  <si>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</si>
  <si>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</si>
  <si>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</si>
  <si>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</si>
  <si>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</si>
  <si>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</si>
  <si>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</si>
  <si>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</si>
  <si>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</si>
  <si>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</si>
  <si>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</si>
  <si>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</si>
  <si>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</si>
  <si>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</si>
  <si>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</si>
  <si>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</si>
  <si>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</si>
  <si>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</si>
  <si>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</si>
  <si>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</si>
  <si>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</si>
  <si>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</si>
  <si>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</si>
  <si>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</si>
  <si>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</si>
  <si>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</si>
  <si>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</si>
  <si>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</si>
  <si>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</si>
  <si>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</si>
  <si>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</si>
  <si>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</si>
  <si>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</si>
  <si>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</si>
  <si>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</si>
  <si>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</si>
  <si>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</si>
  <si>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</si>
  <si>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</si>
  <si>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</si>
  <si>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</si>
  <si>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</si>
  <si>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</si>
  <si>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</si>
  <si>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</si>
  <si>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</si>
  <si>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</si>
  <si>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</si>
  <si>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</si>
  <si>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</si>
  <si>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</si>
  <si>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</si>
  <si>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</si>
  <si>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</si>
  <si>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</si>
  <si>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</si>
  <si>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</si>
  <si>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</si>
  <si>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</si>
  <si>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</si>
  <si>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</si>
  <si>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</si>
  <si>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</si>
  <si>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</si>
  <si>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</si>
  <si>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</si>
  <si>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</si>
  <si>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</si>
  <si>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</si>
  <si>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</si>
  <si>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</si>
  <si>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</si>
  <si>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</si>
  <si>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</si>
  <si>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</si>
  <si>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</si>
  <si>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</si>
  <si>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</si>
  <si>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</si>
  <si>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</si>
  <si>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</si>
  <si>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</si>
  <si>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</si>
  <si>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</si>
  <si>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</si>
  <si>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</si>
  <si>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</si>
  <si>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</si>
  <si>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</si>
  <si>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</si>
  <si>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</si>
  <si>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</si>
  <si>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</si>
  <si>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</si>
  <si>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</si>
  <si>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</si>
  <si>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</si>
  <si>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</si>
  <si>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</si>
  <si>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</si>
  <si>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</si>
  <si>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</si>
  <si>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</si>
  <si>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</si>
  <si>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</si>
  <si>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</si>
  <si>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</si>
  <si>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</si>
  <si>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</si>
  <si>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</si>
  <si>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</si>
  <si>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</si>
  <si>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</si>
  <si>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</si>
  <si>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</si>
  <si>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</si>
  <si>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</si>
  <si>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</si>
  <si>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</si>
  <si>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</si>
  <si>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</si>
  <si>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</si>
  <si>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</si>
  <si>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</si>
  <si>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</si>
  <si>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</si>
  <si>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</si>
  <si>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</si>
  <si>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</si>
  <si>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</si>
  <si>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</si>
  <si>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</si>
  <si>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</si>
  <si>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</si>
  <si>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</si>
  <si>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</si>
  <si>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</si>
  <si>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</si>
  <si>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</si>
  <si>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</si>
  <si>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</si>
  <si>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</si>
  <si>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</si>
  <si>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</si>
  <si>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</si>
  <si>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</si>
  <si>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</si>
  <si>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</si>
  <si>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</si>
  <si>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</si>
  <si>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</si>
  <si>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</si>
  <si>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</si>
  <si>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</si>
  <si>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</si>
  <si>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</si>
  <si>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</si>
  <si>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</si>
  <si>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</si>
  <si>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</si>
  <si>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</si>
  <si>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</si>
  <si>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</si>
  <si>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</si>
  <si>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</si>
  <si>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</si>
  <si>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</si>
  <si>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</si>
  <si>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</si>
  <si>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</si>
  <si>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</si>
  <si>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</si>
  <si>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</si>
  <si>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</si>
  <si>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</si>
  <si>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</si>
  <si>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</si>
  <si>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</si>
  <si>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</si>
  <si>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</si>
  <si>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</si>
  <si>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</si>
  <si>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</si>
  <si>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</si>
  <si>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</si>
  <si>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</si>
  <si>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</si>
  <si>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</si>
  <si>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</si>
  <si>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</si>
  <si>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</si>
  <si>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</si>
  <si>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</si>
  <si>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</si>
  <si>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</si>
  <si>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</si>
  <si>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</si>
  <si>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</si>
  <si>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</si>
  <si>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</si>
  <si>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</si>
  <si>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</si>
  <si>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</si>
  <si>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</si>
  <si>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</si>
  <si>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</si>
  <si>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</si>
  <si>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</si>
  <si>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</si>
  <si>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</si>
  <si>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</si>
  <si>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</si>
  <si>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</si>
  <si>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</si>
  <si>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</si>
  <si>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</si>
  <si>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</si>
  <si>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</si>
  <si>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</si>
  <si>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</si>
  <si>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</si>
  <si>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</si>
  <si>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</si>
  <si>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</si>
  <si>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</si>
  <si>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</si>
  <si>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</si>
  <si>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</si>
  <si>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</si>
  <si>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</si>
  <si>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</si>
  <si>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</si>
  <si>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</si>
  <si>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</si>
  <si>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</si>
  <si>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</si>
  <si>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</si>
  <si>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</si>
  <si>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</si>
  <si>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</si>
  <si>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</si>
  <si>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</si>
  <si>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</si>
  <si>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</si>
  <si>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</si>
  <si>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</si>
  <si>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</si>
  <si>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</si>
  <si>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</si>
  <si>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</si>
  <si>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</si>
  <si>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</si>
  <si>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</si>
  <si>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</si>
  <si>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</si>
  <si>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</si>
  <si>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</si>
  <si>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</si>
  <si>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</si>
  <si>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</si>
  <si>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</si>
  <si>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</si>
  <si>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</si>
  <si>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</si>
  <si>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</si>
  <si>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</si>
  <si>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</si>
  <si>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</si>
  <si>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</si>
  <si>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</si>
  <si>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</si>
  <si>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</si>
  <si>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</si>
  <si>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</si>
  <si>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</si>
  <si>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</si>
  <si>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</si>
  <si>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</si>
  <si>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</si>
  <si>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</si>
  <si>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</si>
  <si>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</si>
  <si>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</si>
  <si>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</si>
  <si>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</si>
  <si>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</si>
  <si>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</si>
  <si>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</si>
  <si>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</si>
  <si>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</si>
  <si>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</si>
  <si>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</si>
  <si>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</si>
  <si>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</si>
  <si>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</si>
  <si>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</si>
  <si>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</si>
  <si>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</si>
  <si>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</si>
  <si>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</si>
  <si>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</si>
  <si>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</si>
  <si>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</si>
  <si>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</si>
  <si>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</si>
  <si>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</si>
  <si>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</si>
  <si>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</si>
  <si>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</si>
  <si>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</si>
  <si>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</si>
  <si>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</si>
  <si>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</si>
  <si>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</si>
  <si>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</si>
  <si>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</si>
  <si>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</si>
  <si>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</si>
  <si>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</si>
  <si>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</si>
  <si>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</si>
  <si>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</si>
  <si>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</si>
  <si>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</si>
  <si>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</si>
  <si>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</si>
  <si>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</si>
  <si>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</si>
  <si>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</si>
  <si>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</si>
  <si>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</si>
  <si>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</si>
  <si>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</si>
  <si>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</si>
  <si>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</si>
  <si>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</si>
  <si>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</si>
  <si>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</si>
  <si>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</si>
  <si>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</si>
  <si>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</si>
  <si>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</si>
  <si>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</si>
  <si>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</si>
  <si>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</si>
  <si>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</si>
  <si>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</si>
  <si>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</si>
  <si>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</si>
  <si>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</si>
  <si>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</si>
  <si>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</si>
  <si>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</si>
  <si>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</si>
  <si>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</si>
  <si>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</si>
  <si>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</si>
  <si>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</si>
  <si>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</si>
  <si>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</si>
  <si>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</si>
  <si>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</si>
  <si>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</si>
  <si>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</si>
  <si>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</si>
  <si>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</si>
  <si>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</si>
  <si>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</si>
  <si>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</si>
  <si>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</si>
  <si>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</si>
  <si>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</si>
  <si>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</si>
  <si>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</si>
  <si>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</si>
  <si>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</si>
  <si>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</si>
  <si>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</si>
  <si>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</si>
  <si>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</si>
  <si>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</si>
  <si>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</si>
  <si>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</si>
  <si>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</si>
  <si>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</si>
  <si>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</si>
  <si>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</si>
  <si>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</si>
  <si>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</si>
  <si>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</si>
  <si>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</si>
  <si>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</si>
  <si>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</si>
  <si>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</si>
  <si>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</si>
  <si>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</si>
  <si>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</si>
  <si>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</si>
  <si>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</si>
  <si>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</si>
  <si>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</si>
  <si>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</si>
  <si>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</si>
  <si>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</si>
  <si>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</si>
  <si>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</si>
  <si>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</si>
  <si>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</si>
  <si>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</si>
  <si>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</si>
  <si>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</si>
  <si>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</si>
  <si>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</si>
  <si>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</si>
  <si>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</si>
  <si>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</si>
  <si>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</si>
  <si>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</si>
  <si>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</si>
  <si>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</si>
  <si>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</si>
  <si>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</si>
  <si>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</si>
  <si>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</si>
  <si>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</si>
  <si>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</si>
  <si>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</si>
  <si>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</si>
  <si>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</si>
  <si>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</si>
  <si>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</si>
  <si>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</si>
  <si>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</si>
  <si>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</si>
  <si>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</si>
  <si>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</si>
  <si>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</si>
  <si>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</si>
  <si>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</si>
  <si>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</si>
  <si>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</si>
  <si>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</si>
  <si>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</si>
  <si>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</si>
  <si>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</si>
  <si>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</si>
  <si>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</si>
  <si>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</si>
  <si>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</si>
  <si>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</si>
  <si>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</si>
  <si>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</si>
  <si>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</si>
  <si>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</si>
  <si>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</si>
  <si>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</si>
  <si>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</si>
  <si>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</si>
  <si>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</si>
  <si>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</si>
  <si>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</si>
  <si>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</si>
  <si>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</si>
  <si>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</si>
  <si>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</si>
  <si>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</si>
  <si>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</si>
  <si>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</si>
  <si>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</si>
  <si>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</si>
  <si>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</si>
  <si>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</si>
  <si>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</si>
  <si>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</si>
  <si>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</si>
  <si>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</si>
  <si>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</si>
  <si>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</si>
  <si>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</si>
  <si>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</si>
  <si>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</si>
  <si>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</si>
  <si>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</si>
  <si>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</si>
  <si>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</si>
  <si>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</si>
  <si>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</si>
  <si>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</si>
  <si>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</si>
  <si>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</si>
  <si>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</si>
  <si>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</si>
  <si>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</si>
  <si>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</si>
  <si>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</si>
  <si>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</si>
  <si>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</si>
  <si>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</si>
  <si>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</si>
  <si>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</si>
  <si>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</si>
  <si>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</si>
  <si>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</si>
  <si>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</si>
  <si>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</si>
  <si>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</si>
  <si>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</si>
  <si>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</si>
  <si>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</si>
  <si>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</si>
  <si>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</si>
  <si>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</si>
  <si>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</si>
  <si>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</si>
  <si>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</si>
  <si>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</si>
  <si>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</si>
  <si>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</si>
  <si>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</si>
  <si>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</si>
  <si>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</si>
  <si>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</si>
  <si>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</si>
  <si>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</si>
  <si>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</si>
  <si>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</si>
  <si>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</si>
  <si>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</si>
  <si>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</si>
  <si>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</si>
  <si>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</si>
  <si>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</si>
  <si>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</si>
  <si>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</si>
  <si>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</si>
  <si>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</si>
  <si>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</si>
  <si>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</si>
  <si>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</si>
  <si>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</si>
  <si>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</si>
  <si>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</si>
  <si>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</si>
  <si>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</si>
  <si>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</si>
  <si>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</si>
  <si>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</si>
  <si>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</si>
  <si>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</si>
  <si>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</si>
  <si>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</si>
  <si>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</si>
  <si>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</si>
  <si>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</si>
  <si>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</si>
  <si>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</si>
  <si>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</si>
  <si>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</si>
  <si>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</si>
  <si>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</si>
  <si>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</si>
  <si>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</si>
  <si>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</si>
  <si>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</si>
  <si>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</si>
  <si>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</si>
  <si>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</si>
  <si>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</si>
  <si>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</si>
  <si>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</si>
  <si>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</si>
  <si>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</si>
  <si>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</si>
  <si>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</si>
  <si>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</si>
  <si>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</si>
  <si>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</si>
  <si>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</si>
  <si>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</si>
  <si>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</si>
  <si>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</si>
  <si>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</si>
  <si>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</si>
  <si>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</si>
  <si>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</si>
  <si>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</si>
  <si>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</si>
  <si>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</si>
  <si>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</si>
  <si>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</si>
  <si>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</si>
  <si>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</si>
  <si>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</si>
  <si>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</si>
  <si>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</si>
  <si>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</si>
  <si>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</si>
  <si>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</si>
  <si>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</si>
  <si>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</si>
  <si>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</si>
  <si>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</si>
  <si>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</si>
  <si>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</si>
  <si>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</si>
  <si>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1E+51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</si>
  <si>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</si>
  <si>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</si>
  <si>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</si>
  <si>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</si>
  <si>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</si>
  <si>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</si>
  <si>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</si>
  <si>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</si>
  <si>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1E+55</t>
  </si>
  <si>
    <t>1E+83</t>
  </si>
  <si>
    <t>10178</t>
  </si>
  <si>
    <t>1178</t>
  </si>
  <si>
    <t>混沌猫王</t>
  </si>
  <si>
    <t>1E+99</t>
  </si>
  <si>
    <t>1E+125</t>
  </si>
  <si>
    <t>1E+155</t>
  </si>
  <si>
    <t>1E+59</t>
  </si>
  <si>
    <t>15500000000000</t>
  </si>
  <si>
    <t>10179</t>
  </si>
  <si>
    <t>1179</t>
  </si>
  <si>
    <t>混沌花王</t>
  </si>
  <si>
    <t>1E+103</t>
  </si>
  <si>
    <t>1E+129</t>
  </si>
  <si>
    <t>1E+159</t>
  </si>
  <si>
    <t>1E+63</t>
  </si>
  <si>
    <t>16000000000000</t>
  </si>
  <si>
    <t>#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</si>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</sst>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topLeftCell="A5" workbookViewId="0">
      <selection activeCell="A186" sqref="A186:B215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1.75" style="8" customWidth="1"/>
    <col min="12" max="12" width="15.875" style="8" customWidth="1"/>
    <col min="13" max="16" width="12.125" style="8" customWidth="1"/>
    <col min="17" max="17" width="9.62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3.75" style="1" customWidth="1"/>
    <col min="23" max="23" width="15.5083333333333" style="1" customWidth="1"/>
    <col min="24" max="24" width="13.375" style="1" customWidth="1"/>
    <col min="25" max="16384" width="9" style="8"/>
  </cols>
  <sheetData>
    <row r="1" s="1" customFormat="1" customHeight="1" spans="1:21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="1" customFormat="1" customHeight="1" spans="1:21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="1" customFormat="1" customHeight="1" spans="1:24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1" t="s">
        <v>19</v>
      </c>
      <c r="W3" s="11" t="s">
        <v>20</v>
      </c>
      <c r="X3" s="11" t="s">
        <v>21</v>
      </c>
    </row>
    <row r="4" s="1" customFormat="1" customHeight="1" spans="1:24">
      <c r="A4" s="8"/>
      <c r="B4" s="8"/>
      <c r="C4" s="10" t="s">
        <v>22</v>
      </c>
      <c r="D4" s="10" t="s">
        <v>23</v>
      </c>
      <c r="E4" s="10" t="s">
        <v>2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28</v>
      </c>
      <c r="U4" s="10" t="s">
        <v>29</v>
      </c>
      <c r="V4" s="11" t="s">
        <v>30</v>
      </c>
      <c r="W4" s="11" t="s">
        <v>31</v>
      </c>
      <c r="X4" s="11" t="s">
        <v>32</v>
      </c>
    </row>
    <row r="5" s="1" customFormat="1" customHeight="1" spans="1:24">
      <c r="A5" s="8"/>
      <c r="B5" s="8"/>
      <c r="C5" s="10" t="s">
        <v>33</v>
      </c>
      <c r="D5" s="10" t="s">
        <v>33</v>
      </c>
      <c r="E5" s="10" t="s">
        <v>33</v>
      </c>
      <c r="F5" s="10" t="s">
        <v>34</v>
      </c>
      <c r="G5" s="10" t="s">
        <v>34</v>
      </c>
      <c r="H5" s="10" t="s">
        <v>34</v>
      </c>
      <c r="I5" s="10" t="s">
        <v>34</v>
      </c>
      <c r="J5" s="10" t="s">
        <v>34</v>
      </c>
      <c r="K5" s="10" t="s">
        <v>34</v>
      </c>
      <c r="L5" s="10" t="s">
        <v>33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0" t="s">
        <v>35</v>
      </c>
      <c r="T5" s="10" t="s">
        <v>36</v>
      </c>
      <c r="U5" s="10" t="s">
        <v>36</v>
      </c>
      <c r="V5" s="11" t="s">
        <v>37</v>
      </c>
      <c r="W5" s="11" t="s">
        <v>37</v>
      </c>
      <c r="X5" s="11" t="s">
        <v>33</v>
      </c>
    </row>
    <row r="6" s="1" customFormat="1" ht="11.5" hidden="1" spans="3:24">
      <c r="C6" s="1" t="s">
        <v>38</v>
      </c>
      <c r="D6" s="1" t="s">
        <v>39</v>
      </c>
      <c r="E6" s="1">
        <v>1</v>
      </c>
      <c r="F6" s="1" t="s">
        <v>40</v>
      </c>
      <c r="G6" s="25" t="s">
        <v>41</v>
      </c>
      <c r="H6" s="25" t="s">
        <v>42</v>
      </c>
      <c r="I6" s="25" t="s">
        <v>43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2">
        <v>0</v>
      </c>
      <c r="R6" s="12">
        <v>0</v>
      </c>
      <c r="S6" s="12">
        <v>0</v>
      </c>
      <c r="T6" s="1" t="s">
        <v>38</v>
      </c>
      <c r="U6" s="1" t="s">
        <v>38</v>
      </c>
      <c r="W6" s="1" t="s">
        <v>44</v>
      </c>
      <c r="X6" s="1">
        <v>-1</v>
      </c>
    </row>
    <row r="7" hidden="1" customHeight="1" spans="3:25">
      <c r="C7" s="1" t="s">
        <v>45</v>
      </c>
      <c r="D7" s="1" t="s">
        <v>46</v>
      </c>
      <c r="E7" s="1">
        <v>1</v>
      </c>
      <c r="F7" s="1" t="s">
        <v>47</v>
      </c>
      <c r="G7" s="1" t="s">
        <v>48</v>
      </c>
      <c r="H7" s="1" t="s">
        <v>49</v>
      </c>
      <c r="I7" s="1" t="s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2">
        <v>0</v>
      </c>
      <c r="R7" s="12">
        <v>0</v>
      </c>
      <c r="S7" s="12">
        <v>0</v>
      </c>
      <c r="T7" s="1" t="s">
        <v>51</v>
      </c>
      <c r="U7" s="1" t="s">
        <v>51</v>
      </c>
      <c r="W7" s="1" t="s">
        <v>52</v>
      </c>
      <c r="X7" s="1">
        <v>-1</v>
      </c>
      <c r="Y7" s="1"/>
    </row>
    <row r="8" hidden="1" customHeight="1" spans="3:25">
      <c r="C8" s="1" t="s">
        <v>53</v>
      </c>
      <c r="D8" s="1" t="s">
        <v>54</v>
      </c>
      <c r="E8" s="1">
        <v>1</v>
      </c>
      <c r="F8" s="1" t="s">
        <v>55</v>
      </c>
      <c r="G8" s="1" t="s">
        <v>38</v>
      </c>
      <c r="H8" s="1" t="s">
        <v>56</v>
      </c>
      <c r="I8" s="1" t="s">
        <v>57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2">
        <v>0</v>
      </c>
      <c r="R8" s="12">
        <v>0</v>
      </c>
      <c r="S8" s="12">
        <v>0</v>
      </c>
      <c r="T8" s="1" t="s">
        <v>58</v>
      </c>
      <c r="U8" s="1" t="s">
        <v>58</v>
      </c>
      <c r="W8" s="1" t="s">
        <v>59</v>
      </c>
      <c r="X8" s="1">
        <v>-1</v>
      </c>
      <c r="Y8" s="1"/>
    </row>
    <row r="9" hidden="1" customHeight="1" spans="3:25">
      <c r="C9" s="1" t="s">
        <v>60</v>
      </c>
      <c r="D9" s="1" t="s">
        <v>61</v>
      </c>
      <c r="E9" s="1">
        <v>1</v>
      </c>
      <c r="F9" s="1" t="s">
        <v>62</v>
      </c>
      <c r="G9" s="1" t="s">
        <v>63</v>
      </c>
      <c r="H9" s="1" t="s">
        <v>64</v>
      </c>
      <c r="I9" s="1" t="s">
        <v>65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2">
        <v>0</v>
      </c>
      <c r="R9" s="12">
        <v>0</v>
      </c>
      <c r="S9" s="12">
        <v>0</v>
      </c>
      <c r="T9" s="1" t="s">
        <v>66</v>
      </c>
      <c r="U9" s="1" t="s">
        <v>66</v>
      </c>
      <c r="W9" s="1" t="s">
        <v>67</v>
      </c>
      <c r="X9" s="1">
        <v>0</v>
      </c>
      <c r="Y9" s="1"/>
    </row>
    <row r="10" hidden="1" customHeight="1" spans="3:25">
      <c r="C10" s="1" t="s">
        <v>68</v>
      </c>
      <c r="D10" s="1" t="s">
        <v>69</v>
      </c>
      <c r="E10" s="1">
        <v>1</v>
      </c>
      <c r="F10" s="1" t="s">
        <v>70</v>
      </c>
      <c r="G10" s="1" t="s">
        <v>51</v>
      </c>
      <c r="H10" s="1" t="s">
        <v>38</v>
      </c>
      <c r="I10" s="1" t="s">
        <v>71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2">
        <v>0</v>
      </c>
      <c r="R10" s="12">
        <v>0</v>
      </c>
      <c r="S10" s="12">
        <v>0</v>
      </c>
      <c r="T10" s="1" t="s">
        <v>57</v>
      </c>
      <c r="U10" s="1" t="s">
        <v>57</v>
      </c>
      <c r="W10" s="1" t="s">
        <v>72</v>
      </c>
      <c r="X10" s="1">
        <v>0</v>
      </c>
      <c r="Y10" s="1"/>
    </row>
    <row r="11" hidden="1" customHeight="1" spans="3:25">
      <c r="C11" s="1" t="s">
        <v>73</v>
      </c>
      <c r="D11" s="1" t="s">
        <v>74</v>
      </c>
      <c r="E11" s="1">
        <v>1</v>
      </c>
      <c r="F11" s="1" t="s">
        <v>75</v>
      </c>
      <c r="G11" s="1" t="s">
        <v>76</v>
      </c>
      <c r="H11" s="1" t="s">
        <v>77</v>
      </c>
      <c r="I11" s="1" t="s">
        <v>78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2">
        <v>0</v>
      </c>
      <c r="R11" s="12">
        <v>0</v>
      </c>
      <c r="S11" s="12">
        <v>0</v>
      </c>
      <c r="T11" s="1" t="s">
        <v>79</v>
      </c>
      <c r="U11" s="1" t="s">
        <v>79</v>
      </c>
      <c r="W11" s="1" t="s">
        <v>80</v>
      </c>
      <c r="X11" s="1">
        <v>0</v>
      </c>
      <c r="Y11" s="1"/>
    </row>
    <row r="12" hidden="1" customHeight="1" spans="3:25">
      <c r="C12" s="1" t="s">
        <v>81</v>
      </c>
      <c r="D12" s="1" t="s">
        <v>82</v>
      </c>
      <c r="E12" s="1">
        <v>1</v>
      </c>
      <c r="F12" s="1" t="s">
        <v>83</v>
      </c>
      <c r="G12" s="1" t="s">
        <v>84</v>
      </c>
      <c r="H12" s="1" t="s">
        <v>85</v>
      </c>
      <c r="I12" s="1" t="s">
        <v>86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2">
        <v>0</v>
      </c>
      <c r="R12" s="12">
        <v>0</v>
      </c>
      <c r="S12" s="12">
        <v>0</v>
      </c>
      <c r="T12" s="1" t="s">
        <v>87</v>
      </c>
      <c r="U12" s="1" t="s">
        <v>87</v>
      </c>
      <c r="W12" s="1" t="s">
        <v>88</v>
      </c>
      <c r="X12" s="1">
        <v>0</v>
      </c>
      <c r="Y12" s="1"/>
    </row>
    <row r="13" hidden="1" customHeight="1" spans="3:25">
      <c r="C13" s="1" t="s">
        <v>89</v>
      </c>
      <c r="D13" s="1" t="s">
        <v>90</v>
      </c>
      <c r="E13" s="1">
        <v>1</v>
      </c>
      <c r="F13" s="1" t="s">
        <v>91</v>
      </c>
      <c r="G13" s="1" t="s">
        <v>92</v>
      </c>
      <c r="H13" s="1" t="s">
        <v>93</v>
      </c>
      <c r="I13" s="1" t="s">
        <v>94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2">
        <v>0</v>
      </c>
      <c r="R13" s="12">
        <v>0</v>
      </c>
      <c r="S13" s="12">
        <v>0</v>
      </c>
      <c r="T13" s="1" t="s">
        <v>95</v>
      </c>
      <c r="U13" s="1" t="s">
        <v>95</v>
      </c>
      <c r="W13" s="1" t="s">
        <v>96</v>
      </c>
      <c r="X13" s="1">
        <v>0</v>
      </c>
      <c r="Y13" s="1"/>
    </row>
    <row r="14" hidden="1" customHeight="1" spans="3:25">
      <c r="C14" s="1" t="s">
        <v>97</v>
      </c>
      <c r="D14" s="1" t="s">
        <v>98</v>
      </c>
      <c r="E14" s="1">
        <v>1</v>
      </c>
      <c r="F14" s="1" t="s">
        <v>99</v>
      </c>
      <c r="G14" s="1" t="s">
        <v>100</v>
      </c>
      <c r="H14" s="1" t="s">
        <v>101</v>
      </c>
      <c r="I14" s="1" t="s">
        <v>102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2">
        <v>0</v>
      </c>
      <c r="R14" s="12">
        <v>0</v>
      </c>
      <c r="S14" s="12">
        <v>0</v>
      </c>
      <c r="T14" s="1" t="s">
        <v>103</v>
      </c>
      <c r="U14" s="1" t="s">
        <v>103</v>
      </c>
      <c r="W14" s="1" t="s">
        <v>41</v>
      </c>
      <c r="X14" s="1">
        <v>0</v>
      </c>
      <c r="Y14" s="1"/>
    </row>
    <row r="15" hidden="1" customHeight="1" spans="3:25">
      <c r="C15" s="1" t="s">
        <v>104</v>
      </c>
      <c r="D15" s="1" t="s">
        <v>105</v>
      </c>
      <c r="E15" s="1">
        <v>1</v>
      </c>
      <c r="F15" s="1" t="s">
        <v>106</v>
      </c>
      <c r="G15" s="1" t="s">
        <v>107</v>
      </c>
      <c r="H15" s="1" t="s">
        <v>108</v>
      </c>
      <c r="I15" s="1" t="s">
        <v>109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2">
        <v>0</v>
      </c>
      <c r="R15" s="12">
        <v>0</v>
      </c>
      <c r="S15" s="12">
        <v>0</v>
      </c>
      <c r="T15" s="1" t="s">
        <v>110</v>
      </c>
      <c r="U15" s="1" t="s">
        <v>110</v>
      </c>
      <c r="W15" s="1" t="s">
        <v>111</v>
      </c>
      <c r="X15" s="1">
        <v>0</v>
      </c>
      <c r="Y15" s="1"/>
    </row>
    <row r="16" hidden="1" customHeight="1" spans="3:25">
      <c r="C16" s="1" t="s">
        <v>112</v>
      </c>
      <c r="D16" s="1" t="s">
        <v>113</v>
      </c>
      <c r="E16" s="1">
        <v>1</v>
      </c>
      <c r="F16" s="1" t="s">
        <v>114</v>
      </c>
      <c r="G16" s="1" t="s">
        <v>115</v>
      </c>
      <c r="H16" s="1" t="s">
        <v>116</v>
      </c>
      <c r="I16" s="1" t="s">
        <v>117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2">
        <v>0</v>
      </c>
      <c r="R16" s="12">
        <v>0</v>
      </c>
      <c r="S16" s="12">
        <v>0</v>
      </c>
      <c r="T16" s="1" t="s">
        <v>118</v>
      </c>
      <c r="U16" s="1" t="s">
        <v>118</v>
      </c>
      <c r="W16" s="1" t="s">
        <v>119</v>
      </c>
      <c r="X16" s="1">
        <v>0</v>
      </c>
      <c r="Y16" s="1"/>
    </row>
    <row r="17" hidden="1" customHeight="1" spans="3:25">
      <c r="C17" s="1" t="s">
        <v>120</v>
      </c>
      <c r="D17" s="1" t="s">
        <v>121</v>
      </c>
      <c r="E17" s="1">
        <v>1</v>
      </c>
      <c r="F17" s="1" t="s">
        <v>122</v>
      </c>
      <c r="G17" s="1" t="s">
        <v>123</v>
      </c>
      <c r="H17" s="1" t="s">
        <v>124</v>
      </c>
      <c r="I17" s="1" t="s">
        <v>125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2">
        <v>0</v>
      </c>
      <c r="R17" s="12">
        <v>0</v>
      </c>
      <c r="S17" s="12">
        <v>0</v>
      </c>
      <c r="T17" s="1" t="s">
        <v>126</v>
      </c>
      <c r="U17" s="1" t="s">
        <v>126</v>
      </c>
      <c r="W17" s="1" t="s">
        <v>127</v>
      </c>
      <c r="X17" s="1">
        <v>0</v>
      </c>
      <c r="Y17" s="1"/>
    </row>
    <row r="18" hidden="1" customHeight="1" spans="3:25">
      <c r="C18" s="1" t="s">
        <v>128</v>
      </c>
      <c r="D18" s="1" t="s">
        <v>129</v>
      </c>
      <c r="E18" s="1">
        <v>1</v>
      </c>
      <c r="F18" s="1" t="s">
        <v>130</v>
      </c>
      <c r="G18" s="1" t="s">
        <v>131</v>
      </c>
      <c r="H18" s="1" t="s">
        <v>132</v>
      </c>
      <c r="I18" s="1" t="s">
        <v>133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2">
        <v>0</v>
      </c>
      <c r="R18" s="12">
        <v>0</v>
      </c>
      <c r="S18" s="12">
        <v>0</v>
      </c>
      <c r="T18" s="1" t="s">
        <v>134</v>
      </c>
      <c r="U18" s="1" t="s">
        <v>134</v>
      </c>
      <c r="W18" s="1" t="s">
        <v>135</v>
      </c>
      <c r="X18" s="1">
        <v>0</v>
      </c>
      <c r="Y18" s="1"/>
    </row>
    <row r="19" hidden="1" customHeight="1" spans="3:25">
      <c r="C19" s="1" t="s">
        <v>136</v>
      </c>
      <c r="D19" s="1" t="s">
        <v>137</v>
      </c>
      <c r="E19" s="1">
        <v>1</v>
      </c>
      <c r="F19" s="1" t="s">
        <v>138</v>
      </c>
      <c r="G19" s="1" t="s">
        <v>139</v>
      </c>
      <c r="H19" s="1" t="s">
        <v>140</v>
      </c>
      <c r="I19" s="1" t="s">
        <v>141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2">
        <v>0</v>
      </c>
      <c r="R19" s="12">
        <v>0</v>
      </c>
      <c r="S19" s="12">
        <v>0</v>
      </c>
      <c r="T19" s="1" t="s">
        <v>142</v>
      </c>
      <c r="U19" s="1" t="s">
        <v>142</v>
      </c>
      <c r="W19" s="1" t="s">
        <v>135</v>
      </c>
      <c r="X19" s="1">
        <v>0</v>
      </c>
      <c r="Y19" s="1"/>
    </row>
    <row r="20" hidden="1" customHeight="1" spans="3:25">
      <c r="C20" s="1" t="s">
        <v>143</v>
      </c>
      <c r="D20" s="1" t="s">
        <v>144</v>
      </c>
      <c r="E20" s="1">
        <v>1</v>
      </c>
      <c r="F20" s="1" t="s">
        <v>145</v>
      </c>
      <c r="G20" s="1" t="s">
        <v>146</v>
      </c>
      <c r="H20" s="1" t="s">
        <v>147</v>
      </c>
      <c r="I20" s="1" t="s">
        <v>148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2">
        <v>0</v>
      </c>
      <c r="R20" s="12">
        <v>0</v>
      </c>
      <c r="S20" s="12">
        <v>0</v>
      </c>
      <c r="T20" s="1" t="s">
        <v>149</v>
      </c>
      <c r="U20" s="1" t="s">
        <v>149</v>
      </c>
      <c r="W20" s="1" t="s">
        <v>135</v>
      </c>
      <c r="X20" s="1">
        <v>0</v>
      </c>
      <c r="Y20" s="1"/>
    </row>
    <row r="21" hidden="1" customHeight="1" spans="3:25">
      <c r="C21" s="1" t="s">
        <v>150</v>
      </c>
      <c r="D21" s="1" t="s">
        <v>151</v>
      </c>
      <c r="E21" s="1">
        <v>1</v>
      </c>
      <c r="F21" s="1" t="s">
        <v>152</v>
      </c>
      <c r="G21" s="1" t="s">
        <v>153</v>
      </c>
      <c r="H21" s="1" t="s">
        <v>154</v>
      </c>
      <c r="I21" s="1" t="s">
        <v>155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1">
        <v>0</v>
      </c>
      <c r="Q21" s="12">
        <v>0</v>
      </c>
      <c r="R21" s="12">
        <v>0</v>
      </c>
      <c r="S21" s="12">
        <v>0</v>
      </c>
      <c r="T21" s="1" t="s">
        <v>156</v>
      </c>
      <c r="U21" s="1" t="s">
        <v>156</v>
      </c>
      <c r="W21" s="1" t="s">
        <v>157</v>
      </c>
      <c r="X21" s="1">
        <v>0</v>
      </c>
      <c r="Y21" s="1"/>
    </row>
    <row r="22" hidden="1" customHeight="1" spans="3:25">
      <c r="C22" s="1" t="s">
        <v>158</v>
      </c>
      <c r="D22" s="1" t="s">
        <v>159</v>
      </c>
      <c r="E22" s="1">
        <v>1</v>
      </c>
      <c r="F22" s="1" t="s">
        <v>160</v>
      </c>
      <c r="G22" s="1" t="s">
        <v>161</v>
      </c>
      <c r="H22" s="1" t="s">
        <v>162</v>
      </c>
      <c r="I22" s="1" t="s">
        <v>163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1">
        <v>0</v>
      </c>
      <c r="Q22" s="12">
        <v>0</v>
      </c>
      <c r="R22" s="12">
        <v>0</v>
      </c>
      <c r="S22" s="12">
        <v>0</v>
      </c>
      <c r="T22" s="1" t="s">
        <v>164</v>
      </c>
      <c r="U22" s="1" t="s">
        <v>164</v>
      </c>
      <c r="W22" s="1" t="s">
        <v>157</v>
      </c>
      <c r="X22" s="1">
        <v>0</v>
      </c>
      <c r="Y22" s="1"/>
    </row>
    <row r="23" hidden="1" customHeight="1" spans="3:25">
      <c r="C23" s="1" t="s">
        <v>165</v>
      </c>
      <c r="D23" s="1" t="s">
        <v>166</v>
      </c>
      <c r="E23" s="1">
        <v>1</v>
      </c>
      <c r="F23" s="1" t="s">
        <v>167</v>
      </c>
      <c r="G23" s="1" t="s">
        <v>168</v>
      </c>
      <c r="H23" s="1" t="s">
        <v>169</v>
      </c>
      <c r="I23" s="1" t="s">
        <v>170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1">
        <v>0</v>
      </c>
      <c r="Q23" s="12">
        <v>0</v>
      </c>
      <c r="R23" s="12">
        <v>0</v>
      </c>
      <c r="S23" s="12">
        <v>0</v>
      </c>
      <c r="T23" s="1" t="s">
        <v>171</v>
      </c>
      <c r="U23" s="1" t="s">
        <v>171</v>
      </c>
      <c r="W23" s="1" t="s">
        <v>157</v>
      </c>
      <c r="X23" s="1">
        <v>0</v>
      </c>
      <c r="Y23" s="1"/>
    </row>
    <row r="24" hidden="1" customHeight="1" spans="3:25">
      <c r="C24" s="1" t="s">
        <v>172</v>
      </c>
      <c r="D24" s="1" t="s">
        <v>173</v>
      </c>
      <c r="E24" s="1">
        <v>1</v>
      </c>
      <c r="F24" s="1" t="s">
        <v>174</v>
      </c>
      <c r="G24" s="1" t="s">
        <v>175</v>
      </c>
      <c r="H24" s="1" t="s">
        <v>176</v>
      </c>
      <c r="I24" s="1" t="s">
        <v>177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1">
        <v>0</v>
      </c>
      <c r="Q24" s="12">
        <v>0</v>
      </c>
      <c r="R24" s="12">
        <v>0</v>
      </c>
      <c r="S24" s="12">
        <v>0</v>
      </c>
      <c r="T24" s="1" t="s">
        <v>178</v>
      </c>
      <c r="U24" s="1" t="s">
        <v>178</v>
      </c>
      <c r="W24" s="1" t="s">
        <v>157</v>
      </c>
      <c r="X24" s="1">
        <v>0</v>
      </c>
      <c r="Y24" s="1"/>
    </row>
    <row r="25" hidden="1" customHeight="1" spans="3:25">
      <c r="C25" s="1" t="s">
        <v>179</v>
      </c>
      <c r="D25" s="1" t="s">
        <v>180</v>
      </c>
      <c r="E25" s="1">
        <v>1</v>
      </c>
      <c r="F25" s="1" t="s">
        <v>181</v>
      </c>
      <c r="G25" s="1" t="s">
        <v>182</v>
      </c>
      <c r="H25" s="1" t="s">
        <v>183</v>
      </c>
      <c r="I25" s="1" t="s">
        <v>184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1">
        <v>0</v>
      </c>
      <c r="Q25" s="12">
        <v>0</v>
      </c>
      <c r="R25" s="12">
        <v>0</v>
      </c>
      <c r="S25" s="12">
        <v>0</v>
      </c>
      <c r="T25" s="1" t="s">
        <v>185</v>
      </c>
      <c r="U25" s="1" t="s">
        <v>185</v>
      </c>
      <c r="W25" s="1" t="s">
        <v>157</v>
      </c>
      <c r="X25" s="1">
        <v>0</v>
      </c>
      <c r="Y25" s="1"/>
    </row>
    <row r="26" hidden="1" customHeight="1" spans="3:25">
      <c r="C26" s="1" t="s">
        <v>186</v>
      </c>
      <c r="D26" s="1" t="s">
        <v>187</v>
      </c>
      <c r="E26" s="1">
        <v>1</v>
      </c>
      <c r="F26" s="1" t="s">
        <v>188</v>
      </c>
      <c r="G26" s="1" t="s">
        <v>189</v>
      </c>
      <c r="H26" s="1" t="s">
        <v>190</v>
      </c>
      <c r="I26" s="1" t="s">
        <v>191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1">
        <v>0</v>
      </c>
      <c r="Q26" s="12">
        <v>0</v>
      </c>
      <c r="R26" s="12">
        <v>0</v>
      </c>
      <c r="S26" s="12">
        <v>0</v>
      </c>
      <c r="T26" s="1" t="s">
        <v>192</v>
      </c>
      <c r="U26" s="1" t="s">
        <v>192</v>
      </c>
      <c r="W26" s="1" t="s">
        <v>157</v>
      </c>
      <c r="X26" s="1">
        <v>0</v>
      </c>
      <c r="Y26" s="1"/>
    </row>
    <row r="27" hidden="1" customHeight="1" spans="3:25">
      <c r="C27" s="1" t="s">
        <v>193</v>
      </c>
      <c r="D27" s="1" t="s">
        <v>194</v>
      </c>
      <c r="E27" s="1">
        <v>1</v>
      </c>
      <c r="F27" s="1" t="s">
        <v>195</v>
      </c>
      <c r="G27" s="1" t="s">
        <v>196</v>
      </c>
      <c r="H27" s="1" t="s">
        <v>197</v>
      </c>
      <c r="I27" s="1" t="s">
        <v>198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1">
        <v>0</v>
      </c>
      <c r="Q27" s="12">
        <v>0</v>
      </c>
      <c r="R27" s="12">
        <v>0</v>
      </c>
      <c r="S27" s="12">
        <v>0</v>
      </c>
      <c r="T27" s="1" t="s">
        <v>199</v>
      </c>
      <c r="U27" s="1" t="s">
        <v>199</v>
      </c>
      <c r="W27" s="1" t="s">
        <v>157</v>
      </c>
      <c r="X27" s="1">
        <v>0</v>
      </c>
      <c r="Y27" s="1"/>
    </row>
    <row r="28" hidden="1" customHeight="1" spans="3:25">
      <c r="C28" s="1" t="s">
        <v>200</v>
      </c>
      <c r="D28" s="1" t="s">
        <v>201</v>
      </c>
      <c r="E28" s="1">
        <v>1</v>
      </c>
      <c r="F28" s="1" t="s">
        <v>202</v>
      </c>
      <c r="G28" s="1" t="s">
        <v>203</v>
      </c>
      <c r="H28" s="1" t="s">
        <v>204</v>
      </c>
      <c r="I28" s="1" t="s">
        <v>205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1">
        <v>0</v>
      </c>
      <c r="Q28" s="12">
        <v>0</v>
      </c>
      <c r="R28" s="12">
        <v>0</v>
      </c>
      <c r="S28" s="12">
        <v>0</v>
      </c>
      <c r="T28" s="1" t="s">
        <v>206</v>
      </c>
      <c r="U28" s="1" t="s">
        <v>206</v>
      </c>
      <c r="W28" s="1" t="s">
        <v>157</v>
      </c>
      <c r="X28" s="1">
        <v>0</v>
      </c>
      <c r="Y28" s="1"/>
    </row>
    <row r="29" hidden="1" customHeight="1" spans="3:25">
      <c r="C29" s="1" t="s">
        <v>207</v>
      </c>
      <c r="D29" s="1" t="s">
        <v>208</v>
      </c>
      <c r="E29" s="1">
        <v>1</v>
      </c>
      <c r="F29" s="1" t="s">
        <v>209</v>
      </c>
      <c r="G29" s="1" t="s">
        <v>210</v>
      </c>
      <c r="H29" s="1" t="s">
        <v>211</v>
      </c>
      <c r="I29" s="1" t="s">
        <v>212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1">
        <v>0</v>
      </c>
      <c r="Q29" s="12">
        <v>0</v>
      </c>
      <c r="R29" s="12">
        <v>0</v>
      </c>
      <c r="S29" s="12">
        <v>0</v>
      </c>
      <c r="T29" s="1" t="s">
        <v>213</v>
      </c>
      <c r="U29" s="1" t="s">
        <v>213</v>
      </c>
      <c r="W29" s="1" t="s">
        <v>157</v>
      </c>
      <c r="X29" s="1">
        <v>0</v>
      </c>
      <c r="Y29" s="1"/>
    </row>
    <row r="30" hidden="1" customHeight="1" spans="3:25">
      <c r="C30" s="1" t="s">
        <v>214</v>
      </c>
      <c r="D30" s="1" t="s">
        <v>215</v>
      </c>
      <c r="E30" s="1">
        <v>1</v>
      </c>
      <c r="F30" s="1" t="s">
        <v>216</v>
      </c>
      <c r="G30" s="1" t="s">
        <v>217</v>
      </c>
      <c r="H30" s="1" t="s">
        <v>218</v>
      </c>
      <c r="I30" s="1" t="s">
        <v>219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1">
        <v>0</v>
      </c>
      <c r="Q30" s="12">
        <v>0</v>
      </c>
      <c r="R30" s="12">
        <v>0</v>
      </c>
      <c r="S30" s="12">
        <v>0</v>
      </c>
      <c r="T30" s="1" t="s">
        <v>220</v>
      </c>
      <c r="U30" s="1" t="s">
        <v>220</v>
      </c>
      <c r="W30" s="1" t="s">
        <v>157</v>
      </c>
      <c r="X30" s="1">
        <v>0</v>
      </c>
      <c r="Y30" s="1"/>
    </row>
    <row r="31" hidden="1" customHeight="1" spans="3:25">
      <c r="C31" s="1" t="s">
        <v>221</v>
      </c>
      <c r="D31" s="1" t="s">
        <v>222</v>
      </c>
      <c r="E31" s="1">
        <v>1</v>
      </c>
      <c r="F31" s="1" t="s">
        <v>223</v>
      </c>
      <c r="G31" s="1" t="s">
        <v>224</v>
      </c>
      <c r="H31" s="1" t="s">
        <v>225</v>
      </c>
      <c r="I31" s="1" t="s">
        <v>226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1">
        <v>0</v>
      </c>
      <c r="Q31" s="12">
        <v>0</v>
      </c>
      <c r="R31" s="12">
        <v>0</v>
      </c>
      <c r="S31" s="12">
        <v>0</v>
      </c>
      <c r="T31" s="1" t="s">
        <v>227</v>
      </c>
      <c r="U31" s="1" t="s">
        <v>227</v>
      </c>
      <c r="W31" s="1" t="s">
        <v>157</v>
      </c>
      <c r="X31" s="1">
        <v>0</v>
      </c>
      <c r="Y31" s="1"/>
    </row>
    <row r="32" hidden="1" customHeight="1" spans="3:25">
      <c r="C32" s="1" t="s">
        <v>228</v>
      </c>
      <c r="D32" s="1" t="s">
        <v>229</v>
      </c>
      <c r="E32" s="1">
        <v>1</v>
      </c>
      <c r="F32" s="1" t="s">
        <v>230</v>
      </c>
      <c r="G32" s="1" t="s">
        <v>231</v>
      </c>
      <c r="H32" s="1" t="s">
        <v>232</v>
      </c>
      <c r="I32" s="1" t="s">
        <v>233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1">
        <v>0</v>
      </c>
      <c r="Q32" s="12">
        <v>0</v>
      </c>
      <c r="R32" s="12">
        <v>0</v>
      </c>
      <c r="S32" s="12">
        <v>0</v>
      </c>
      <c r="T32" s="1" t="s">
        <v>234</v>
      </c>
      <c r="U32" s="1" t="s">
        <v>234</v>
      </c>
      <c r="W32" s="1" t="s">
        <v>157</v>
      </c>
      <c r="X32" s="1">
        <v>0</v>
      </c>
      <c r="Y32" s="1"/>
    </row>
    <row r="33" hidden="1" customHeight="1" spans="3:25">
      <c r="C33" s="1" t="s">
        <v>235</v>
      </c>
      <c r="D33" s="1" t="s">
        <v>236</v>
      </c>
      <c r="E33" s="1">
        <v>1</v>
      </c>
      <c r="F33" s="1" t="s">
        <v>237</v>
      </c>
      <c r="G33" s="1" t="s">
        <v>238</v>
      </c>
      <c r="H33" s="1" t="s">
        <v>239</v>
      </c>
      <c r="I33" s="1" t="s">
        <v>240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1">
        <v>0</v>
      </c>
      <c r="Q33" s="12">
        <v>0</v>
      </c>
      <c r="R33" s="12">
        <v>0</v>
      </c>
      <c r="S33" s="12">
        <v>0</v>
      </c>
      <c r="T33" s="1" t="s">
        <v>241</v>
      </c>
      <c r="U33" s="1" t="s">
        <v>241</v>
      </c>
      <c r="W33" s="1" t="s">
        <v>157</v>
      </c>
      <c r="X33" s="1">
        <v>0</v>
      </c>
      <c r="Y33" s="1"/>
    </row>
    <row r="34" hidden="1" customHeight="1" spans="3:25">
      <c r="C34" s="1" t="s">
        <v>242</v>
      </c>
      <c r="D34" s="1" t="s">
        <v>243</v>
      </c>
      <c r="E34" s="1">
        <v>1</v>
      </c>
      <c r="F34" s="1" t="s">
        <v>244</v>
      </c>
      <c r="G34" s="1" t="s">
        <v>245</v>
      </c>
      <c r="H34" s="1" t="s">
        <v>246</v>
      </c>
      <c r="I34" s="1" t="s">
        <v>247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1">
        <v>0</v>
      </c>
      <c r="Q34" s="12">
        <v>0</v>
      </c>
      <c r="R34" s="12">
        <v>0</v>
      </c>
      <c r="S34" s="12">
        <v>0</v>
      </c>
      <c r="T34" s="1" t="s">
        <v>248</v>
      </c>
      <c r="U34" s="1" t="s">
        <v>248</v>
      </c>
      <c r="W34" s="1" t="s">
        <v>157</v>
      </c>
      <c r="X34" s="1">
        <v>0</v>
      </c>
      <c r="Y34" s="1"/>
    </row>
    <row r="35" hidden="1" customHeight="1" spans="3:25">
      <c r="C35" s="1" t="s">
        <v>249</v>
      </c>
      <c r="D35" s="1" t="s">
        <v>250</v>
      </c>
      <c r="E35" s="1">
        <v>1</v>
      </c>
      <c r="F35" s="1" t="s">
        <v>251</v>
      </c>
      <c r="G35" s="1" t="s">
        <v>252</v>
      </c>
      <c r="H35" s="1" t="s">
        <v>253</v>
      </c>
      <c r="I35" s="1" t="s">
        <v>254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1">
        <v>0</v>
      </c>
      <c r="Q35" s="12">
        <v>0</v>
      </c>
      <c r="R35" s="12">
        <v>0</v>
      </c>
      <c r="S35" s="12">
        <v>0</v>
      </c>
      <c r="T35" s="1" t="s">
        <v>255</v>
      </c>
      <c r="U35" s="1" t="s">
        <v>255</v>
      </c>
      <c r="W35" s="1" t="s">
        <v>157</v>
      </c>
      <c r="X35" s="1">
        <v>0</v>
      </c>
      <c r="Y35" s="1"/>
    </row>
    <row r="36" hidden="1" customHeight="1" spans="3:25">
      <c r="C36" s="1" t="s">
        <v>256</v>
      </c>
      <c r="D36" s="1" t="s">
        <v>257</v>
      </c>
      <c r="E36" s="1">
        <v>1</v>
      </c>
      <c r="F36" s="1" t="s">
        <v>258</v>
      </c>
      <c r="G36" s="1" t="s">
        <v>259</v>
      </c>
      <c r="H36" s="1" t="s">
        <v>260</v>
      </c>
      <c r="I36" s="1" t="s">
        <v>261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1">
        <v>0</v>
      </c>
      <c r="Q36" s="12">
        <v>0</v>
      </c>
      <c r="R36" s="12">
        <v>0</v>
      </c>
      <c r="S36" s="12">
        <v>0</v>
      </c>
      <c r="T36" s="1" t="s">
        <v>262</v>
      </c>
      <c r="U36" s="1" t="s">
        <v>262</v>
      </c>
      <c r="W36" s="1" t="s">
        <v>157</v>
      </c>
      <c r="X36" s="1">
        <v>0</v>
      </c>
      <c r="Y36" s="1"/>
    </row>
    <row r="37" hidden="1" customHeight="1" spans="3:25">
      <c r="C37" s="1" t="s">
        <v>263</v>
      </c>
      <c r="D37" s="1" t="s">
        <v>264</v>
      </c>
      <c r="E37" s="1">
        <v>1</v>
      </c>
      <c r="F37" s="1" t="s">
        <v>265</v>
      </c>
      <c r="G37" s="1" t="s">
        <v>266</v>
      </c>
      <c r="H37" s="1" t="s">
        <v>267</v>
      </c>
      <c r="I37" s="1" t="s">
        <v>268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1">
        <v>0</v>
      </c>
      <c r="Q37" s="12">
        <v>0</v>
      </c>
      <c r="R37" s="12">
        <v>0</v>
      </c>
      <c r="S37" s="12">
        <v>0</v>
      </c>
      <c r="T37" s="1" t="s">
        <v>269</v>
      </c>
      <c r="U37" s="1" t="s">
        <v>269</v>
      </c>
      <c r="W37" s="1" t="s">
        <v>157</v>
      </c>
      <c r="X37" s="1">
        <v>0</v>
      </c>
      <c r="Y37" s="1"/>
    </row>
    <row r="38" hidden="1" customHeight="1" spans="3:25">
      <c r="C38" s="1" t="s">
        <v>270</v>
      </c>
      <c r="D38" s="1" t="s">
        <v>271</v>
      </c>
      <c r="E38" s="1">
        <v>1</v>
      </c>
      <c r="F38" s="1" t="s">
        <v>272</v>
      </c>
      <c r="G38" s="1" t="s">
        <v>273</v>
      </c>
      <c r="H38" s="1" t="s">
        <v>274</v>
      </c>
      <c r="I38" s="1" t="s">
        <v>275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1">
        <v>0</v>
      </c>
      <c r="Q38" s="12">
        <v>0</v>
      </c>
      <c r="R38" s="12">
        <v>0</v>
      </c>
      <c r="S38" s="12">
        <v>0</v>
      </c>
      <c r="T38" s="1" t="s">
        <v>276</v>
      </c>
      <c r="U38" s="1" t="s">
        <v>276</v>
      </c>
      <c r="W38" s="1" t="s">
        <v>157</v>
      </c>
      <c r="X38" s="1">
        <v>0</v>
      </c>
      <c r="Y38" s="1"/>
    </row>
    <row r="39" hidden="1" customHeight="1" spans="3:25">
      <c r="C39" s="1" t="s">
        <v>277</v>
      </c>
      <c r="D39" s="1" t="s">
        <v>278</v>
      </c>
      <c r="E39" s="1">
        <v>1</v>
      </c>
      <c r="F39" s="1" t="s">
        <v>279</v>
      </c>
      <c r="G39" s="1" t="s">
        <v>280</v>
      </c>
      <c r="H39" s="1" t="s">
        <v>281</v>
      </c>
      <c r="I39" s="1" t="s">
        <v>282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1">
        <v>0</v>
      </c>
      <c r="Q39" s="12">
        <v>0</v>
      </c>
      <c r="R39" s="12">
        <v>0</v>
      </c>
      <c r="S39" s="12">
        <v>0</v>
      </c>
      <c r="T39" s="1" t="s">
        <v>283</v>
      </c>
      <c r="U39" s="1" t="s">
        <v>283</v>
      </c>
      <c r="W39" s="1" t="s">
        <v>157</v>
      </c>
      <c r="X39" s="1">
        <v>0</v>
      </c>
      <c r="Y39" s="1"/>
    </row>
    <row r="40" hidden="1" customHeight="1" spans="3:25">
      <c r="C40" s="1" t="s">
        <v>284</v>
      </c>
      <c r="D40" s="1" t="s">
        <v>285</v>
      </c>
      <c r="E40" s="1">
        <v>1</v>
      </c>
      <c r="F40" s="1" t="s">
        <v>286</v>
      </c>
      <c r="G40" s="25" t="s">
        <v>287</v>
      </c>
      <c r="H40" s="1" t="s">
        <v>288</v>
      </c>
      <c r="I40" s="1" t="s">
        <v>289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1">
        <v>0</v>
      </c>
      <c r="Q40" s="12">
        <v>0</v>
      </c>
      <c r="R40" s="12">
        <v>0</v>
      </c>
      <c r="S40" s="12">
        <v>0</v>
      </c>
      <c r="T40" s="1" t="s">
        <v>290</v>
      </c>
      <c r="U40" s="1" t="s">
        <v>290</v>
      </c>
      <c r="W40" s="1" t="s">
        <v>157</v>
      </c>
      <c r="X40" s="1">
        <v>0</v>
      </c>
      <c r="Y40" s="1"/>
    </row>
    <row r="41" s="1" customFormat="1" hidden="1" customHeight="1" spans="1:24">
      <c r="A41" s="8"/>
      <c r="C41" s="1" t="s">
        <v>291</v>
      </c>
      <c r="D41" s="1" t="s">
        <v>292</v>
      </c>
      <c r="E41" s="1">
        <v>2</v>
      </c>
      <c r="F41" s="1" t="s">
        <v>293</v>
      </c>
      <c r="G41" s="1" t="s">
        <v>294</v>
      </c>
      <c r="H41" s="1" t="s">
        <v>295</v>
      </c>
      <c r="I41" s="1" t="s">
        <v>296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1">
        <v>0</v>
      </c>
      <c r="Q41" s="12">
        <v>0</v>
      </c>
      <c r="R41" s="12">
        <v>0</v>
      </c>
      <c r="S41" s="12">
        <v>0</v>
      </c>
      <c r="T41" s="1" t="s">
        <v>297</v>
      </c>
      <c r="U41" s="1" t="s">
        <v>297</v>
      </c>
      <c r="W41" s="1" t="s">
        <v>157</v>
      </c>
      <c r="X41" s="1">
        <v>0</v>
      </c>
    </row>
    <row r="42" s="1" customFormat="1" hidden="1" customHeight="1" spans="1:24">
      <c r="A42" s="8"/>
      <c r="C42" s="1" t="s">
        <v>298</v>
      </c>
      <c r="D42" s="1" t="s">
        <v>299</v>
      </c>
      <c r="E42" s="1">
        <v>2</v>
      </c>
      <c r="F42" s="1" t="s">
        <v>300</v>
      </c>
      <c r="G42" s="1" t="s">
        <v>301</v>
      </c>
      <c r="H42" s="1" t="s">
        <v>302</v>
      </c>
      <c r="I42" s="1" t="s">
        <v>303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1">
        <v>0</v>
      </c>
      <c r="Q42" s="12">
        <v>0</v>
      </c>
      <c r="R42" s="12">
        <v>0</v>
      </c>
      <c r="S42" s="12">
        <v>0</v>
      </c>
      <c r="T42" s="1" t="s">
        <v>304</v>
      </c>
      <c r="U42" s="1" t="s">
        <v>304</v>
      </c>
      <c r="W42" s="1" t="s">
        <v>157</v>
      </c>
      <c r="X42" s="1">
        <v>0</v>
      </c>
    </row>
    <row r="43" s="1" customFormat="1" hidden="1" customHeight="1" spans="1:24">
      <c r="A43" s="8"/>
      <c r="C43" s="1" t="s">
        <v>305</v>
      </c>
      <c r="D43" s="1" t="s">
        <v>306</v>
      </c>
      <c r="E43" s="1">
        <v>2</v>
      </c>
      <c r="F43" s="1" t="s">
        <v>307</v>
      </c>
      <c r="G43" s="1" t="s">
        <v>308</v>
      </c>
      <c r="H43" s="1" t="s">
        <v>309</v>
      </c>
      <c r="I43" s="1" t="s">
        <v>310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1">
        <v>0</v>
      </c>
      <c r="Q43" s="12">
        <v>0</v>
      </c>
      <c r="R43" s="12">
        <v>0</v>
      </c>
      <c r="S43" s="12">
        <v>0</v>
      </c>
      <c r="T43" s="1" t="s">
        <v>311</v>
      </c>
      <c r="U43" s="1" t="s">
        <v>311</v>
      </c>
      <c r="W43" s="1" t="s">
        <v>157</v>
      </c>
      <c r="X43" s="1">
        <v>0</v>
      </c>
    </row>
    <row r="44" s="1" customFormat="1" hidden="1" customHeight="1" spans="1:24">
      <c r="A44" s="8"/>
      <c r="C44" s="1" t="s">
        <v>312</v>
      </c>
      <c r="D44" s="1" t="s">
        <v>313</v>
      </c>
      <c r="E44" s="1">
        <v>2</v>
      </c>
      <c r="F44" s="1" t="s">
        <v>314</v>
      </c>
      <c r="G44" s="1" t="s">
        <v>315</v>
      </c>
      <c r="H44" s="1" t="s">
        <v>316</v>
      </c>
      <c r="I44" s="1" t="s">
        <v>317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1">
        <v>0</v>
      </c>
      <c r="Q44" s="12">
        <v>0</v>
      </c>
      <c r="R44" s="12">
        <v>0</v>
      </c>
      <c r="S44" s="12">
        <v>0</v>
      </c>
      <c r="T44" s="1" t="s">
        <v>318</v>
      </c>
      <c r="U44" s="1" t="s">
        <v>318</v>
      </c>
      <c r="W44" s="1" t="s">
        <v>157</v>
      </c>
      <c r="X44" s="1">
        <v>0</v>
      </c>
    </row>
    <row r="45" s="1" customFormat="1" hidden="1" customHeight="1" spans="1:24">
      <c r="A45" s="8"/>
      <c r="C45" s="1" t="s">
        <v>319</v>
      </c>
      <c r="D45" s="1" t="s">
        <v>320</v>
      </c>
      <c r="E45" s="1">
        <v>2</v>
      </c>
      <c r="F45" s="1" t="s">
        <v>321</v>
      </c>
      <c r="G45" s="1" t="s">
        <v>322</v>
      </c>
      <c r="H45" s="1" t="s">
        <v>323</v>
      </c>
      <c r="I45" s="1" t="s">
        <v>324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1">
        <v>0</v>
      </c>
      <c r="Q45" s="12">
        <v>0</v>
      </c>
      <c r="R45" s="12">
        <v>0</v>
      </c>
      <c r="S45" s="12">
        <v>0</v>
      </c>
      <c r="T45" s="1" t="s">
        <v>325</v>
      </c>
      <c r="U45" s="1" t="s">
        <v>325</v>
      </c>
      <c r="W45" s="1" t="s">
        <v>157</v>
      </c>
      <c r="X45" s="1">
        <v>0</v>
      </c>
    </row>
    <row r="46" s="1" customFormat="1" hidden="1" customHeight="1" spans="1:26">
      <c r="A46" s="8"/>
      <c r="C46" s="1" t="s">
        <v>326</v>
      </c>
      <c r="D46" s="1" t="s">
        <v>327</v>
      </c>
      <c r="E46" s="1">
        <v>2</v>
      </c>
      <c r="F46" s="1" t="s">
        <v>328</v>
      </c>
      <c r="G46" s="1" t="s">
        <v>329</v>
      </c>
      <c r="H46" s="1" t="s">
        <v>330</v>
      </c>
      <c r="I46" s="1" t="s">
        <v>331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1">
        <v>0</v>
      </c>
      <c r="Q46" s="12">
        <v>0</v>
      </c>
      <c r="R46" s="12">
        <v>0</v>
      </c>
      <c r="S46" s="12">
        <v>0</v>
      </c>
      <c r="T46" s="1" t="s">
        <v>332</v>
      </c>
      <c r="U46" s="1" t="s">
        <v>332</v>
      </c>
      <c r="W46" s="1" t="s">
        <v>157</v>
      </c>
      <c r="X46" s="1">
        <v>0</v>
      </c>
      <c r="Y46" s="8"/>
      <c r="Z46" s="8"/>
    </row>
    <row r="47" s="1" customFormat="1" hidden="1" customHeight="1" spans="1:26">
      <c r="A47" s="8"/>
      <c r="C47" s="1" t="s">
        <v>333</v>
      </c>
      <c r="D47" s="1" t="s">
        <v>334</v>
      </c>
      <c r="E47" s="1">
        <v>2</v>
      </c>
      <c r="F47" s="1" t="s">
        <v>335</v>
      </c>
      <c r="G47" s="1" t="s">
        <v>336</v>
      </c>
      <c r="H47" s="1" t="s">
        <v>337</v>
      </c>
      <c r="I47" s="1" t="s">
        <v>338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1">
        <v>0</v>
      </c>
      <c r="Q47" s="12">
        <v>0</v>
      </c>
      <c r="R47" s="12">
        <v>0</v>
      </c>
      <c r="S47" s="12">
        <v>0</v>
      </c>
      <c r="T47" s="1" t="s">
        <v>339</v>
      </c>
      <c r="U47" s="1" t="s">
        <v>339</v>
      </c>
      <c r="W47" s="1" t="s">
        <v>157</v>
      </c>
      <c r="X47" s="1">
        <v>0</v>
      </c>
      <c r="Y47" s="8"/>
      <c r="Z47" s="8"/>
    </row>
    <row r="48" s="1" customFormat="1" hidden="1" customHeight="1" spans="1:26">
      <c r="A48" s="8"/>
      <c r="C48" s="1" t="s">
        <v>340</v>
      </c>
      <c r="D48" s="1" t="s">
        <v>341</v>
      </c>
      <c r="E48" s="1">
        <v>2</v>
      </c>
      <c r="F48" s="1" t="s">
        <v>342</v>
      </c>
      <c r="G48" s="1" t="s">
        <v>343</v>
      </c>
      <c r="H48" s="1" t="s">
        <v>344</v>
      </c>
      <c r="I48" s="1" t="s">
        <v>345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1">
        <v>0</v>
      </c>
      <c r="Q48" s="12">
        <v>0</v>
      </c>
      <c r="R48" s="12">
        <v>0</v>
      </c>
      <c r="S48" s="12">
        <v>0</v>
      </c>
      <c r="T48" s="1" t="s">
        <v>346</v>
      </c>
      <c r="U48" s="1" t="s">
        <v>346</v>
      </c>
      <c r="W48" s="1" t="s">
        <v>157</v>
      </c>
      <c r="X48" s="1">
        <v>0</v>
      </c>
      <c r="Y48" s="8"/>
      <c r="Z48" s="8"/>
    </row>
    <row r="49" s="1" customFormat="1" hidden="1" customHeight="1" spans="1:26">
      <c r="A49" s="8"/>
      <c r="C49" s="1" t="s">
        <v>347</v>
      </c>
      <c r="D49" s="1" t="s">
        <v>348</v>
      </c>
      <c r="E49" s="1">
        <v>2</v>
      </c>
      <c r="F49" s="1" t="s">
        <v>349</v>
      </c>
      <c r="G49" s="1" t="s">
        <v>350</v>
      </c>
      <c r="H49" s="1" t="s">
        <v>351</v>
      </c>
      <c r="I49" s="1" t="s">
        <v>352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1">
        <v>0</v>
      </c>
      <c r="Q49" s="12">
        <v>0</v>
      </c>
      <c r="R49" s="12">
        <v>0</v>
      </c>
      <c r="S49" s="12">
        <v>0</v>
      </c>
      <c r="T49" s="1" t="s">
        <v>353</v>
      </c>
      <c r="U49" s="1" t="s">
        <v>353</v>
      </c>
      <c r="W49" s="1" t="s">
        <v>157</v>
      </c>
      <c r="X49" s="1">
        <v>0</v>
      </c>
      <c r="Y49" s="8"/>
      <c r="Z49" s="8"/>
    </row>
    <row r="50" s="1" customFormat="1" hidden="1" customHeight="1" spans="1:26">
      <c r="A50" s="8"/>
      <c r="C50" s="1" t="s">
        <v>354</v>
      </c>
      <c r="D50" s="1" t="s">
        <v>355</v>
      </c>
      <c r="E50" s="1">
        <v>2</v>
      </c>
      <c r="F50" s="1" t="s">
        <v>356</v>
      </c>
      <c r="G50" s="1" t="s">
        <v>357</v>
      </c>
      <c r="H50" s="1" t="s">
        <v>358</v>
      </c>
      <c r="I50" s="1" t="s">
        <v>359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1">
        <v>0</v>
      </c>
      <c r="Q50" s="12">
        <v>0</v>
      </c>
      <c r="R50" s="12">
        <v>0</v>
      </c>
      <c r="S50" s="12">
        <v>0</v>
      </c>
      <c r="T50" s="1" t="s">
        <v>360</v>
      </c>
      <c r="U50" s="1" t="s">
        <v>360</v>
      </c>
      <c r="W50" s="1" t="s">
        <v>157</v>
      </c>
      <c r="X50" s="1">
        <v>0</v>
      </c>
      <c r="Y50" s="8"/>
      <c r="Z50" s="8"/>
    </row>
    <row r="51" s="1" customFormat="1" hidden="1" customHeight="1" spans="1:26">
      <c r="A51" s="8"/>
      <c r="C51" s="1" t="s">
        <v>361</v>
      </c>
      <c r="D51" s="1" t="s">
        <v>362</v>
      </c>
      <c r="E51" s="1">
        <v>2</v>
      </c>
      <c r="F51" s="1" t="s">
        <v>363</v>
      </c>
      <c r="G51" s="1" t="s">
        <v>364</v>
      </c>
      <c r="H51" s="1" t="s">
        <v>365</v>
      </c>
      <c r="I51" s="1" t="s">
        <v>366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1">
        <v>0</v>
      </c>
      <c r="Q51" s="12">
        <v>0</v>
      </c>
      <c r="R51" s="12">
        <v>0</v>
      </c>
      <c r="S51" s="12">
        <v>0</v>
      </c>
      <c r="T51" s="1" t="s">
        <v>367</v>
      </c>
      <c r="U51" s="1" t="s">
        <v>367</v>
      </c>
      <c r="W51" s="1" t="s">
        <v>157</v>
      </c>
      <c r="X51" s="1">
        <v>0</v>
      </c>
      <c r="Y51" s="8"/>
      <c r="Z51" s="8"/>
    </row>
    <row r="52" s="1" customFormat="1" hidden="1" customHeight="1" spans="1:26">
      <c r="A52" s="8"/>
      <c r="C52" s="1" t="s">
        <v>368</v>
      </c>
      <c r="D52" s="1" t="s">
        <v>369</v>
      </c>
      <c r="E52" s="1">
        <v>2</v>
      </c>
      <c r="F52" s="1" t="s">
        <v>370</v>
      </c>
      <c r="G52" s="1" t="s">
        <v>371</v>
      </c>
      <c r="H52" s="1" t="s">
        <v>372</v>
      </c>
      <c r="I52" s="1" t="s">
        <v>373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1">
        <v>0</v>
      </c>
      <c r="Q52" s="12">
        <v>0</v>
      </c>
      <c r="R52" s="12">
        <v>0</v>
      </c>
      <c r="S52" s="12">
        <v>0</v>
      </c>
      <c r="T52" s="1" t="s">
        <v>374</v>
      </c>
      <c r="U52" s="1" t="s">
        <v>374</v>
      </c>
      <c r="W52" s="1" t="s">
        <v>157</v>
      </c>
      <c r="X52" s="1">
        <v>0</v>
      </c>
      <c r="Y52" s="8"/>
      <c r="Z52" s="8"/>
    </row>
    <row r="53" s="1" customFormat="1" hidden="1" customHeight="1" spans="1:26">
      <c r="A53" s="8"/>
      <c r="C53" s="1" t="s">
        <v>375</v>
      </c>
      <c r="D53" s="1" t="s">
        <v>376</v>
      </c>
      <c r="E53" s="1">
        <v>2</v>
      </c>
      <c r="F53" s="1" t="s">
        <v>377</v>
      </c>
      <c r="G53" s="1" t="s">
        <v>378</v>
      </c>
      <c r="H53" s="1" t="s">
        <v>379</v>
      </c>
      <c r="I53" s="1" t="s">
        <v>380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1">
        <v>0</v>
      </c>
      <c r="Q53" s="12">
        <v>0</v>
      </c>
      <c r="R53" s="12">
        <v>0</v>
      </c>
      <c r="S53" s="12">
        <v>0</v>
      </c>
      <c r="T53" s="1" t="s">
        <v>381</v>
      </c>
      <c r="U53" s="1" t="s">
        <v>381</v>
      </c>
      <c r="W53" s="1" t="s">
        <v>157</v>
      </c>
      <c r="X53" s="1">
        <v>0</v>
      </c>
      <c r="Y53" s="8"/>
      <c r="Z53" s="8"/>
    </row>
    <row r="54" s="1" customFormat="1" hidden="1" customHeight="1" spans="1:26">
      <c r="A54" s="8"/>
      <c r="C54" s="1" t="s">
        <v>382</v>
      </c>
      <c r="D54" s="1" t="s">
        <v>383</v>
      </c>
      <c r="E54" s="1">
        <v>2</v>
      </c>
      <c r="F54" s="1" t="s">
        <v>384</v>
      </c>
      <c r="G54" s="1" t="s">
        <v>385</v>
      </c>
      <c r="H54" s="1" t="s">
        <v>386</v>
      </c>
      <c r="I54" s="1" t="s">
        <v>387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1">
        <v>0</v>
      </c>
      <c r="Q54" s="12">
        <v>0</v>
      </c>
      <c r="R54" s="12">
        <v>0</v>
      </c>
      <c r="S54" s="12">
        <v>0</v>
      </c>
      <c r="T54" s="1" t="s">
        <v>388</v>
      </c>
      <c r="U54" s="1" t="s">
        <v>388</v>
      </c>
      <c r="W54" s="1" t="s">
        <v>157</v>
      </c>
      <c r="X54" s="1">
        <v>0</v>
      </c>
      <c r="Y54" s="8"/>
      <c r="Z54" s="8"/>
    </row>
    <row r="55" s="1" customFormat="1" hidden="1" customHeight="1" spans="1:26">
      <c r="A55" s="8"/>
      <c r="C55" s="1" t="s">
        <v>389</v>
      </c>
      <c r="D55" s="1" t="s">
        <v>390</v>
      </c>
      <c r="E55" s="1">
        <v>2</v>
      </c>
      <c r="F55" s="1" t="s">
        <v>391</v>
      </c>
      <c r="G55" s="1" t="s">
        <v>392</v>
      </c>
      <c r="H55" s="1" t="s">
        <v>393</v>
      </c>
      <c r="I55" s="1" t="s">
        <v>394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1">
        <v>0</v>
      </c>
      <c r="Q55" s="12">
        <v>0</v>
      </c>
      <c r="R55" s="12">
        <v>0</v>
      </c>
      <c r="S55" s="12">
        <v>0</v>
      </c>
      <c r="T55" s="1" t="s">
        <v>395</v>
      </c>
      <c r="U55" s="1" t="s">
        <v>395</v>
      </c>
      <c r="W55" s="1" t="s">
        <v>157</v>
      </c>
      <c r="X55" s="1">
        <v>0</v>
      </c>
      <c r="Y55" s="8"/>
      <c r="Z55" s="8"/>
    </row>
    <row r="56" s="1" customFormat="1" hidden="1" customHeight="1" spans="1:26">
      <c r="A56" s="8"/>
      <c r="C56" s="1" t="s">
        <v>396</v>
      </c>
      <c r="D56" s="1" t="s">
        <v>397</v>
      </c>
      <c r="E56" s="1">
        <v>2</v>
      </c>
      <c r="F56" s="1" t="s">
        <v>398</v>
      </c>
      <c r="G56" s="1" t="s">
        <v>399</v>
      </c>
      <c r="H56" s="1" t="s">
        <v>400</v>
      </c>
      <c r="I56" s="1" t="s">
        <v>401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1">
        <v>0</v>
      </c>
      <c r="Q56" s="12">
        <v>0</v>
      </c>
      <c r="R56" s="12">
        <v>0</v>
      </c>
      <c r="S56" s="12">
        <v>0</v>
      </c>
      <c r="T56" s="1" t="s">
        <v>402</v>
      </c>
      <c r="U56" s="1" t="s">
        <v>402</v>
      </c>
      <c r="W56" s="1" t="s">
        <v>157</v>
      </c>
      <c r="X56" s="1">
        <v>0</v>
      </c>
      <c r="Y56" s="8"/>
      <c r="Z56" s="8"/>
    </row>
    <row r="57" s="1" customFormat="1" hidden="1" customHeight="1" spans="1:26">
      <c r="A57" s="8"/>
      <c r="C57" s="1" t="s">
        <v>403</v>
      </c>
      <c r="D57" s="1" t="s">
        <v>404</v>
      </c>
      <c r="E57" s="1">
        <v>2</v>
      </c>
      <c r="F57" s="1" t="s">
        <v>405</v>
      </c>
      <c r="G57" s="1" t="s">
        <v>406</v>
      </c>
      <c r="H57" s="1" t="s">
        <v>407</v>
      </c>
      <c r="I57" s="1" t="s">
        <v>408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1">
        <v>0</v>
      </c>
      <c r="Q57" s="12">
        <v>0</v>
      </c>
      <c r="R57" s="12">
        <v>0</v>
      </c>
      <c r="S57" s="12">
        <v>0</v>
      </c>
      <c r="T57" s="1" t="s">
        <v>409</v>
      </c>
      <c r="U57" s="1" t="s">
        <v>409</v>
      </c>
      <c r="W57" s="1" t="s">
        <v>157</v>
      </c>
      <c r="X57" s="1">
        <v>0</v>
      </c>
      <c r="Y57" s="8"/>
      <c r="Z57" s="8"/>
    </row>
    <row r="58" s="1" customFormat="1" hidden="1" customHeight="1" spans="1:26">
      <c r="A58" s="8"/>
      <c r="C58" s="1" t="s">
        <v>410</v>
      </c>
      <c r="D58" s="1" t="s">
        <v>411</v>
      </c>
      <c r="E58" s="1">
        <v>2</v>
      </c>
      <c r="F58" s="1" t="s">
        <v>412</v>
      </c>
      <c r="G58" s="1" t="s">
        <v>413</v>
      </c>
      <c r="H58" s="1" t="s">
        <v>414</v>
      </c>
      <c r="I58" s="1" t="s">
        <v>415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1">
        <v>0</v>
      </c>
      <c r="Q58" s="12">
        <v>0</v>
      </c>
      <c r="R58" s="12">
        <v>0</v>
      </c>
      <c r="S58" s="12">
        <v>0</v>
      </c>
      <c r="T58" s="1" t="s">
        <v>416</v>
      </c>
      <c r="U58" s="1" t="s">
        <v>416</v>
      </c>
      <c r="W58" s="1" t="s">
        <v>157</v>
      </c>
      <c r="X58" s="1">
        <v>0</v>
      </c>
      <c r="Y58" s="8"/>
      <c r="Z58" s="8"/>
    </row>
    <row r="59" s="1" customFormat="1" hidden="1" customHeight="1" spans="1:26">
      <c r="A59" s="8"/>
      <c r="C59" s="1" t="s">
        <v>417</v>
      </c>
      <c r="D59" s="1" t="s">
        <v>418</v>
      </c>
      <c r="E59" s="1">
        <v>2</v>
      </c>
      <c r="F59" s="1" t="s">
        <v>419</v>
      </c>
      <c r="G59" s="1" t="s">
        <v>420</v>
      </c>
      <c r="H59" s="1" t="s">
        <v>421</v>
      </c>
      <c r="I59" s="1" t="s">
        <v>422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1">
        <v>0</v>
      </c>
      <c r="Q59" s="12">
        <v>0</v>
      </c>
      <c r="R59" s="12">
        <v>0</v>
      </c>
      <c r="S59" s="12">
        <v>0</v>
      </c>
      <c r="T59" s="1" t="s">
        <v>423</v>
      </c>
      <c r="U59" s="1" t="s">
        <v>423</v>
      </c>
      <c r="W59" s="1" t="s">
        <v>157</v>
      </c>
      <c r="X59" s="1">
        <v>0</v>
      </c>
      <c r="Y59" s="8"/>
      <c r="Z59" s="8"/>
    </row>
    <row r="60" s="1" customFormat="1" hidden="1" customHeight="1" spans="1:26">
      <c r="A60" s="8"/>
      <c r="C60" s="1" t="s">
        <v>424</v>
      </c>
      <c r="D60" s="1" t="s">
        <v>425</v>
      </c>
      <c r="E60" s="1">
        <v>2</v>
      </c>
      <c r="F60" s="1" t="s">
        <v>426</v>
      </c>
      <c r="G60" s="1" t="s">
        <v>427</v>
      </c>
      <c r="H60" s="1" t="s">
        <v>428</v>
      </c>
      <c r="I60" s="1" t="s">
        <v>429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1">
        <v>0</v>
      </c>
      <c r="Q60" s="12">
        <v>0</v>
      </c>
      <c r="R60" s="12">
        <v>0</v>
      </c>
      <c r="S60" s="12">
        <v>0</v>
      </c>
      <c r="T60" s="1" t="s">
        <v>430</v>
      </c>
      <c r="U60" s="1" t="s">
        <v>430</v>
      </c>
      <c r="W60" s="1" t="s">
        <v>157</v>
      </c>
      <c r="X60" s="1">
        <v>0</v>
      </c>
      <c r="Y60" s="8"/>
      <c r="Z60" s="8"/>
    </row>
    <row r="61" s="1" customFormat="1" hidden="1" customHeight="1" spans="1:26">
      <c r="A61" s="8"/>
      <c r="C61" s="1" t="s">
        <v>431</v>
      </c>
      <c r="D61" s="1" t="s">
        <v>432</v>
      </c>
      <c r="E61" s="1">
        <v>2</v>
      </c>
      <c r="F61" s="1" t="s">
        <v>433</v>
      </c>
      <c r="G61" s="1" t="s">
        <v>434</v>
      </c>
      <c r="H61" s="1" t="s">
        <v>435</v>
      </c>
      <c r="I61" s="1" t="s">
        <v>436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1">
        <v>0</v>
      </c>
      <c r="Q61" s="12">
        <v>0</v>
      </c>
      <c r="R61" s="12">
        <v>0</v>
      </c>
      <c r="S61" s="12">
        <v>0</v>
      </c>
      <c r="T61" s="1" t="s">
        <v>437</v>
      </c>
      <c r="U61" s="1" t="s">
        <v>437</v>
      </c>
      <c r="W61" s="1" t="s">
        <v>157</v>
      </c>
      <c r="X61" s="1">
        <v>0</v>
      </c>
      <c r="Y61" s="8"/>
      <c r="Z61" s="8"/>
    </row>
    <row r="62" s="1" customFormat="1" hidden="1" customHeight="1" spans="1:26">
      <c r="A62" s="8"/>
      <c r="C62" s="1" t="s">
        <v>438</v>
      </c>
      <c r="D62" s="1" t="s">
        <v>439</v>
      </c>
      <c r="E62" s="1">
        <v>2</v>
      </c>
      <c r="F62" s="1" t="s">
        <v>440</v>
      </c>
      <c r="G62" s="1" t="s">
        <v>441</v>
      </c>
      <c r="H62" s="1" t="s">
        <v>442</v>
      </c>
      <c r="I62" s="1" t="s">
        <v>443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1">
        <v>0</v>
      </c>
      <c r="Q62" s="12">
        <v>0</v>
      </c>
      <c r="R62" s="12">
        <v>0</v>
      </c>
      <c r="S62" s="12">
        <v>0</v>
      </c>
      <c r="T62" s="1" t="s">
        <v>444</v>
      </c>
      <c r="U62" s="1" t="s">
        <v>444</v>
      </c>
      <c r="W62" s="1" t="s">
        <v>157</v>
      </c>
      <c r="X62" s="1">
        <v>0</v>
      </c>
      <c r="Y62" s="8"/>
      <c r="Z62" s="8"/>
    </row>
    <row r="63" s="1" customFormat="1" hidden="1" customHeight="1" spans="1:26">
      <c r="A63" s="8"/>
      <c r="C63" s="1" t="s">
        <v>445</v>
      </c>
      <c r="D63" s="1" t="s">
        <v>446</v>
      </c>
      <c r="E63" s="1">
        <v>2</v>
      </c>
      <c r="F63" s="1" t="s">
        <v>447</v>
      </c>
      <c r="G63" s="1" t="s">
        <v>448</v>
      </c>
      <c r="H63" s="1" t="s">
        <v>449</v>
      </c>
      <c r="I63" s="1" t="s">
        <v>450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1">
        <v>0</v>
      </c>
      <c r="Q63" s="12">
        <v>0</v>
      </c>
      <c r="R63" s="12">
        <v>0</v>
      </c>
      <c r="S63" s="12">
        <v>0</v>
      </c>
      <c r="T63" s="1" t="s">
        <v>451</v>
      </c>
      <c r="U63" s="1" t="s">
        <v>451</v>
      </c>
      <c r="W63" s="1" t="s">
        <v>157</v>
      </c>
      <c r="X63" s="1">
        <v>0</v>
      </c>
      <c r="Y63" s="8"/>
      <c r="Z63" s="8"/>
    </row>
    <row r="64" s="1" customFormat="1" hidden="1" customHeight="1" spans="1:26">
      <c r="A64" s="8"/>
      <c r="C64" s="1" t="s">
        <v>452</v>
      </c>
      <c r="D64" s="1" t="s">
        <v>453</v>
      </c>
      <c r="E64" s="1">
        <v>2</v>
      </c>
      <c r="F64" s="1" t="s">
        <v>454</v>
      </c>
      <c r="G64" s="1" t="s">
        <v>455</v>
      </c>
      <c r="H64" s="1" t="s">
        <v>456</v>
      </c>
      <c r="I64" s="1" t="s">
        <v>457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1">
        <v>0</v>
      </c>
      <c r="Q64" s="12">
        <v>0</v>
      </c>
      <c r="R64" s="12">
        <v>0</v>
      </c>
      <c r="S64" s="12">
        <v>0</v>
      </c>
      <c r="T64" s="1" t="s">
        <v>458</v>
      </c>
      <c r="U64" s="1" t="s">
        <v>458</v>
      </c>
      <c r="W64" s="1" t="s">
        <v>157</v>
      </c>
      <c r="X64" s="1">
        <v>0</v>
      </c>
      <c r="Y64" s="8"/>
      <c r="Z64" s="8"/>
    </row>
    <row r="65" s="1" customFormat="1" hidden="1" customHeight="1" spans="1:26">
      <c r="A65" s="8"/>
      <c r="C65" s="1" t="s">
        <v>459</v>
      </c>
      <c r="D65" s="1" t="s">
        <v>460</v>
      </c>
      <c r="E65" s="1">
        <v>2</v>
      </c>
      <c r="F65" s="1" t="s">
        <v>461</v>
      </c>
      <c r="G65" s="1" t="s">
        <v>462</v>
      </c>
      <c r="H65" s="1" t="s">
        <v>463</v>
      </c>
      <c r="I65" s="25" t="s">
        <v>464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1">
        <v>0</v>
      </c>
      <c r="Q65" s="12">
        <v>0</v>
      </c>
      <c r="R65" s="12">
        <v>0</v>
      </c>
      <c r="S65" s="12">
        <v>0</v>
      </c>
      <c r="T65" s="1" t="s">
        <v>465</v>
      </c>
      <c r="U65" s="1" t="s">
        <v>465</v>
      </c>
      <c r="W65" s="1" t="s">
        <v>157</v>
      </c>
      <c r="X65" s="1">
        <v>0</v>
      </c>
      <c r="Y65" s="8"/>
      <c r="Z65" s="8"/>
    </row>
    <row r="66" s="1" customFormat="1" hidden="1" customHeight="1" spans="1:26">
      <c r="A66" s="8"/>
      <c r="C66" s="1" t="s">
        <v>466</v>
      </c>
      <c r="D66" s="1" t="s">
        <v>467</v>
      </c>
      <c r="E66" s="1">
        <v>2</v>
      </c>
      <c r="F66" s="1" t="s">
        <v>468</v>
      </c>
      <c r="G66" s="1" t="s">
        <v>469</v>
      </c>
      <c r="H66" s="1" t="s">
        <v>470</v>
      </c>
      <c r="I66" s="25" t="s">
        <v>471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1">
        <v>0</v>
      </c>
      <c r="Q66" s="12">
        <v>0</v>
      </c>
      <c r="R66" s="12">
        <v>0</v>
      </c>
      <c r="S66" s="12">
        <v>0</v>
      </c>
      <c r="T66" s="1" t="s">
        <v>472</v>
      </c>
      <c r="U66" s="1" t="s">
        <v>472</v>
      </c>
      <c r="W66" s="1" t="s">
        <v>157</v>
      </c>
      <c r="X66" s="1">
        <v>0</v>
      </c>
      <c r="Y66" s="8"/>
      <c r="Z66" s="8"/>
    </row>
    <row r="67" s="1" customFormat="1" hidden="1" customHeight="1" spans="1:26">
      <c r="A67" s="8"/>
      <c r="C67" s="1" t="s">
        <v>473</v>
      </c>
      <c r="D67" s="1" t="s">
        <v>474</v>
      </c>
      <c r="E67" s="1">
        <v>2</v>
      </c>
      <c r="F67" s="1" t="s">
        <v>475</v>
      </c>
      <c r="G67" s="1" t="s">
        <v>476</v>
      </c>
      <c r="H67" s="1" t="s">
        <v>477</v>
      </c>
      <c r="I67" s="25" t="s">
        <v>478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1">
        <v>0</v>
      </c>
      <c r="Q67" s="12">
        <v>0</v>
      </c>
      <c r="R67" s="12">
        <v>0</v>
      </c>
      <c r="S67" s="12">
        <v>0</v>
      </c>
      <c r="T67" s="1" t="s">
        <v>479</v>
      </c>
      <c r="U67" s="1" t="s">
        <v>479</v>
      </c>
      <c r="W67" s="1" t="s">
        <v>157</v>
      </c>
      <c r="X67" s="1">
        <v>0</v>
      </c>
      <c r="Y67" s="8"/>
      <c r="Z67" s="8"/>
    </row>
    <row r="68" s="1" customFormat="1" hidden="1" customHeight="1" spans="1:26">
      <c r="A68" s="8"/>
      <c r="C68" s="1" t="s">
        <v>480</v>
      </c>
      <c r="D68" s="1" t="s">
        <v>481</v>
      </c>
      <c r="E68" s="1">
        <v>2</v>
      </c>
      <c r="F68" s="1" t="s">
        <v>482</v>
      </c>
      <c r="G68" s="1" t="s">
        <v>483</v>
      </c>
      <c r="H68" s="1" t="s">
        <v>484</v>
      </c>
      <c r="I68" s="25" t="s">
        <v>485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1">
        <v>0</v>
      </c>
      <c r="Q68" s="12">
        <v>0</v>
      </c>
      <c r="R68" s="12">
        <v>0</v>
      </c>
      <c r="S68" s="12">
        <v>0</v>
      </c>
      <c r="T68" s="1" t="s">
        <v>486</v>
      </c>
      <c r="U68" s="1" t="s">
        <v>486</v>
      </c>
      <c r="W68" s="1" t="s">
        <v>157</v>
      </c>
      <c r="X68" s="1">
        <v>0</v>
      </c>
      <c r="Y68" s="8"/>
      <c r="Z68" s="8"/>
    </row>
    <row r="69" s="1" customFormat="1" hidden="1" customHeight="1" spans="1:26">
      <c r="A69" s="8"/>
      <c r="C69" s="1" t="s">
        <v>487</v>
      </c>
      <c r="D69" s="1" t="s">
        <v>488</v>
      </c>
      <c r="E69" s="1">
        <v>2</v>
      </c>
      <c r="F69" s="1" t="s">
        <v>489</v>
      </c>
      <c r="G69" s="1" t="s">
        <v>490</v>
      </c>
      <c r="H69" s="1" t="s">
        <v>491</v>
      </c>
      <c r="I69" s="25" t="s">
        <v>492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1">
        <v>0</v>
      </c>
      <c r="Q69" s="12">
        <v>0</v>
      </c>
      <c r="R69" s="12">
        <v>0</v>
      </c>
      <c r="S69" s="12">
        <v>0</v>
      </c>
      <c r="T69" s="1" t="s">
        <v>493</v>
      </c>
      <c r="U69" s="1" t="s">
        <v>493</v>
      </c>
      <c r="W69" s="1" t="s">
        <v>157</v>
      </c>
      <c r="X69" s="1">
        <v>0</v>
      </c>
      <c r="Y69" s="8"/>
      <c r="Z69" s="8"/>
    </row>
    <row r="70" s="1" customFormat="1" hidden="1" customHeight="1" spans="1:26">
      <c r="A70" s="8"/>
      <c r="C70" s="1" t="s">
        <v>494</v>
      </c>
      <c r="D70" s="1" t="s">
        <v>495</v>
      </c>
      <c r="E70" s="1">
        <v>2</v>
      </c>
      <c r="F70" s="1" t="s">
        <v>496</v>
      </c>
      <c r="G70" s="1" t="s">
        <v>497</v>
      </c>
      <c r="H70" s="1" t="s">
        <v>498</v>
      </c>
      <c r="I70" s="25" t="s">
        <v>499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1">
        <v>0</v>
      </c>
      <c r="Q70" s="12">
        <v>0</v>
      </c>
      <c r="R70" s="12">
        <v>0</v>
      </c>
      <c r="S70" s="12">
        <v>0</v>
      </c>
      <c r="T70" s="1" t="s">
        <v>500</v>
      </c>
      <c r="U70" s="1" t="s">
        <v>500</v>
      </c>
      <c r="W70" s="1" t="s">
        <v>157</v>
      </c>
      <c r="X70" s="1">
        <v>0</v>
      </c>
      <c r="Y70" s="8"/>
      <c r="Z70" s="8"/>
    </row>
    <row r="71" s="1" customFormat="1" hidden="1" customHeight="1" spans="1:26">
      <c r="A71" s="8"/>
      <c r="C71" s="1" t="s">
        <v>501</v>
      </c>
      <c r="D71" s="1" t="s">
        <v>502</v>
      </c>
      <c r="E71" s="1">
        <v>2</v>
      </c>
      <c r="F71" s="1" t="s">
        <v>503</v>
      </c>
      <c r="G71" s="26" t="s">
        <v>504</v>
      </c>
      <c r="H71" s="25" t="s">
        <v>505</v>
      </c>
      <c r="I71" s="26" t="s">
        <v>506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1">
        <v>0</v>
      </c>
      <c r="Q71" s="12">
        <v>0</v>
      </c>
      <c r="R71" s="12">
        <v>0</v>
      </c>
      <c r="S71" s="12">
        <v>0</v>
      </c>
      <c r="T71" s="1" t="s">
        <v>507</v>
      </c>
      <c r="U71" s="1" t="s">
        <v>507</v>
      </c>
      <c r="W71" s="1" t="s">
        <v>157</v>
      </c>
      <c r="X71" s="1">
        <v>0</v>
      </c>
      <c r="Y71" s="8"/>
      <c r="Z71" s="8"/>
    </row>
    <row r="72" s="1" customFormat="1" hidden="1" customHeight="1" spans="1:26">
      <c r="A72" s="8"/>
      <c r="C72" s="1" t="s">
        <v>508</v>
      </c>
      <c r="D72" s="1" t="s">
        <v>509</v>
      </c>
      <c r="E72" s="1">
        <v>2</v>
      </c>
      <c r="F72" s="1" t="s">
        <v>510</v>
      </c>
      <c r="G72" s="26" t="s">
        <v>511</v>
      </c>
      <c r="H72" s="25" t="s">
        <v>512</v>
      </c>
      <c r="I72" s="27" t="s">
        <v>513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1">
        <v>0</v>
      </c>
      <c r="Q72" s="12">
        <v>0</v>
      </c>
      <c r="R72" s="12">
        <v>0</v>
      </c>
      <c r="S72" s="12">
        <v>0</v>
      </c>
      <c r="T72" s="1" t="s">
        <v>514</v>
      </c>
      <c r="U72" s="1" t="s">
        <v>514</v>
      </c>
      <c r="W72" s="1" t="s">
        <v>157</v>
      </c>
      <c r="X72" s="1">
        <v>0</v>
      </c>
      <c r="Y72" s="8"/>
      <c r="Z72" s="8"/>
    </row>
    <row r="73" s="1" customFormat="1" hidden="1" customHeight="1" spans="1:26">
      <c r="A73" s="8"/>
      <c r="C73" s="1" t="s">
        <v>515</v>
      </c>
      <c r="D73" s="1" t="s">
        <v>516</v>
      </c>
      <c r="E73" s="1">
        <v>2</v>
      </c>
      <c r="F73" s="1" t="s">
        <v>517</v>
      </c>
      <c r="G73" s="26" t="s">
        <v>518</v>
      </c>
      <c r="H73" s="25" t="s">
        <v>519</v>
      </c>
      <c r="I73" s="27" t="s">
        <v>520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1">
        <v>0</v>
      </c>
      <c r="Q73" s="12">
        <v>0</v>
      </c>
      <c r="R73" s="12">
        <v>0</v>
      </c>
      <c r="S73" s="12">
        <v>0</v>
      </c>
      <c r="T73" s="1" t="s">
        <v>521</v>
      </c>
      <c r="U73" s="1" t="s">
        <v>521</v>
      </c>
      <c r="W73" s="1" t="s">
        <v>157</v>
      </c>
      <c r="X73" s="1">
        <v>0</v>
      </c>
      <c r="Y73" s="8"/>
      <c r="Z73" s="8"/>
    </row>
    <row r="74" s="1" customFormat="1" hidden="1" customHeight="1" spans="1:26">
      <c r="A74" s="8"/>
      <c r="C74" s="1" t="s">
        <v>522</v>
      </c>
      <c r="D74" s="1" t="s">
        <v>523</v>
      </c>
      <c r="E74" s="1">
        <v>2</v>
      </c>
      <c r="F74" s="1" t="s">
        <v>524</v>
      </c>
      <c r="G74" s="26" t="s">
        <v>525</v>
      </c>
      <c r="H74" s="25" t="s">
        <v>526</v>
      </c>
      <c r="I74" s="27" t="s">
        <v>527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1">
        <v>0</v>
      </c>
      <c r="Q74" s="12">
        <v>0</v>
      </c>
      <c r="R74" s="12">
        <v>0</v>
      </c>
      <c r="S74" s="12">
        <v>0</v>
      </c>
      <c r="T74" s="1" t="s">
        <v>528</v>
      </c>
      <c r="U74" s="1" t="s">
        <v>528</v>
      </c>
      <c r="W74" s="1" t="s">
        <v>157</v>
      </c>
      <c r="X74" s="1">
        <v>0</v>
      </c>
      <c r="Y74" s="8"/>
      <c r="Z74" s="8"/>
    </row>
    <row r="75" s="1" customFormat="1" hidden="1" customHeight="1" spans="1:26">
      <c r="A75" s="8"/>
      <c r="C75" s="1" t="s">
        <v>529</v>
      </c>
      <c r="D75" s="1" t="s">
        <v>530</v>
      </c>
      <c r="E75" s="1">
        <v>2</v>
      </c>
      <c r="F75" s="1" t="s">
        <v>531</v>
      </c>
      <c r="G75" s="26" t="s">
        <v>532</v>
      </c>
      <c r="H75" s="25" t="s">
        <v>533</v>
      </c>
      <c r="I75" s="27" t="s">
        <v>534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1">
        <v>0</v>
      </c>
      <c r="Q75" s="12">
        <v>0</v>
      </c>
      <c r="R75" s="12">
        <v>0</v>
      </c>
      <c r="S75" s="12">
        <v>0</v>
      </c>
      <c r="T75" s="1" t="s">
        <v>535</v>
      </c>
      <c r="U75" s="25" t="s">
        <v>535</v>
      </c>
      <c r="W75" s="1" t="s">
        <v>157</v>
      </c>
      <c r="X75" s="1">
        <v>0</v>
      </c>
      <c r="Y75" s="8"/>
      <c r="Z75" s="8"/>
    </row>
    <row r="76" s="1" customFormat="1" hidden="1" customHeight="1" spans="1:24">
      <c r="A76" s="8"/>
      <c r="B76" s="8"/>
      <c r="C76" s="1" t="s">
        <v>536</v>
      </c>
      <c r="D76" s="1" t="s">
        <v>537</v>
      </c>
      <c r="E76" s="1">
        <v>3</v>
      </c>
      <c r="F76" s="1" t="s">
        <v>538</v>
      </c>
      <c r="G76" s="26" t="s">
        <v>539</v>
      </c>
      <c r="H76" s="25" t="s">
        <v>540</v>
      </c>
      <c r="I76" s="27" t="s">
        <v>541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1">
        <v>0</v>
      </c>
      <c r="Q76" s="12">
        <v>0</v>
      </c>
      <c r="R76" s="12">
        <v>0</v>
      </c>
      <c r="S76" s="12">
        <v>0</v>
      </c>
      <c r="T76" s="1">
        <v>22938500000</v>
      </c>
      <c r="U76" s="1">
        <v>22938500000</v>
      </c>
      <c r="W76" s="1" t="s">
        <v>157</v>
      </c>
      <c r="X76" s="1">
        <v>0</v>
      </c>
    </row>
    <row r="77" s="1" customFormat="1" hidden="1" customHeight="1" spans="1:24">
      <c r="A77" s="8"/>
      <c r="B77" s="8"/>
      <c r="C77" s="1" t="s">
        <v>542</v>
      </c>
      <c r="D77" s="1" t="s">
        <v>543</v>
      </c>
      <c r="E77" s="1">
        <v>3</v>
      </c>
      <c r="F77" s="1" t="s">
        <v>544</v>
      </c>
      <c r="G77" s="26" t="s">
        <v>545</v>
      </c>
      <c r="H77" s="25" t="s">
        <v>546</v>
      </c>
      <c r="I77" s="27" t="s">
        <v>547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1">
        <v>0</v>
      </c>
      <c r="Q77" s="12">
        <v>0</v>
      </c>
      <c r="R77" s="12">
        <v>0</v>
      </c>
      <c r="S77" s="12">
        <v>0</v>
      </c>
      <c r="T77" s="1">
        <v>23938500000</v>
      </c>
      <c r="U77" s="1">
        <v>23938500000</v>
      </c>
      <c r="W77" s="1" t="s">
        <v>157</v>
      </c>
      <c r="X77" s="1">
        <v>0</v>
      </c>
    </row>
    <row r="78" s="1" customFormat="1" hidden="1" customHeight="1" spans="1:24">
      <c r="A78" s="8"/>
      <c r="B78" s="8"/>
      <c r="C78" s="1" t="s">
        <v>548</v>
      </c>
      <c r="D78" s="1" t="s">
        <v>549</v>
      </c>
      <c r="E78" s="1">
        <v>3</v>
      </c>
      <c r="F78" s="1" t="s">
        <v>550</v>
      </c>
      <c r="G78" s="26" t="s">
        <v>551</v>
      </c>
      <c r="H78" s="25" t="s">
        <v>552</v>
      </c>
      <c r="I78" s="27" t="s">
        <v>553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1">
        <v>0</v>
      </c>
      <c r="Q78" s="12">
        <v>0</v>
      </c>
      <c r="R78" s="12">
        <v>0</v>
      </c>
      <c r="S78" s="12">
        <v>0</v>
      </c>
      <c r="T78" s="1">
        <v>24938500000</v>
      </c>
      <c r="U78" s="1">
        <v>24938500000</v>
      </c>
      <c r="W78" s="1" t="s">
        <v>157</v>
      </c>
      <c r="X78" s="1">
        <v>0</v>
      </c>
    </row>
    <row r="79" s="1" customFormat="1" hidden="1" customHeight="1" spans="1:24">
      <c r="A79" s="8"/>
      <c r="B79" s="8"/>
      <c r="C79" s="1" t="s">
        <v>554</v>
      </c>
      <c r="D79" s="1" t="s">
        <v>555</v>
      </c>
      <c r="E79" s="1">
        <v>3</v>
      </c>
      <c r="F79" s="1" t="s">
        <v>556</v>
      </c>
      <c r="G79" s="26" t="s">
        <v>557</v>
      </c>
      <c r="H79" s="25" t="s">
        <v>558</v>
      </c>
      <c r="I79" s="27" t="s">
        <v>559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1">
        <v>0</v>
      </c>
      <c r="Q79" s="12">
        <v>0</v>
      </c>
      <c r="R79" s="12">
        <v>0</v>
      </c>
      <c r="S79" s="12">
        <v>0</v>
      </c>
      <c r="T79" s="1">
        <v>25938500000</v>
      </c>
      <c r="U79" s="1">
        <v>25938500000</v>
      </c>
      <c r="W79" s="1" t="s">
        <v>157</v>
      </c>
      <c r="X79" s="1">
        <v>0</v>
      </c>
    </row>
    <row r="80" s="1" customFormat="1" hidden="1" customHeight="1" spans="1:24">
      <c r="A80" s="8"/>
      <c r="B80" s="8"/>
      <c r="C80" s="1" t="s">
        <v>560</v>
      </c>
      <c r="D80" s="1" t="s">
        <v>561</v>
      </c>
      <c r="E80" s="1">
        <v>3</v>
      </c>
      <c r="F80" s="1" t="s">
        <v>562</v>
      </c>
      <c r="G80" s="26" t="s">
        <v>563</v>
      </c>
      <c r="H80" s="25" t="s">
        <v>564</v>
      </c>
      <c r="I80" s="27" t="s">
        <v>565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1">
        <v>0</v>
      </c>
      <c r="Q80" s="12">
        <v>0</v>
      </c>
      <c r="R80" s="12">
        <v>0</v>
      </c>
      <c r="S80" s="12">
        <v>0</v>
      </c>
      <c r="T80" s="1">
        <v>26938500000</v>
      </c>
      <c r="U80" s="1">
        <v>26938500000</v>
      </c>
      <c r="W80" s="1" t="s">
        <v>157</v>
      </c>
      <c r="X80" s="1">
        <v>0</v>
      </c>
    </row>
    <row r="81" s="1" customFormat="1" hidden="1" customHeight="1" spans="1:26">
      <c r="A81" s="8"/>
      <c r="B81" s="8"/>
      <c r="C81" s="1" t="s">
        <v>566</v>
      </c>
      <c r="D81" s="1" t="s">
        <v>567</v>
      </c>
      <c r="E81" s="1">
        <v>3</v>
      </c>
      <c r="F81" s="1" t="s">
        <v>568</v>
      </c>
      <c r="G81" s="26" t="s">
        <v>569</v>
      </c>
      <c r="H81" s="25" t="s">
        <v>570</v>
      </c>
      <c r="I81" s="27" t="s">
        <v>571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1">
        <v>0</v>
      </c>
      <c r="Q81" s="12">
        <v>0</v>
      </c>
      <c r="R81" s="12">
        <v>0</v>
      </c>
      <c r="S81" s="12">
        <v>0</v>
      </c>
      <c r="T81" s="1">
        <v>30000000000</v>
      </c>
      <c r="U81" s="1">
        <v>30000000000</v>
      </c>
      <c r="W81" s="1" t="s">
        <v>157</v>
      </c>
      <c r="X81" s="1">
        <v>0</v>
      </c>
      <c r="Y81" s="8"/>
      <c r="Z81" s="8"/>
    </row>
    <row r="82" s="1" customFormat="1" hidden="1" customHeight="1" spans="1:26">
      <c r="A82" s="8"/>
      <c r="B82" s="8"/>
      <c r="C82" s="1" t="s">
        <v>572</v>
      </c>
      <c r="D82" s="1" t="s">
        <v>573</v>
      </c>
      <c r="E82" s="1">
        <v>3</v>
      </c>
      <c r="F82" s="1" t="s">
        <v>574</v>
      </c>
      <c r="G82" s="26" t="s">
        <v>575</v>
      </c>
      <c r="H82" s="25" t="s">
        <v>576</v>
      </c>
      <c r="I82" s="27" t="s">
        <v>577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1">
        <v>0</v>
      </c>
      <c r="Q82" s="12">
        <v>0</v>
      </c>
      <c r="R82" s="12">
        <v>0</v>
      </c>
      <c r="S82" s="12">
        <v>0</v>
      </c>
      <c r="T82" s="1">
        <v>32000000000</v>
      </c>
      <c r="U82" s="1">
        <v>32000000000</v>
      </c>
      <c r="W82" s="1" t="s">
        <v>157</v>
      </c>
      <c r="X82" s="1">
        <v>0</v>
      </c>
      <c r="Y82" s="8"/>
      <c r="Z82" s="8"/>
    </row>
    <row r="83" s="1" customFormat="1" hidden="1" customHeight="1" spans="1:26">
      <c r="A83" s="8"/>
      <c r="B83" s="8"/>
      <c r="C83" s="1" t="s">
        <v>578</v>
      </c>
      <c r="D83" s="1" t="s">
        <v>579</v>
      </c>
      <c r="E83" s="1">
        <v>3</v>
      </c>
      <c r="F83" s="1" t="s">
        <v>580</v>
      </c>
      <c r="G83" s="26" t="s">
        <v>581</v>
      </c>
      <c r="H83" s="25" t="s">
        <v>532</v>
      </c>
      <c r="I83" s="27" t="s">
        <v>582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1">
        <v>0</v>
      </c>
      <c r="Q83" s="12">
        <v>0</v>
      </c>
      <c r="R83" s="12">
        <v>0</v>
      </c>
      <c r="S83" s="12">
        <v>0</v>
      </c>
      <c r="T83" s="1">
        <v>34000000000</v>
      </c>
      <c r="U83" s="1">
        <v>34000000000</v>
      </c>
      <c r="W83" s="1" t="s">
        <v>157</v>
      </c>
      <c r="X83" s="1">
        <v>0</v>
      </c>
      <c r="Y83" s="8"/>
      <c r="Z83" s="8"/>
    </row>
    <row r="84" s="1" customFormat="1" hidden="1" customHeight="1" spans="1:26">
      <c r="A84" s="8"/>
      <c r="B84" s="8"/>
      <c r="C84" s="1" t="s">
        <v>583</v>
      </c>
      <c r="D84" s="1" t="s">
        <v>584</v>
      </c>
      <c r="E84" s="1">
        <v>3</v>
      </c>
      <c r="F84" s="1" t="s">
        <v>585</v>
      </c>
      <c r="G84" s="26" t="s">
        <v>586</v>
      </c>
      <c r="H84" s="25" t="s">
        <v>587</v>
      </c>
      <c r="I84" s="27" t="s">
        <v>588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1">
        <v>0</v>
      </c>
      <c r="Q84" s="12">
        <v>0</v>
      </c>
      <c r="R84" s="12">
        <v>0</v>
      </c>
      <c r="S84" s="12">
        <v>0</v>
      </c>
      <c r="T84" s="1">
        <v>37000000000</v>
      </c>
      <c r="U84" s="1">
        <v>37000000000</v>
      </c>
      <c r="W84" s="1" t="s">
        <v>157</v>
      </c>
      <c r="X84" s="1">
        <v>0</v>
      </c>
      <c r="Y84" s="8"/>
      <c r="Z84" s="8"/>
    </row>
    <row r="85" s="1" customFormat="1" hidden="1" customHeight="1" spans="1:26">
      <c r="A85" s="8"/>
      <c r="B85" s="8"/>
      <c r="C85" s="1" t="s">
        <v>589</v>
      </c>
      <c r="D85" s="1" t="s">
        <v>590</v>
      </c>
      <c r="E85" s="1">
        <v>3</v>
      </c>
      <c r="F85" s="1" t="s">
        <v>591</v>
      </c>
      <c r="G85" s="26" t="s">
        <v>464</v>
      </c>
      <c r="H85" s="25" t="s">
        <v>592</v>
      </c>
      <c r="I85" s="27" t="s">
        <v>593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1">
        <v>0</v>
      </c>
      <c r="Q85" s="12">
        <v>0</v>
      </c>
      <c r="R85" s="12">
        <v>0</v>
      </c>
      <c r="S85" s="12">
        <v>0</v>
      </c>
      <c r="T85" s="1">
        <v>40000000000</v>
      </c>
      <c r="U85" s="1">
        <v>40000000000</v>
      </c>
      <c r="W85" s="1" t="s">
        <v>157</v>
      </c>
      <c r="X85" s="1">
        <v>0</v>
      </c>
      <c r="Y85" s="8"/>
      <c r="Z85" s="8"/>
    </row>
    <row r="86" s="1" customFormat="1" hidden="1" customHeight="1" spans="1:26">
      <c r="A86" s="8"/>
      <c r="B86" s="8"/>
      <c r="C86" s="1" t="s">
        <v>594</v>
      </c>
      <c r="D86" s="1" t="s">
        <v>595</v>
      </c>
      <c r="E86" s="1">
        <v>3</v>
      </c>
      <c r="F86" s="1" t="s">
        <v>596</v>
      </c>
      <c r="G86" s="26" t="s">
        <v>597</v>
      </c>
      <c r="H86" s="25" t="s">
        <v>598</v>
      </c>
      <c r="I86" s="27" t="s">
        <v>599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1">
        <v>0</v>
      </c>
      <c r="Q86" s="12">
        <v>0</v>
      </c>
      <c r="R86" s="12">
        <v>0</v>
      </c>
      <c r="S86" s="12">
        <v>0</v>
      </c>
      <c r="T86" s="1">
        <v>50000000000</v>
      </c>
      <c r="U86" s="1">
        <v>50000000000</v>
      </c>
      <c r="W86" s="1" t="s">
        <v>157</v>
      </c>
      <c r="X86" s="1">
        <v>0</v>
      </c>
      <c r="Y86" s="8"/>
      <c r="Z86" s="8"/>
    </row>
    <row r="87" s="1" customFormat="1" hidden="1" customHeight="1" spans="1:26">
      <c r="A87" s="8"/>
      <c r="B87" s="8"/>
      <c r="C87" s="1" t="s">
        <v>600</v>
      </c>
      <c r="D87" s="1" t="s">
        <v>601</v>
      </c>
      <c r="E87" s="1">
        <v>3</v>
      </c>
      <c r="F87" s="1" t="s">
        <v>602</v>
      </c>
      <c r="G87" s="26" t="s">
        <v>603</v>
      </c>
      <c r="H87" s="25" t="s">
        <v>604</v>
      </c>
      <c r="I87" s="27" t="s">
        <v>605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1">
        <v>0</v>
      </c>
      <c r="Q87" s="12">
        <v>0</v>
      </c>
      <c r="R87" s="12">
        <v>0</v>
      </c>
      <c r="S87" s="12">
        <v>0</v>
      </c>
      <c r="T87" s="1">
        <v>60000000000</v>
      </c>
      <c r="U87" s="1">
        <v>60000000000</v>
      </c>
      <c r="W87" s="1" t="s">
        <v>157</v>
      </c>
      <c r="X87" s="1">
        <v>0</v>
      </c>
      <c r="Y87" s="8"/>
      <c r="Z87" s="8"/>
    </row>
    <row r="88" s="1" customFormat="1" hidden="1" customHeight="1" spans="1:26">
      <c r="A88" s="8"/>
      <c r="B88" s="8"/>
      <c r="C88" s="1" t="s">
        <v>606</v>
      </c>
      <c r="D88" s="1" t="s">
        <v>607</v>
      </c>
      <c r="E88" s="1">
        <v>3</v>
      </c>
      <c r="F88" s="1" t="s">
        <v>608</v>
      </c>
      <c r="G88" s="26" t="s">
        <v>609</v>
      </c>
      <c r="H88" s="25" t="s">
        <v>610</v>
      </c>
      <c r="I88" s="27" t="s">
        <v>611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1">
        <v>0</v>
      </c>
      <c r="Q88" s="12">
        <v>0</v>
      </c>
      <c r="R88" s="12">
        <v>0</v>
      </c>
      <c r="S88" s="12">
        <v>0</v>
      </c>
      <c r="T88" s="1">
        <v>70000000000</v>
      </c>
      <c r="U88" s="1">
        <v>70000000000</v>
      </c>
      <c r="W88" s="1" t="s">
        <v>157</v>
      </c>
      <c r="X88" s="1">
        <v>0</v>
      </c>
      <c r="Y88" s="8"/>
      <c r="Z88" s="8"/>
    </row>
    <row r="89" s="1" customFormat="1" hidden="1" customHeight="1" spans="1:26">
      <c r="A89" s="8"/>
      <c r="B89" s="8"/>
      <c r="C89" s="1" t="s">
        <v>612</v>
      </c>
      <c r="D89" s="1" t="s">
        <v>613</v>
      </c>
      <c r="E89" s="1">
        <v>3</v>
      </c>
      <c r="F89" s="1" t="s">
        <v>614</v>
      </c>
      <c r="G89" s="26" t="s">
        <v>615</v>
      </c>
      <c r="H89" s="25" t="s">
        <v>464</v>
      </c>
      <c r="I89" s="27" t="s">
        <v>616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1">
        <v>0</v>
      </c>
      <c r="Q89" s="12">
        <v>0</v>
      </c>
      <c r="R89" s="12">
        <v>0</v>
      </c>
      <c r="S89" s="12">
        <v>0</v>
      </c>
      <c r="T89" s="1">
        <v>80000000000</v>
      </c>
      <c r="U89" s="1">
        <v>80000000000</v>
      </c>
      <c r="W89" s="1" t="s">
        <v>157</v>
      </c>
      <c r="X89" s="1">
        <v>0</v>
      </c>
      <c r="Y89" s="8"/>
      <c r="Z89" s="8"/>
    </row>
    <row r="90" s="1" customFormat="1" hidden="1" customHeight="1" spans="1:26">
      <c r="A90" s="8"/>
      <c r="B90" s="8"/>
      <c r="C90" s="1" t="s">
        <v>617</v>
      </c>
      <c r="D90" s="1" t="s">
        <v>618</v>
      </c>
      <c r="E90" s="1">
        <v>3</v>
      </c>
      <c r="F90" s="1" t="s">
        <v>619</v>
      </c>
      <c r="G90" s="26" t="s">
        <v>620</v>
      </c>
      <c r="H90" s="25" t="s">
        <v>621</v>
      </c>
      <c r="I90" s="27" t="s">
        <v>622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1">
        <v>0</v>
      </c>
      <c r="Q90" s="12">
        <v>0</v>
      </c>
      <c r="R90" s="12">
        <v>0</v>
      </c>
      <c r="S90" s="12">
        <v>0</v>
      </c>
      <c r="T90" s="25" t="s">
        <v>623</v>
      </c>
      <c r="U90" s="25" t="s">
        <v>623</v>
      </c>
      <c r="W90" s="1" t="s">
        <v>157</v>
      </c>
      <c r="X90" s="1">
        <v>0</v>
      </c>
      <c r="Y90" s="8"/>
      <c r="Z90" s="8"/>
    </row>
    <row r="91" s="1" customFormat="1" hidden="1" customHeight="1" spans="1:26">
      <c r="A91" s="8"/>
      <c r="B91" s="8"/>
      <c r="C91" s="1" t="s">
        <v>624</v>
      </c>
      <c r="D91" s="1" t="s">
        <v>625</v>
      </c>
      <c r="E91" s="1">
        <v>3</v>
      </c>
      <c r="F91" s="1" t="s">
        <v>626</v>
      </c>
      <c r="G91" s="26" t="s">
        <v>513</v>
      </c>
      <c r="H91" s="25" t="s">
        <v>627</v>
      </c>
      <c r="I91" s="27" t="s">
        <v>628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1">
        <v>0</v>
      </c>
      <c r="Q91" s="12">
        <v>0</v>
      </c>
      <c r="R91" s="12">
        <v>0</v>
      </c>
      <c r="S91" s="12">
        <v>0</v>
      </c>
      <c r="T91" s="25" t="s">
        <v>629</v>
      </c>
      <c r="U91" s="25" t="s">
        <v>629</v>
      </c>
      <c r="W91" s="1" t="s">
        <v>157</v>
      </c>
      <c r="X91" s="1">
        <v>0</v>
      </c>
      <c r="Y91" s="8"/>
      <c r="Z91" s="8"/>
    </row>
    <row r="92" s="1" customFormat="1" hidden="1" customHeight="1" spans="1:26">
      <c r="A92" s="8"/>
      <c r="B92" s="8"/>
      <c r="C92" s="1" t="s">
        <v>630</v>
      </c>
      <c r="D92" s="1" t="s">
        <v>631</v>
      </c>
      <c r="E92" s="1">
        <v>3</v>
      </c>
      <c r="F92" s="1" t="s">
        <v>632</v>
      </c>
      <c r="G92" s="26" t="s">
        <v>633</v>
      </c>
      <c r="H92" s="25" t="s">
        <v>634</v>
      </c>
      <c r="I92" s="27" t="s">
        <v>635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1">
        <v>0</v>
      </c>
      <c r="Q92" s="12">
        <v>0</v>
      </c>
      <c r="R92" s="12">
        <v>0</v>
      </c>
      <c r="S92" s="12">
        <v>0</v>
      </c>
      <c r="T92" s="25" t="s">
        <v>636</v>
      </c>
      <c r="U92" s="25" t="s">
        <v>636</v>
      </c>
      <c r="W92" s="1" t="s">
        <v>157</v>
      </c>
      <c r="X92" s="1">
        <v>0</v>
      </c>
      <c r="Y92" s="8"/>
      <c r="Z92" s="8"/>
    </row>
    <row r="93" s="1" customFormat="1" hidden="1" customHeight="1" spans="1:26">
      <c r="A93" s="8"/>
      <c r="B93" s="8"/>
      <c r="C93" s="1" t="s">
        <v>637</v>
      </c>
      <c r="D93" s="1" t="s">
        <v>638</v>
      </c>
      <c r="E93" s="1">
        <v>3</v>
      </c>
      <c r="F93" s="1" t="s">
        <v>639</v>
      </c>
      <c r="G93" s="26" t="s">
        <v>640</v>
      </c>
      <c r="H93" s="25" t="s">
        <v>641</v>
      </c>
      <c r="I93" s="27" t="s">
        <v>642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1">
        <v>0</v>
      </c>
      <c r="Q93" s="12">
        <v>0</v>
      </c>
      <c r="R93" s="12">
        <v>0</v>
      </c>
      <c r="S93" s="12">
        <v>0</v>
      </c>
      <c r="T93" s="25" t="s">
        <v>643</v>
      </c>
      <c r="U93" s="25" t="s">
        <v>643</v>
      </c>
      <c r="W93" s="1" t="s">
        <v>157</v>
      </c>
      <c r="X93" s="1">
        <v>0</v>
      </c>
      <c r="Y93" s="8"/>
      <c r="Z93" s="8"/>
    </row>
    <row r="94" s="1" customFormat="1" hidden="1" customHeight="1" spans="1:26">
      <c r="A94" s="8"/>
      <c r="B94" s="8"/>
      <c r="C94" s="1" t="s">
        <v>644</v>
      </c>
      <c r="D94" s="1" t="s">
        <v>645</v>
      </c>
      <c r="E94" s="1">
        <v>3</v>
      </c>
      <c r="F94" s="1" t="s">
        <v>646</v>
      </c>
      <c r="G94" s="26" t="s">
        <v>647</v>
      </c>
      <c r="H94" s="25" t="s">
        <v>648</v>
      </c>
      <c r="I94" s="27" t="s">
        <v>649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1">
        <v>0</v>
      </c>
      <c r="Q94" s="12">
        <v>0</v>
      </c>
      <c r="R94" s="12">
        <v>0</v>
      </c>
      <c r="S94" s="12">
        <v>0</v>
      </c>
      <c r="T94" s="25" t="s">
        <v>650</v>
      </c>
      <c r="U94" s="25" t="s">
        <v>650</v>
      </c>
      <c r="W94" s="1" t="s">
        <v>157</v>
      </c>
      <c r="X94" s="1">
        <v>0</v>
      </c>
      <c r="Y94" s="8"/>
      <c r="Z94" s="8"/>
    </row>
    <row r="95" s="1" customFormat="1" hidden="1" customHeight="1" spans="1:26">
      <c r="A95" s="8"/>
      <c r="B95" s="8"/>
      <c r="C95" s="1" t="s">
        <v>651</v>
      </c>
      <c r="D95" s="1" t="s">
        <v>652</v>
      </c>
      <c r="E95" s="1">
        <v>3</v>
      </c>
      <c r="F95" s="1" t="s">
        <v>653</v>
      </c>
      <c r="G95" s="26" t="s">
        <v>654</v>
      </c>
      <c r="H95" s="25" t="s">
        <v>655</v>
      </c>
      <c r="I95" s="27" t="s">
        <v>656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1">
        <v>0</v>
      </c>
      <c r="Q95" s="12">
        <v>0</v>
      </c>
      <c r="R95" s="12">
        <v>0</v>
      </c>
      <c r="S95" s="12">
        <v>0</v>
      </c>
      <c r="T95" s="25" t="s">
        <v>657</v>
      </c>
      <c r="U95" s="25" t="s">
        <v>657</v>
      </c>
      <c r="W95" s="1" t="s">
        <v>157</v>
      </c>
      <c r="X95" s="1">
        <v>0</v>
      </c>
      <c r="Y95" s="8"/>
      <c r="Z95" s="8"/>
    </row>
    <row r="96" hidden="1" customHeight="1" spans="3:24">
      <c r="C96" s="1" t="s">
        <v>658</v>
      </c>
      <c r="D96" s="1" t="s">
        <v>659</v>
      </c>
      <c r="E96" s="1">
        <v>3</v>
      </c>
      <c r="F96" s="1" t="s">
        <v>660</v>
      </c>
      <c r="G96" s="26" t="s">
        <v>661</v>
      </c>
      <c r="H96" s="25" t="s">
        <v>662</v>
      </c>
      <c r="I96" s="27" t="s">
        <v>663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1">
        <v>0</v>
      </c>
      <c r="Q96" s="12">
        <v>0</v>
      </c>
      <c r="R96" s="12">
        <v>0</v>
      </c>
      <c r="S96" s="12">
        <v>0</v>
      </c>
      <c r="T96" s="25" t="s">
        <v>664</v>
      </c>
      <c r="U96" s="25" t="s">
        <v>664</v>
      </c>
      <c r="W96" s="1" t="s">
        <v>157</v>
      </c>
      <c r="X96" s="1">
        <v>0</v>
      </c>
    </row>
    <row r="97" hidden="1" customHeight="1" spans="3:24">
      <c r="C97" s="1" t="s">
        <v>665</v>
      </c>
      <c r="D97" s="1" t="s">
        <v>666</v>
      </c>
      <c r="E97" s="1">
        <v>3</v>
      </c>
      <c r="F97" s="1" t="s">
        <v>667</v>
      </c>
      <c r="G97" s="26" t="s">
        <v>668</v>
      </c>
      <c r="H97" s="25" t="s">
        <v>669</v>
      </c>
      <c r="I97" s="27" t="s">
        <v>670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1">
        <v>0</v>
      </c>
      <c r="Q97" s="12">
        <v>0</v>
      </c>
      <c r="R97" s="12">
        <v>0</v>
      </c>
      <c r="S97" s="12">
        <v>0</v>
      </c>
      <c r="T97" s="25" t="s">
        <v>671</v>
      </c>
      <c r="U97" s="25" t="s">
        <v>671</v>
      </c>
      <c r="W97" s="1" t="s">
        <v>157</v>
      </c>
      <c r="X97" s="1">
        <v>0</v>
      </c>
    </row>
    <row r="98" hidden="1" customHeight="1" spans="3:24">
      <c r="C98" s="1" t="s">
        <v>672</v>
      </c>
      <c r="D98" s="1" t="s">
        <v>673</v>
      </c>
      <c r="E98" s="1">
        <v>3</v>
      </c>
      <c r="F98" s="1" t="s">
        <v>674</v>
      </c>
      <c r="G98" s="26" t="s">
        <v>675</v>
      </c>
      <c r="H98" s="25" t="s">
        <v>676</v>
      </c>
      <c r="I98" s="27" t="s">
        <v>677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1">
        <v>0</v>
      </c>
      <c r="Q98" s="12">
        <v>0</v>
      </c>
      <c r="R98" s="12">
        <v>0</v>
      </c>
      <c r="S98" s="12">
        <v>0</v>
      </c>
      <c r="T98" s="25" t="s">
        <v>678</v>
      </c>
      <c r="U98" s="25" t="s">
        <v>678</v>
      </c>
      <c r="W98" s="1" t="s">
        <v>157</v>
      </c>
      <c r="X98" s="1">
        <v>0</v>
      </c>
    </row>
    <row r="99" hidden="1" customHeight="1" spans="3:24">
      <c r="C99" s="1" t="s">
        <v>679</v>
      </c>
      <c r="D99" s="1" t="s">
        <v>680</v>
      </c>
      <c r="E99" s="1">
        <v>3</v>
      </c>
      <c r="F99" s="1" t="s">
        <v>681</v>
      </c>
      <c r="G99" s="26" t="s">
        <v>682</v>
      </c>
      <c r="H99" s="25" t="s">
        <v>683</v>
      </c>
      <c r="I99" s="27" t="s">
        <v>684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1">
        <v>0</v>
      </c>
      <c r="Q99" s="8">
        <v>0</v>
      </c>
      <c r="R99" s="8">
        <v>0</v>
      </c>
      <c r="S99" s="12">
        <v>0</v>
      </c>
      <c r="T99" s="25" t="s">
        <v>685</v>
      </c>
      <c r="U99" s="25" t="s">
        <v>685</v>
      </c>
      <c r="W99" s="1" t="s">
        <v>157</v>
      </c>
      <c r="X99" s="1">
        <v>0</v>
      </c>
    </row>
    <row r="100" hidden="1" customHeight="1" spans="3:24">
      <c r="C100" s="1" t="s">
        <v>686</v>
      </c>
      <c r="D100" s="1" t="s">
        <v>687</v>
      </c>
      <c r="E100" s="1">
        <v>3</v>
      </c>
      <c r="F100" s="1" t="s">
        <v>461</v>
      </c>
      <c r="G100" s="26" t="s">
        <v>688</v>
      </c>
      <c r="H100" s="25" t="s">
        <v>689</v>
      </c>
      <c r="I100" s="27" t="s">
        <v>690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1">
        <v>0</v>
      </c>
      <c r="Q100" s="8">
        <v>0</v>
      </c>
      <c r="R100" s="8">
        <v>0</v>
      </c>
      <c r="S100" s="12">
        <v>0</v>
      </c>
      <c r="T100" s="25" t="s">
        <v>691</v>
      </c>
      <c r="U100" s="25" t="s">
        <v>691</v>
      </c>
      <c r="W100" s="1" t="s">
        <v>157</v>
      </c>
      <c r="X100" s="1">
        <v>0</v>
      </c>
    </row>
    <row r="101" s="1" customFormat="1" hidden="1" customHeight="1" spans="1:26">
      <c r="A101" s="8"/>
      <c r="B101" s="8"/>
      <c r="C101" s="1" t="s">
        <v>692</v>
      </c>
      <c r="D101" s="1" t="s">
        <v>693</v>
      </c>
      <c r="E101" s="1">
        <v>3</v>
      </c>
      <c r="F101" s="1" t="s">
        <v>694</v>
      </c>
      <c r="G101" s="26" t="s">
        <v>695</v>
      </c>
      <c r="H101" s="25" t="s">
        <v>696</v>
      </c>
      <c r="I101" s="27" t="s">
        <v>697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1">
        <v>0</v>
      </c>
      <c r="Q101" s="8">
        <v>0</v>
      </c>
      <c r="R101" s="8">
        <v>0</v>
      </c>
      <c r="S101" s="12">
        <v>0</v>
      </c>
      <c r="T101" s="25" t="s">
        <v>698</v>
      </c>
      <c r="U101" s="25" t="s">
        <v>698</v>
      </c>
      <c r="W101" s="1" t="s">
        <v>157</v>
      </c>
      <c r="X101" s="1">
        <v>0</v>
      </c>
      <c r="Y101" s="8"/>
      <c r="Z101" s="8"/>
    </row>
    <row r="102" s="1" customFormat="1" hidden="1" customHeight="1" spans="1:26">
      <c r="A102" s="8"/>
      <c r="B102" s="8"/>
      <c r="C102" s="1" t="s">
        <v>699</v>
      </c>
      <c r="D102" s="1" t="s">
        <v>700</v>
      </c>
      <c r="E102" s="1">
        <v>3</v>
      </c>
      <c r="F102" s="1" t="s">
        <v>701</v>
      </c>
      <c r="G102" s="26" t="s">
        <v>702</v>
      </c>
      <c r="H102" s="25" t="s">
        <v>611</v>
      </c>
      <c r="I102" s="27" t="s">
        <v>703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1">
        <v>0</v>
      </c>
      <c r="Q102" s="8">
        <v>0</v>
      </c>
      <c r="R102" s="8">
        <v>0</v>
      </c>
      <c r="S102" s="12">
        <v>0</v>
      </c>
      <c r="T102" s="25" t="s">
        <v>704</v>
      </c>
      <c r="U102" s="25" t="s">
        <v>704</v>
      </c>
      <c r="W102" s="1" t="s">
        <v>157</v>
      </c>
      <c r="X102" s="1">
        <v>0</v>
      </c>
      <c r="Y102" s="8"/>
      <c r="Z102" s="8"/>
    </row>
    <row r="103" s="1" customFormat="1" hidden="1" customHeight="1" spans="1:26">
      <c r="A103" s="8"/>
      <c r="B103" s="8"/>
      <c r="C103" s="1" t="s">
        <v>705</v>
      </c>
      <c r="D103" s="1" t="s">
        <v>706</v>
      </c>
      <c r="E103" s="1">
        <v>3</v>
      </c>
      <c r="F103" s="1" t="s">
        <v>707</v>
      </c>
      <c r="G103" s="26" t="s">
        <v>708</v>
      </c>
      <c r="H103" s="25" t="s">
        <v>616</v>
      </c>
      <c r="I103" s="27" t="s">
        <v>709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1">
        <v>0</v>
      </c>
      <c r="Q103" s="8">
        <v>0</v>
      </c>
      <c r="R103" s="8">
        <v>0</v>
      </c>
      <c r="S103" s="12">
        <v>0</v>
      </c>
      <c r="T103" s="25" t="s">
        <v>710</v>
      </c>
      <c r="U103" s="25" t="s">
        <v>710</v>
      </c>
      <c r="W103" s="1" t="s">
        <v>157</v>
      </c>
      <c r="X103" s="1">
        <v>0</v>
      </c>
      <c r="Y103" s="8"/>
      <c r="Z103" s="8"/>
    </row>
    <row r="104" s="1" customFormat="1" hidden="1" customHeight="1" spans="1:26">
      <c r="A104" s="8"/>
      <c r="B104" s="8"/>
      <c r="C104" s="1" t="s">
        <v>711</v>
      </c>
      <c r="D104" s="1" t="s">
        <v>712</v>
      </c>
      <c r="E104" s="1">
        <v>3</v>
      </c>
      <c r="F104" s="1" t="s">
        <v>713</v>
      </c>
      <c r="G104" s="26" t="s">
        <v>714</v>
      </c>
      <c r="H104" s="25" t="s">
        <v>715</v>
      </c>
      <c r="I104" s="27" t="s">
        <v>716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1">
        <v>0</v>
      </c>
      <c r="Q104" s="8">
        <v>0</v>
      </c>
      <c r="R104" s="8">
        <v>0</v>
      </c>
      <c r="S104" s="12">
        <v>0</v>
      </c>
      <c r="T104" s="25" t="s">
        <v>717</v>
      </c>
      <c r="U104" s="25" t="s">
        <v>717</v>
      </c>
      <c r="W104" s="1" t="s">
        <v>157</v>
      </c>
      <c r="X104" s="1">
        <v>0</v>
      </c>
      <c r="Y104" s="8"/>
      <c r="Z104" s="8"/>
    </row>
    <row r="105" s="1" customFormat="1" hidden="1" customHeight="1" spans="1:26">
      <c r="A105" s="8"/>
      <c r="B105" s="8"/>
      <c r="C105" s="1" t="s">
        <v>718</v>
      </c>
      <c r="D105" s="1" t="s">
        <v>719</v>
      </c>
      <c r="E105" s="1">
        <v>3</v>
      </c>
      <c r="F105" s="1" t="s">
        <v>720</v>
      </c>
      <c r="G105" s="26" t="s">
        <v>721</v>
      </c>
      <c r="H105" s="25" t="s">
        <v>722</v>
      </c>
      <c r="I105" s="27" t="s">
        <v>723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1">
        <v>0</v>
      </c>
      <c r="Q105" s="8">
        <v>0</v>
      </c>
      <c r="R105" s="8">
        <v>0</v>
      </c>
      <c r="S105" s="12">
        <v>0</v>
      </c>
      <c r="T105" s="25" t="s">
        <v>724</v>
      </c>
      <c r="U105" s="25" t="s">
        <v>724</v>
      </c>
      <c r="W105" s="1" t="s">
        <v>157</v>
      </c>
      <c r="X105" s="1">
        <v>0</v>
      </c>
      <c r="Y105" s="8"/>
      <c r="Z105" s="8"/>
    </row>
    <row r="106" s="1" customFormat="1" hidden="1" customHeight="1" spans="1:26">
      <c r="A106" s="8"/>
      <c r="B106" s="8"/>
      <c r="C106" s="1" t="s">
        <v>725</v>
      </c>
      <c r="D106" s="1" t="s">
        <v>726</v>
      </c>
      <c r="E106" s="1">
        <v>3</v>
      </c>
      <c r="F106" s="1" t="s">
        <v>727</v>
      </c>
      <c r="G106" s="26" t="s">
        <v>728</v>
      </c>
      <c r="H106" s="25" t="s">
        <v>729</v>
      </c>
      <c r="I106" s="27" t="s">
        <v>730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1">
        <v>0</v>
      </c>
      <c r="Q106" s="8">
        <v>0</v>
      </c>
      <c r="R106" s="8">
        <v>0</v>
      </c>
      <c r="S106" s="12">
        <v>0</v>
      </c>
      <c r="T106" s="25" t="s">
        <v>731</v>
      </c>
      <c r="U106" s="25" t="s">
        <v>731</v>
      </c>
      <c r="W106" s="1" t="s">
        <v>157</v>
      </c>
      <c r="X106" s="1">
        <v>0</v>
      </c>
      <c r="Y106" s="8"/>
      <c r="Z106" s="8"/>
    </row>
    <row r="107" s="1" customFormat="1" hidden="1" customHeight="1" spans="1:26">
      <c r="A107" s="8"/>
      <c r="B107" s="8"/>
      <c r="C107" s="1" t="s">
        <v>732</v>
      </c>
      <c r="D107" s="1" t="s">
        <v>733</v>
      </c>
      <c r="E107" s="1">
        <v>3</v>
      </c>
      <c r="F107" s="1" t="s">
        <v>734</v>
      </c>
      <c r="G107" s="26" t="s">
        <v>735</v>
      </c>
      <c r="H107" s="25" t="s">
        <v>736</v>
      </c>
      <c r="I107" s="27" t="s">
        <v>737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1">
        <v>0</v>
      </c>
      <c r="Q107" s="8">
        <v>0</v>
      </c>
      <c r="R107" s="8">
        <v>0</v>
      </c>
      <c r="S107" s="12">
        <v>0</v>
      </c>
      <c r="T107" s="25" t="s">
        <v>738</v>
      </c>
      <c r="U107" s="25" t="s">
        <v>738</v>
      </c>
      <c r="W107" s="1" t="s">
        <v>157</v>
      </c>
      <c r="X107" s="1">
        <v>0</v>
      </c>
      <c r="Y107" s="8"/>
      <c r="Z107" s="8"/>
    </row>
    <row r="108" s="1" customFormat="1" hidden="1" customHeight="1" spans="1:26">
      <c r="A108" s="8"/>
      <c r="B108" s="8"/>
      <c r="C108" s="1" t="s">
        <v>739</v>
      </c>
      <c r="D108" s="1" t="s">
        <v>740</v>
      </c>
      <c r="E108" s="1">
        <v>3</v>
      </c>
      <c r="F108" s="1" t="s">
        <v>741</v>
      </c>
      <c r="G108" s="26" t="s">
        <v>742</v>
      </c>
      <c r="H108" s="25" t="s">
        <v>743</v>
      </c>
      <c r="I108" s="27" t="s">
        <v>744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1">
        <v>0</v>
      </c>
      <c r="Q108" s="8">
        <v>0</v>
      </c>
      <c r="R108" s="8">
        <v>0</v>
      </c>
      <c r="S108" s="12">
        <v>0</v>
      </c>
      <c r="T108" s="25" t="s">
        <v>745</v>
      </c>
      <c r="U108" s="25" t="s">
        <v>745</v>
      </c>
      <c r="W108" s="1" t="s">
        <v>157</v>
      </c>
      <c r="X108" s="1">
        <v>0</v>
      </c>
      <c r="Y108" s="8"/>
      <c r="Z108" s="8"/>
    </row>
    <row r="109" s="1" customFormat="1" hidden="1" customHeight="1" spans="1:26">
      <c r="A109" s="8"/>
      <c r="B109" s="8"/>
      <c r="C109" s="1" t="s">
        <v>746</v>
      </c>
      <c r="D109" s="1" t="s">
        <v>747</v>
      </c>
      <c r="E109" s="1">
        <v>3</v>
      </c>
      <c r="F109" s="1" t="s">
        <v>748</v>
      </c>
      <c r="G109" s="26" t="s">
        <v>749</v>
      </c>
      <c r="H109" s="25" t="s">
        <v>750</v>
      </c>
      <c r="I109" s="27" t="s">
        <v>751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1">
        <v>0</v>
      </c>
      <c r="Q109" s="8">
        <v>0</v>
      </c>
      <c r="R109" s="8">
        <v>0</v>
      </c>
      <c r="S109" s="12">
        <v>0</v>
      </c>
      <c r="T109" s="25" t="s">
        <v>752</v>
      </c>
      <c r="U109" s="25" t="s">
        <v>752</v>
      </c>
      <c r="W109" s="1" t="s">
        <v>157</v>
      </c>
      <c r="X109" s="1">
        <v>0</v>
      </c>
      <c r="Y109" s="8"/>
      <c r="Z109" s="8"/>
    </row>
    <row r="110" s="1" customFormat="1" hidden="1" customHeight="1" spans="1:26">
      <c r="A110" s="8"/>
      <c r="B110" s="8"/>
      <c r="C110" s="1" t="s">
        <v>753</v>
      </c>
      <c r="D110" s="1" t="s">
        <v>754</v>
      </c>
      <c r="E110" s="1">
        <v>3</v>
      </c>
      <c r="F110" s="1" t="s">
        <v>755</v>
      </c>
      <c r="G110" s="26" t="s">
        <v>677</v>
      </c>
      <c r="H110" s="25" t="s">
        <v>756</v>
      </c>
      <c r="I110" s="27" t="s">
        <v>757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1">
        <v>0</v>
      </c>
      <c r="Q110" s="8">
        <v>0</v>
      </c>
      <c r="R110" s="8">
        <v>0</v>
      </c>
      <c r="S110" s="12">
        <v>0</v>
      </c>
      <c r="T110" s="25" t="s">
        <v>758</v>
      </c>
      <c r="U110" s="25" t="s">
        <v>758</v>
      </c>
      <c r="W110" s="1" t="s">
        <v>157</v>
      </c>
      <c r="X110" s="1">
        <v>0</v>
      </c>
      <c r="Y110" s="8"/>
      <c r="Z110" s="8"/>
    </row>
    <row r="111" s="2" customFormat="1" hidden="1" customHeight="1" spans="1:24">
      <c r="A111" s="8"/>
      <c r="B111" s="8"/>
      <c r="C111" s="2" t="s">
        <v>759</v>
      </c>
      <c r="D111" s="2" t="s">
        <v>760</v>
      </c>
      <c r="E111" s="2">
        <v>4</v>
      </c>
      <c r="F111" s="1" t="s">
        <v>761</v>
      </c>
      <c r="G111" s="28" t="s">
        <v>762</v>
      </c>
      <c r="H111" s="29" t="s">
        <v>762</v>
      </c>
      <c r="I111" s="30" t="s">
        <v>763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1">
        <v>0</v>
      </c>
      <c r="Q111" s="8">
        <v>35</v>
      </c>
      <c r="R111" s="12">
        <v>0</v>
      </c>
      <c r="S111" s="8">
        <v>90</v>
      </c>
      <c r="T111" s="29" t="s">
        <v>764</v>
      </c>
      <c r="U111" s="29" t="s">
        <v>764</v>
      </c>
      <c r="W111" s="2" t="s">
        <v>157</v>
      </c>
      <c r="X111" s="2">
        <v>0</v>
      </c>
    </row>
    <row r="112" s="1" customFormat="1" hidden="1" customHeight="1" spans="1:24">
      <c r="A112" s="8"/>
      <c r="B112" s="8"/>
      <c r="C112" s="1" t="s">
        <v>765</v>
      </c>
      <c r="D112" s="1" t="s">
        <v>766</v>
      </c>
      <c r="E112" s="1">
        <v>4</v>
      </c>
      <c r="F112" s="1" t="s">
        <v>767</v>
      </c>
      <c r="G112" s="26" t="s">
        <v>768</v>
      </c>
      <c r="H112" s="25" t="s">
        <v>768</v>
      </c>
      <c r="I112" s="27" t="s">
        <v>769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1">
        <v>0</v>
      </c>
      <c r="Q112" s="8">
        <f t="shared" ref="Q112:Q145" si="36">Q111+1</f>
        <v>36</v>
      </c>
      <c r="R112" s="12">
        <v>0</v>
      </c>
      <c r="S112" s="8">
        <v>90</v>
      </c>
      <c r="T112" s="25" t="s">
        <v>770</v>
      </c>
      <c r="U112" s="25" t="s">
        <v>770</v>
      </c>
      <c r="W112" s="1" t="s">
        <v>157</v>
      </c>
      <c r="X112" s="1">
        <v>0</v>
      </c>
    </row>
    <row r="113" s="1" customFormat="1" hidden="1" customHeight="1" spans="1:24">
      <c r="A113" s="8"/>
      <c r="B113" s="8"/>
      <c r="C113" s="1" t="s">
        <v>771</v>
      </c>
      <c r="D113" s="1" t="s">
        <v>772</v>
      </c>
      <c r="E113" s="1">
        <v>4</v>
      </c>
      <c r="F113" s="1" t="s">
        <v>773</v>
      </c>
      <c r="G113" s="26" t="s">
        <v>774</v>
      </c>
      <c r="H113" s="25" t="s">
        <v>774</v>
      </c>
      <c r="I113" s="27" t="s">
        <v>775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1">
        <v>0</v>
      </c>
      <c r="Q113" s="8">
        <f t="shared" si="36"/>
        <v>37</v>
      </c>
      <c r="R113" s="12">
        <v>0</v>
      </c>
      <c r="S113" s="8">
        <v>90</v>
      </c>
      <c r="T113" s="25" t="s">
        <v>776</v>
      </c>
      <c r="U113" s="25" t="s">
        <v>776</v>
      </c>
      <c r="W113" s="1" t="s">
        <v>157</v>
      </c>
      <c r="X113" s="1">
        <v>0</v>
      </c>
    </row>
    <row r="114" s="1" customFormat="1" hidden="1" customHeight="1" spans="1:24">
      <c r="A114" s="8"/>
      <c r="B114" s="8"/>
      <c r="C114" s="1" t="s">
        <v>777</v>
      </c>
      <c r="D114" s="1" t="s">
        <v>778</v>
      </c>
      <c r="E114" s="1">
        <v>4</v>
      </c>
      <c r="F114" s="1" t="s">
        <v>779</v>
      </c>
      <c r="G114" s="26" t="s">
        <v>780</v>
      </c>
      <c r="H114" s="25" t="s">
        <v>780</v>
      </c>
      <c r="I114" s="27" t="s">
        <v>781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1">
        <v>0</v>
      </c>
      <c r="Q114" s="8">
        <f t="shared" si="36"/>
        <v>38</v>
      </c>
      <c r="R114" s="12">
        <v>0</v>
      </c>
      <c r="S114" s="8">
        <v>90</v>
      </c>
      <c r="T114" s="25" t="s">
        <v>782</v>
      </c>
      <c r="U114" s="25" t="s">
        <v>782</v>
      </c>
      <c r="W114" s="1" t="s">
        <v>157</v>
      </c>
      <c r="X114" s="1">
        <v>0</v>
      </c>
    </row>
    <row r="115" s="1" customFormat="1" hidden="1" customHeight="1" spans="1:24">
      <c r="A115" s="8"/>
      <c r="B115" s="8"/>
      <c r="C115" s="1" t="s">
        <v>783</v>
      </c>
      <c r="D115" s="1" t="s">
        <v>784</v>
      </c>
      <c r="E115" s="1">
        <v>4</v>
      </c>
      <c r="F115" s="1" t="s">
        <v>785</v>
      </c>
      <c r="G115" s="26" t="s">
        <v>786</v>
      </c>
      <c r="H115" s="25" t="s">
        <v>786</v>
      </c>
      <c r="I115" s="27" t="s">
        <v>787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1">
        <v>0</v>
      </c>
      <c r="Q115" s="8">
        <f t="shared" si="36"/>
        <v>39</v>
      </c>
      <c r="R115" s="12">
        <v>0</v>
      </c>
      <c r="S115" s="8">
        <v>90</v>
      </c>
      <c r="T115" s="25" t="s">
        <v>788</v>
      </c>
      <c r="U115" s="25" t="s">
        <v>788</v>
      </c>
      <c r="W115" s="1" t="s">
        <v>157</v>
      </c>
      <c r="X115" s="1">
        <v>0</v>
      </c>
    </row>
    <row r="116" s="1" customFormat="1" hidden="1" customHeight="1" spans="1:26">
      <c r="A116" s="8"/>
      <c r="B116" s="8"/>
      <c r="C116" s="1" t="s">
        <v>789</v>
      </c>
      <c r="D116" s="1" t="s">
        <v>790</v>
      </c>
      <c r="E116" s="1">
        <v>4</v>
      </c>
      <c r="F116" s="1" t="s">
        <v>791</v>
      </c>
      <c r="G116" s="26" t="s">
        <v>792</v>
      </c>
      <c r="H116" s="25" t="s">
        <v>792</v>
      </c>
      <c r="I116" s="27" t="s">
        <v>793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1">
        <v>0</v>
      </c>
      <c r="Q116" s="8">
        <f t="shared" si="36"/>
        <v>40</v>
      </c>
      <c r="R116" s="12">
        <v>0</v>
      </c>
      <c r="S116" s="8">
        <v>90</v>
      </c>
      <c r="T116" s="25" t="s">
        <v>794</v>
      </c>
      <c r="U116" s="25" t="s">
        <v>794</v>
      </c>
      <c r="W116" s="1" t="s">
        <v>157</v>
      </c>
      <c r="X116" s="1">
        <v>0</v>
      </c>
      <c r="Y116" s="8"/>
      <c r="Z116" s="8"/>
    </row>
    <row r="117" s="1" customFormat="1" hidden="1" customHeight="1" spans="1:26">
      <c r="A117" s="8"/>
      <c r="B117" s="8"/>
      <c r="C117" s="1" t="s">
        <v>795</v>
      </c>
      <c r="D117" s="1" t="s">
        <v>796</v>
      </c>
      <c r="E117" s="1">
        <v>4</v>
      </c>
      <c r="F117" s="1" t="s">
        <v>797</v>
      </c>
      <c r="G117" s="26" t="s">
        <v>798</v>
      </c>
      <c r="H117" s="25" t="s">
        <v>798</v>
      </c>
      <c r="I117" s="27" t="s">
        <v>799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1">
        <v>0</v>
      </c>
      <c r="Q117" s="8">
        <f t="shared" si="36"/>
        <v>41</v>
      </c>
      <c r="R117" s="12">
        <v>0</v>
      </c>
      <c r="S117" s="8">
        <v>90</v>
      </c>
      <c r="T117" s="25" t="s">
        <v>800</v>
      </c>
      <c r="U117" s="25" t="s">
        <v>800</v>
      </c>
      <c r="W117" s="1" t="s">
        <v>157</v>
      </c>
      <c r="X117" s="1">
        <v>0</v>
      </c>
      <c r="Y117" s="8"/>
      <c r="Z117" s="8"/>
    </row>
    <row r="118" s="1" customFormat="1" hidden="1" customHeight="1" spans="1:26">
      <c r="A118" s="8"/>
      <c r="B118" s="8"/>
      <c r="C118" s="1" t="s">
        <v>801</v>
      </c>
      <c r="D118" s="1" t="s">
        <v>802</v>
      </c>
      <c r="E118" s="1">
        <v>4</v>
      </c>
      <c r="F118" s="1" t="s">
        <v>803</v>
      </c>
      <c r="G118" s="26" t="s">
        <v>804</v>
      </c>
      <c r="H118" s="25" t="s">
        <v>804</v>
      </c>
      <c r="I118" s="27" t="s">
        <v>805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1">
        <v>0</v>
      </c>
      <c r="Q118" s="8">
        <f t="shared" si="36"/>
        <v>42</v>
      </c>
      <c r="R118" s="12">
        <v>0</v>
      </c>
      <c r="S118" s="8">
        <v>90</v>
      </c>
      <c r="T118" s="25" t="s">
        <v>806</v>
      </c>
      <c r="U118" s="25" t="s">
        <v>806</v>
      </c>
      <c r="W118" s="1" t="s">
        <v>157</v>
      </c>
      <c r="X118" s="1">
        <v>0</v>
      </c>
      <c r="Y118" s="8"/>
      <c r="Z118" s="8"/>
    </row>
    <row r="119" s="1" customFormat="1" hidden="1" customHeight="1" spans="1:26">
      <c r="A119" s="8"/>
      <c r="B119" s="8"/>
      <c r="C119" s="1" t="s">
        <v>807</v>
      </c>
      <c r="D119" s="1" t="s">
        <v>808</v>
      </c>
      <c r="E119" s="1">
        <v>4</v>
      </c>
      <c r="F119" s="1" t="s">
        <v>809</v>
      </c>
      <c r="G119" s="26" t="s">
        <v>810</v>
      </c>
      <c r="H119" s="25" t="s">
        <v>810</v>
      </c>
      <c r="I119" s="27" t="s">
        <v>811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1">
        <v>0</v>
      </c>
      <c r="Q119" s="8">
        <f t="shared" si="36"/>
        <v>43</v>
      </c>
      <c r="R119" s="12">
        <v>0</v>
      </c>
      <c r="S119" s="8">
        <v>90</v>
      </c>
      <c r="T119" s="25" t="s">
        <v>812</v>
      </c>
      <c r="U119" s="25" t="s">
        <v>812</v>
      </c>
      <c r="W119" s="1" t="s">
        <v>157</v>
      </c>
      <c r="X119" s="1">
        <v>0</v>
      </c>
      <c r="Y119" s="8"/>
      <c r="Z119" s="8"/>
    </row>
    <row r="120" s="1" customFormat="1" hidden="1" customHeight="1" spans="1:26">
      <c r="A120" s="8"/>
      <c r="B120" s="8"/>
      <c r="C120" s="1" t="s">
        <v>813</v>
      </c>
      <c r="D120" s="1" t="s">
        <v>814</v>
      </c>
      <c r="E120" s="1">
        <v>4</v>
      </c>
      <c r="F120" s="1" t="s">
        <v>815</v>
      </c>
      <c r="G120" s="26" t="s">
        <v>816</v>
      </c>
      <c r="H120" s="25" t="s">
        <v>816</v>
      </c>
      <c r="I120" s="27" t="s">
        <v>817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1">
        <v>0</v>
      </c>
      <c r="Q120" s="8">
        <f t="shared" si="36"/>
        <v>44</v>
      </c>
      <c r="R120" s="12">
        <v>0</v>
      </c>
      <c r="S120" s="8">
        <v>90</v>
      </c>
      <c r="T120" s="25" t="s">
        <v>818</v>
      </c>
      <c r="U120" s="25" t="s">
        <v>818</v>
      </c>
      <c r="W120" s="1" t="s">
        <v>157</v>
      </c>
      <c r="X120" s="1">
        <v>0</v>
      </c>
      <c r="Y120" s="8"/>
      <c r="Z120" s="8"/>
    </row>
    <row r="121" s="1" customFormat="1" hidden="1" customHeight="1" spans="3:26">
      <c r="C121" s="1" t="s">
        <v>819</v>
      </c>
      <c r="D121" s="1" t="s">
        <v>820</v>
      </c>
      <c r="E121" s="1">
        <v>4</v>
      </c>
      <c r="F121" s="1" t="s">
        <v>821</v>
      </c>
      <c r="G121" s="26" t="s">
        <v>763</v>
      </c>
      <c r="H121" s="25" t="s">
        <v>763</v>
      </c>
      <c r="I121" s="27" t="s">
        <v>822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1">
        <v>0</v>
      </c>
      <c r="Q121" s="8">
        <f t="shared" si="36"/>
        <v>45</v>
      </c>
      <c r="R121" s="8">
        <f t="shared" ref="R121:R130" si="39">R120+3</f>
        <v>3</v>
      </c>
      <c r="S121" s="8">
        <v>90</v>
      </c>
      <c r="T121" s="25" t="s">
        <v>823</v>
      </c>
      <c r="U121" s="25" t="s">
        <v>823</v>
      </c>
      <c r="W121" s="1" t="s">
        <v>157</v>
      </c>
      <c r="X121" s="1">
        <v>0</v>
      </c>
      <c r="Y121" s="8"/>
      <c r="Z121" s="8"/>
    </row>
    <row r="122" s="1" customFormat="1" hidden="1" customHeight="1" spans="3:26">
      <c r="C122" s="1" t="s">
        <v>824</v>
      </c>
      <c r="D122" s="1" t="s">
        <v>825</v>
      </c>
      <c r="E122" s="1">
        <v>4</v>
      </c>
      <c r="F122" s="1" t="s">
        <v>826</v>
      </c>
      <c r="G122" s="26" t="s">
        <v>827</v>
      </c>
      <c r="H122" s="25" t="s">
        <v>827</v>
      </c>
      <c r="I122" s="27" t="s">
        <v>828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1">
        <v>0</v>
      </c>
      <c r="Q122" s="8">
        <f t="shared" si="36"/>
        <v>46</v>
      </c>
      <c r="R122" s="8">
        <f t="shared" si="39"/>
        <v>6</v>
      </c>
      <c r="S122" s="8">
        <v>90</v>
      </c>
      <c r="T122" s="25" t="s">
        <v>829</v>
      </c>
      <c r="U122" s="25" t="s">
        <v>829</v>
      </c>
      <c r="W122" s="1" t="s">
        <v>157</v>
      </c>
      <c r="X122" s="1">
        <v>0</v>
      </c>
      <c r="Y122" s="8"/>
      <c r="Z122" s="8"/>
    </row>
    <row r="123" s="1" customFormat="1" hidden="1" customHeight="1" spans="3:26">
      <c r="C123" s="1" t="s">
        <v>830</v>
      </c>
      <c r="D123" s="1" t="s">
        <v>831</v>
      </c>
      <c r="E123" s="1">
        <v>4</v>
      </c>
      <c r="F123" s="1" t="s">
        <v>832</v>
      </c>
      <c r="G123" s="26" t="s">
        <v>833</v>
      </c>
      <c r="H123" s="25" t="s">
        <v>833</v>
      </c>
      <c r="I123" s="27" t="s">
        <v>834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1">
        <v>0</v>
      </c>
      <c r="Q123" s="8">
        <f t="shared" si="36"/>
        <v>47</v>
      </c>
      <c r="R123" s="8">
        <f t="shared" si="39"/>
        <v>9</v>
      </c>
      <c r="S123" s="8">
        <v>90</v>
      </c>
      <c r="T123" s="25" t="s">
        <v>835</v>
      </c>
      <c r="U123" s="25" t="s">
        <v>835</v>
      </c>
      <c r="W123" s="1" t="s">
        <v>157</v>
      </c>
      <c r="X123" s="1">
        <v>0</v>
      </c>
      <c r="Y123" s="8"/>
      <c r="Z123" s="8"/>
    </row>
    <row r="124" s="1" customFormat="1" hidden="1" customHeight="1" spans="3:26">
      <c r="C124" s="1" t="s">
        <v>836</v>
      </c>
      <c r="D124" s="1" t="s">
        <v>837</v>
      </c>
      <c r="E124" s="1">
        <v>4</v>
      </c>
      <c r="F124" s="1" t="s">
        <v>838</v>
      </c>
      <c r="G124" s="26" t="s">
        <v>839</v>
      </c>
      <c r="H124" s="25" t="s">
        <v>839</v>
      </c>
      <c r="I124" s="27" t="s">
        <v>840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1">
        <v>0</v>
      </c>
      <c r="Q124" s="8">
        <f t="shared" si="36"/>
        <v>48</v>
      </c>
      <c r="R124" s="8">
        <f t="shared" si="39"/>
        <v>12</v>
      </c>
      <c r="S124" s="8">
        <v>90</v>
      </c>
      <c r="T124" s="25" t="s">
        <v>841</v>
      </c>
      <c r="U124" s="25" t="s">
        <v>841</v>
      </c>
      <c r="W124" s="1" t="s">
        <v>157</v>
      </c>
      <c r="X124" s="1">
        <v>0</v>
      </c>
      <c r="Y124" s="8"/>
      <c r="Z124" s="8"/>
    </row>
    <row r="125" s="1" customFormat="1" hidden="1" customHeight="1" spans="3:26">
      <c r="C125" s="1" t="s">
        <v>842</v>
      </c>
      <c r="D125" s="1" t="s">
        <v>843</v>
      </c>
      <c r="E125" s="1">
        <v>4</v>
      </c>
      <c r="F125" s="1" t="s">
        <v>844</v>
      </c>
      <c r="G125" s="26" t="s">
        <v>845</v>
      </c>
      <c r="H125" s="25" t="s">
        <v>845</v>
      </c>
      <c r="I125" s="27" t="s">
        <v>846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1">
        <v>0</v>
      </c>
      <c r="Q125" s="8">
        <f t="shared" si="36"/>
        <v>49</v>
      </c>
      <c r="R125" s="8">
        <f t="shared" si="39"/>
        <v>15</v>
      </c>
      <c r="S125" s="8">
        <v>90</v>
      </c>
      <c r="T125" s="25" t="s">
        <v>847</v>
      </c>
      <c r="U125" s="25" t="s">
        <v>847</v>
      </c>
      <c r="W125" s="1" t="s">
        <v>157</v>
      </c>
      <c r="X125" s="1">
        <v>0</v>
      </c>
      <c r="Y125" s="8"/>
      <c r="Z125" s="8"/>
    </row>
    <row r="126" s="1" customFormat="1" hidden="1" customHeight="1" spans="1:26">
      <c r="A126" s="8"/>
      <c r="B126" s="8"/>
      <c r="C126" s="1" t="s">
        <v>848</v>
      </c>
      <c r="D126" s="1" t="s">
        <v>849</v>
      </c>
      <c r="E126" s="1">
        <v>4</v>
      </c>
      <c r="F126" s="1" t="s">
        <v>850</v>
      </c>
      <c r="G126" s="26" t="s">
        <v>851</v>
      </c>
      <c r="H126" s="25" t="s">
        <v>851</v>
      </c>
      <c r="I126" s="27" t="s">
        <v>852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1">
        <v>0</v>
      </c>
      <c r="Q126" s="8">
        <f t="shared" si="36"/>
        <v>50</v>
      </c>
      <c r="R126" s="8">
        <f t="shared" si="39"/>
        <v>18</v>
      </c>
      <c r="S126" s="8">
        <v>90</v>
      </c>
      <c r="T126" s="25" t="s">
        <v>853</v>
      </c>
      <c r="U126" s="25" t="s">
        <v>853</v>
      </c>
      <c r="W126" s="1" t="s">
        <v>157</v>
      </c>
      <c r="X126" s="1">
        <v>0</v>
      </c>
      <c r="Y126" s="8"/>
      <c r="Z126" s="8"/>
    </row>
    <row r="127" s="1" customFormat="1" hidden="1" customHeight="1" spans="1:26">
      <c r="A127" s="8"/>
      <c r="B127" s="8"/>
      <c r="C127" s="1" t="s">
        <v>854</v>
      </c>
      <c r="D127" s="1" t="s">
        <v>855</v>
      </c>
      <c r="E127" s="1">
        <v>4</v>
      </c>
      <c r="F127" s="1" t="s">
        <v>856</v>
      </c>
      <c r="G127" s="26" t="s">
        <v>857</v>
      </c>
      <c r="H127" s="25" t="s">
        <v>857</v>
      </c>
      <c r="I127" s="27" t="s">
        <v>858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1">
        <v>0</v>
      </c>
      <c r="Q127" s="8">
        <f t="shared" si="36"/>
        <v>51</v>
      </c>
      <c r="R127" s="8">
        <f t="shared" si="39"/>
        <v>21</v>
      </c>
      <c r="S127" s="8">
        <v>90</v>
      </c>
      <c r="T127" s="25" t="s">
        <v>859</v>
      </c>
      <c r="U127" s="25" t="s">
        <v>859</v>
      </c>
      <c r="W127" s="1" t="s">
        <v>157</v>
      </c>
      <c r="X127" s="1">
        <v>0</v>
      </c>
      <c r="Y127" s="8"/>
      <c r="Z127" s="8"/>
    </row>
    <row r="128" s="1" customFormat="1" hidden="1" customHeight="1" spans="1:26">
      <c r="A128" s="8"/>
      <c r="B128" s="8"/>
      <c r="C128" s="1" t="s">
        <v>860</v>
      </c>
      <c r="D128" s="1" t="s">
        <v>861</v>
      </c>
      <c r="E128" s="1">
        <v>4</v>
      </c>
      <c r="F128" s="1" t="s">
        <v>862</v>
      </c>
      <c r="G128" s="26" t="s">
        <v>863</v>
      </c>
      <c r="H128" s="25" t="s">
        <v>863</v>
      </c>
      <c r="I128" s="27" t="s">
        <v>864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1">
        <v>0</v>
      </c>
      <c r="Q128" s="8">
        <f t="shared" si="36"/>
        <v>52</v>
      </c>
      <c r="R128" s="8">
        <f t="shared" si="39"/>
        <v>24</v>
      </c>
      <c r="S128" s="8">
        <v>90</v>
      </c>
      <c r="T128" s="25" t="s">
        <v>865</v>
      </c>
      <c r="U128" s="25" t="s">
        <v>865</v>
      </c>
      <c r="W128" s="1" t="s">
        <v>157</v>
      </c>
      <c r="X128" s="1">
        <v>0</v>
      </c>
      <c r="Y128" s="8"/>
      <c r="Z128" s="8"/>
    </row>
    <row r="129" s="1" customFormat="1" hidden="1" customHeight="1" spans="1:26">
      <c r="A129" s="8"/>
      <c r="B129" s="8"/>
      <c r="C129" s="1" t="s">
        <v>866</v>
      </c>
      <c r="D129" s="1" t="s">
        <v>867</v>
      </c>
      <c r="E129" s="1">
        <v>4</v>
      </c>
      <c r="F129" s="1" t="s">
        <v>868</v>
      </c>
      <c r="G129" s="26" t="s">
        <v>869</v>
      </c>
      <c r="H129" s="25" t="s">
        <v>869</v>
      </c>
      <c r="I129" s="27" t="s">
        <v>870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1">
        <v>0</v>
      </c>
      <c r="Q129" s="8">
        <f t="shared" si="36"/>
        <v>53</v>
      </c>
      <c r="R129" s="8">
        <f t="shared" si="39"/>
        <v>27</v>
      </c>
      <c r="S129" s="8">
        <v>90</v>
      </c>
      <c r="T129" s="25" t="s">
        <v>871</v>
      </c>
      <c r="U129" s="25" t="s">
        <v>871</v>
      </c>
      <c r="W129" s="1" t="s">
        <v>157</v>
      </c>
      <c r="X129" s="1">
        <v>0</v>
      </c>
      <c r="Y129" s="8"/>
      <c r="Z129" s="8"/>
    </row>
    <row r="130" s="1" customFormat="1" hidden="1" customHeight="1" spans="1:26">
      <c r="A130" s="8"/>
      <c r="B130" s="8"/>
      <c r="C130" s="1" t="s">
        <v>872</v>
      </c>
      <c r="D130" s="1" t="s">
        <v>873</v>
      </c>
      <c r="E130" s="1">
        <v>4</v>
      </c>
      <c r="F130" s="1" t="s">
        <v>874</v>
      </c>
      <c r="G130" s="26" t="s">
        <v>875</v>
      </c>
      <c r="H130" s="25" t="s">
        <v>875</v>
      </c>
      <c r="I130" s="27" t="s">
        <v>876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1">
        <v>0</v>
      </c>
      <c r="Q130" s="8">
        <f t="shared" si="36"/>
        <v>54</v>
      </c>
      <c r="R130" s="8">
        <f t="shared" si="39"/>
        <v>30</v>
      </c>
      <c r="S130" s="8">
        <v>90</v>
      </c>
      <c r="T130" s="25" t="s">
        <v>877</v>
      </c>
      <c r="U130" s="25" t="s">
        <v>877</v>
      </c>
      <c r="W130" s="1" t="s">
        <v>157</v>
      </c>
      <c r="X130" s="1">
        <v>0</v>
      </c>
      <c r="Y130" s="8"/>
      <c r="Z130" s="8"/>
    </row>
    <row r="131" hidden="1" customHeight="1" spans="3:24">
      <c r="C131" s="1" t="s">
        <v>878</v>
      </c>
      <c r="D131" s="1" t="s">
        <v>879</v>
      </c>
      <c r="E131" s="1">
        <v>4</v>
      </c>
      <c r="F131" s="1" t="s">
        <v>880</v>
      </c>
      <c r="G131" s="26" t="s">
        <v>881</v>
      </c>
      <c r="H131" s="25" t="s">
        <v>881</v>
      </c>
      <c r="I131" s="27" t="s">
        <v>882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1">
        <v>0</v>
      </c>
      <c r="Q131" s="8">
        <f t="shared" ref="Q131:Q146" si="44">Q130+2</f>
        <v>56</v>
      </c>
      <c r="R131" s="8">
        <f t="shared" ref="R131:R180" si="45">R130+4</f>
        <v>34</v>
      </c>
      <c r="S131" s="8">
        <v>92</v>
      </c>
      <c r="T131" s="25" t="s">
        <v>883</v>
      </c>
      <c r="U131" s="25" t="s">
        <v>883</v>
      </c>
      <c r="W131" s="1" t="s">
        <v>157</v>
      </c>
      <c r="X131" s="1">
        <v>0</v>
      </c>
    </row>
    <row r="132" hidden="1" customHeight="1" spans="3:24">
      <c r="C132" s="1" t="s">
        <v>884</v>
      </c>
      <c r="D132" s="1" t="s">
        <v>885</v>
      </c>
      <c r="E132" s="1">
        <v>4</v>
      </c>
      <c r="F132" s="1" t="s">
        <v>886</v>
      </c>
      <c r="G132" s="26" t="s">
        <v>887</v>
      </c>
      <c r="H132" s="25" t="s">
        <v>887</v>
      </c>
      <c r="I132" s="27" t="s">
        <v>888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1">
        <v>0</v>
      </c>
      <c r="Q132" s="8">
        <f t="shared" si="44"/>
        <v>58</v>
      </c>
      <c r="R132" s="8">
        <f t="shared" si="45"/>
        <v>38</v>
      </c>
      <c r="S132" s="8">
        <v>94</v>
      </c>
      <c r="T132" s="25" t="s">
        <v>889</v>
      </c>
      <c r="U132" s="25" t="s">
        <v>889</v>
      </c>
      <c r="W132" s="1" t="s">
        <v>157</v>
      </c>
      <c r="X132" s="1">
        <v>0</v>
      </c>
    </row>
    <row r="133" hidden="1" customHeight="1" spans="3:24">
      <c r="C133" s="1" t="s">
        <v>890</v>
      </c>
      <c r="D133" s="1" t="s">
        <v>891</v>
      </c>
      <c r="E133" s="1">
        <v>4</v>
      </c>
      <c r="F133" s="1" t="s">
        <v>892</v>
      </c>
      <c r="G133" s="26" t="s">
        <v>893</v>
      </c>
      <c r="H133" s="25" t="s">
        <v>893</v>
      </c>
      <c r="I133" s="27" t="s">
        <v>894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1">
        <v>0</v>
      </c>
      <c r="Q133" s="8">
        <f t="shared" si="44"/>
        <v>60</v>
      </c>
      <c r="R133" s="8">
        <f t="shared" si="45"/>
        <v>42</v>
      </c>
      <c r="S133" s="8">
        <v>96</v>
      </c>
      <c r="T133" s="25" t="s">
        <v>895</v>
      </c>
      <c r="U133" s="25" t="s">
        <v>895</v>
      </c>
      <c r="W133" s="1" t="s">
        <v>157</v>
      </c>
      <c r="X133" s="1">
        <v>0</v>
      </c>
    </row>
    <row r="134" hidden="1" customHeight="1" spans="3:24">
      <c r="C134" s="1" t="s">
        <v>896</v>
      </c>
      <c r="D134" s="1" t="s">
        <v>897</v>
      </c>
      <c r="E134" s="1">
        <v>4</v>
      </c>
      <c r="F134" s="1" t="s">
        <v>898</v>
      </c>
      <c r="G134" s="26" t="s">
        <v>899</v>
      </c>
      <c r="H134" s="25" t="s">
        <v>899</v>
      </c>
      <c r="I134" s="27" t="s">
        <v>900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1">
        <v>0</v>
      </c>
      <c r="Q134" s="8">
        <f t="shared" si="44"/>
        <v>62</v>
      </c>
      <c r="R134" s="8">
        <f t="shared" si="45"/>
        <v>46</v>
      </c>
      <c r="S134" s="8">
        <v>98</v>
      </c>
      <c r="T134" s="25" t="s">
        <v>901</v>
      </c>
      <c r="U134" s="25" t="s">
        <v>901</v>
      </c>
      <c r="W134" s="1" t="s">
        <v>157</v>
      </c>
      <c r="X134" s="1">
        <v>0</v>
      </c>
    </row>
    <row r="135" hidden="1" customHeight="1" spans="3:24">
      <c r="C135" s="1" t="s">
        <v>902</v>
      </c>
      <c r="D135" s="1" t="s">
        <v>903</v>
      </c>
      <c r="E135" s="1">
        <v>4</v>
      </c>
      <c r="F135" s="1" t="s">
        <v>461</v>
      </c>
      <c r="G135" s="26" t="s">
        <v>904</v>
      </c>
      <c r="H135" s="25" t="s">
        <v>904</v>
      </c>
      <c r="I135" s="27" t="s">
        <v>905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1">
        <v>0</v>
      </c>
      <c r="Q135" s="8">
        <f t="shared" si="44"/>
        <v>64</v>
      </c>
      <c r="R135" s="8">
        <f t="shared" si="45"/>
        <v>50</v>
      </c>
      <c r="S135" s="8">
        <v>99</v>
      </c>
      <c r="T135" s="25" t="s">
        <v>456</v>
      </c>
      <c r="U135" s="25" t="s">
        <v>456</v>
      </c>
      <c r="W135" s="1" t="s">
        <v>157</v>
      </c>
      <c r="X135" s="1">
        <v>0</v>
      </c>
    </row>
    <row r="136" s="1" customFormat="1" hidden="1" customHeight="1" spans="1:26">
      <c r="A136" s="8"/>
      <c r="B136" s="8"/>
      <c r="C136" s="1" t="s">
        <v>906</v>
      </c>
      <c r="D136" s="1" t="s">
        <v>907</v>
      </c>
      <c r="E136" s="1">
        <v>4</v>
      </c>
      <c r="F136" s="1" t="s">
        <v>908</v>
      </c>
      <c r="G136" s="26" t="s">
        <v>909</v>
      </c>
      <c r="H136" s="25" t="s">
        <v>909</v>
      </c>
      <c r="I136" s="27" t="s">
        <v>910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1">
        <v>0</v>
      </c>
      <c r="Q136" s="8">
        <f t="shared" si="44"/>
        <v>66</v>
      </c>
      <c r="R136" s="8">
        <f t="shared" si="45"/>
        <v>54</v>
      </c>
      <c r="S136" s="8">
        <v>99.2</v>
      </c>
      <c r="T136" s="25" t="s">
        <v>911</v>
      </c>
      <c r="U136" s="25" t="s">
        <v>911</v>
      </c>
      <c r="W136" s="1" t="s">
        <v>157</v>
      </c>
      <c r="X136" s="1">
        <v>0</v>
      </c>
      <c r="Y136" s="8"/>
      <c r="Z136" s="8"/>
    </row>
    <row r="137" s="1" customFormat="1" hidden="1" customHeight="1" spans="1:26">
      <c r="A137" s="8"/>
      <c r="B137" s="8"/>
      <c r="C137" s="1" t="s">
        <v>912</v>
      </c>
      <c r="D137" s="1" t="s">
        <v>913</v>
      </c>
      <c r="E137" s="1">
        <v>4</v>
      </c>
      <c r="F137" s="1" t="s">
        <v>914</v>
      </c>
      <c r="G137" s="26" t="s">
        <v>915</v>
      </c>
      <c r="H137" s="25" t="s">
        <v>915</v>
      </c>
      <c r="I137" s="27" t="s">
        <v>916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1">
        <v>0</v>
      </c>
      <c r="Q137" s="8">
        <f t="shared" si="44"/>
        <v>68</v>
      </c>
      <c r="R137" s="8">
        <f t="shared" si="45"/>
        <v>58</v>
      </c>
      <c r="S137" s="8">
        <v>99.4</v>
      </c>
      <c r="T137" s="25" t="s">
        <v>917</v>
      </c>
      <c r="U137" s="25" t="s">
        <v>917</v>
      </c>
      <c r="W137" s="1" t="s">
        <v>157</v>
      </c>
      <c r="X137" s="1">
        <v>0</v>
      </c>
      <c r="Y137" s="8"/>
      <c r="Z137" s="8"/>
    </row>
    <row r="138" s="1" customFormat="1" hidden="1" customHeight="1" spans="1:26">
      <c r="A138" s="8"/>
      <c r="B138" s="8"/>
      <c r="C138" s="1" t="s">
        <v>918</v>
      </c>
      <c r="D138" s="1" t="s">
        <v>919</v>
      </c>
      <c r="E138" s="1">
        <v>4</v>
      </c>
      <c r="F138" s="1" t="s">
        <v>920</v>
      </c>
      <c r="G138" s="26" t="s">
        <v>921</v>
      </c>
      <c r="H138" s="25" t="s">
        <v>921</v>
      </c>
      <c r="I138" s="27" t="s">
        <v>922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1">
        <v>0</v>
      </c>
      <c r="Q138" s="8">
        <f t="shared" si="44"/>
        <v>70</v>
      </c>
      <c r="R138" s="8">
        <f t="shared" si="45"/>
        <v>62</v>
      </c>
      <c r="S138" s="8">
        <v>99.6</v>
      </c>
      <c r="T138" s="25" t="s">
        <v>923</v>
      </c>
      <c r="U138" s="25" t="s">
        <v>923</v>
      </c>
      <c r="W138" s="1" t="s">
        <v>157</v>
      </c>
      <c r="X138" s="1">
        <v>0</v>
      </c>
      <c r="Y138" s="8"/>
      <c r="Z138" s="8"/>
    </row>
    <row r="139" s="1" customFormat="1" hidden="1" customHeight="1" spans="1:26">
      <c r="A139" s="8"/>
      <c r="B139" s="8"/>
      <c r="C139" s="1" t="s">
        <v>924</v>
      </c>
      <c r="D139" s="1" t="s">
        <v>925</v>
      </c>
      <c r="E139" s="1">
        <v>4</v>
      </c>
      <c r="F139" s="1" t="s">
        <v>926</v>
      </c>
      <c r="G139" s="26" t="s">
        <v>927</v>
      </c>
      <c r="H139" s="25" t="s">
        <v>927</v>
      </c>
      <c r="I139" s="27" t="s">
        <v>928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1">
        <v>0</v>
      </c>
      <c r="Q139" s="8">
        <f t="shared" si="44"/>
        <v>72</v>
      </c>
      <c r="R139" s="8">
        <f t="shared" si="45"/>
        <v>66</v>
      </c>
      <c r="S139" s="8">
        <v>99.8</v>
      </c>
      <c r="T139" s="25" t="s">
        <v>929</v>
      </c>
      <c r="U139" s="25" t="s">
        <v>929</v>
      </c>
      <c r="W139" s="1" t="s">
        <v>157</v>
      </c>
      <c r="X139" s="1">
        <v>0</v>
      </c>
      <c r="Y139" s="8"/>
      <c r="Z139" s="8"/>
    </row>
    <row r="140" s="1" customFormat="1" hidden="1" customHeight="1" spans="1:26">
      <c r="A140" s="8"/>
      <c r="B140" s="8"/>
      <c r="C140" s="1" t="s">
        <v>930</v>
      </c>
      <c r="D140" s="1" t="s">
        <v>931</v>
      </c>
      <c r="E140" s="1">
        <v>4</v>
      </c>
      <c r="F140" s="1" t="s">
        <v>932</v>
      </c>
      <c r="G140" s="26" t="s">
        <v>933</v>
      </c>
      <c r="H140" s="25" t="s">
        <v>933</v>
      </c>
      <c r="I140" s="27" t="s">
        <v>934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1">
        <v>0</v>
      </c>
      <c r="Q140" s="8">
        <f t="shared" si="44"/>
        <v>74</v>
      </c>
      <c r="R140" s="8">
        <f t="shared" si="45"/>
        <v>70</v>
      </c>
      <c r="S140" s="8">
        <v>99.9</v>
      </c>
      <c r="T140" s="25" t="s">
        <v>935</v>
      </c>
      <c r="U140" s="25" t="s">
        <v>935</v>
      </c>
      <c r="W140" s="1" t="s">
        <v>157</v>
      </c>
      <c r="X140" s="1">
        <v>0</v>
      </c>
      <c r="Y140" s="8"/>
      <c r="Z140" s="8"/>
    </row>
    <row r="141" s="1" customFormat="1" hidden="1" customHeight="1" spans="1:26">
      <c r="A141" s="8"/>
      <c r="B141" s="8"/>
      <c r="C141" s="1" t="s">
        <v>936</v>
      </c>
      <c r="D141" s="1" t="s">
        <v>937</v>
      </c>
      <c r="E141" s="1">
        <v>4</v>
      </c>
      <c r="F141" s="1" t="s">
        <v>938</v>
      </c>
      <c r="G141" s="26" t="s">
        <v>939</v>
      </c>
      <c r="H141" s="25" t="s">
        <v>939</v>
      </c>
      <c r="I141" s="27" t="s">
        <v>940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1">
        <v>0</v>
      </c>
      <c r="Q141" s="8">
        <f t="shared" si="44"/>
        <v>76</v>
      </c>
      <c r="R141" s="8">
        <f t="shared" si="45"/>
        <v>74</v>
      </c>
      <c r="S141" s="8">
        <v>99.92</v>
      </c>
      <c r="T141" s="25" t="s">
        <v>941</v>
      </c>
      <c r="U141" s="25" t="s">
        <v>941</v>
      </c>
      <c r="W141" s="1" t="s">
        <v>157</v>
      </c>
      <c r="X141" s="1">
        <v>0</v>
      </c>
      <c r="Y141" s="8"/>
      <c r="Z141" s="8"/>
    </row>
    <row r="142" s="1" customFormat="1" hidden="1" customHeight="1" spans="1:26">
      <c r="A142" s="8"/>
      <c r="B142" s="8"/>
      <c r="C142" s="1" t="s">
        <v>942</v>
      </c>
      <c r="D142" s="1" t="s">
        <v>943</v>
      </c>
      <c r="E142" s="1">
        <v>4</v>
      </c>
      <c r="F142" s="1" t="s">
        <v>944</v>
      </c>
      <c r="G142" s="26" t="s">
        <v>945</v>
      </c>
      <c r="H142" s="25" t="s">
        <v>945</v>
      </c>
      <c r="I142" s="27" t="s">
        <v>946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1">
        <v>0</v>
      </c>
      <c r="Q142" s="8">
        <f t="shared" si="44"/>
        <v>78</v>
      </c>
      <c r="R142" s="8">
        <f t="shared" si="45"/>
        <v>78</v>
      </c>
      <c r="S142" s="8">
        <v>99.94</v>
      </c>
      <c r="T142" s="25" t="s">
        <v>947</v>
      </c>
      <c r="U142" s="25" t="s">
        <v>947</v>
      </c>
      <c r="W142" s="1" t="s">
        <v>157</v>
      </c>
      <c r="X142" s="1">
        <v>0</v>
      </c>
      <c r="Y142" s="8"/>
      <c r="Z142" s="8"/>
    </row>
    <row r="143" s="1" customFormat="1" hidden="1" customHeight="1" spans="1:26">
      <c r="A143" s="8"/>
      <c r="B143" s="8"/>
      <c r="C143" s="1" t="s">
        <v>948</v>
      </c>
      <c r="D143" s="1" t="s">
        <v>949</v>
      </c>
      <c r="E143" s="1">
        <v>4</v>
      </c>
      <c r="F143" s="1" t="s">
        <v>950</v>
      </c>
      <c r="G143" s="26" t="s">
        <v>951</v>
      </c>
      <c r="H143" s="25" t="s">
        <v>951</v>
      </c>
      <c r="I143" s="27" t="s">
        <v>952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1">
        <v>0</v>
      </c>
      <c r="Q143" s="8">
        <f t="shared" si="44"/>
        <v>80</v>
      </c>
      <c r="R143" s="8">
        <f t="shared" si="45"/>
        <v>82</v>
      </c>
      <c r="S143" s="8">
        <v>99.96</v>
      </c>
      <c r="T143" s="25" t="s">
        <v>953</v>
      </c>
      <c r="U143" s="25" t="s">
        <v>953</v>
      </c>
      <c r="W143" s="1" t="s">
        <v>157</v>
      </c>
      <c r="X143" s="1">
        <v>0</v>
      </c>
      <c r="Y143" s="8"/>
      <c r="Z143" s="8"/>
    </row>
    <row r="144" s="1" customFormat="1" hidden="1" customHeight="1" spans="1:26">
      <c r="A144" s="8"/>
      <c r="B144" s="8"/>
      <c r="C144" s="1" t="s">
        <v>954</v>
      </c>
      <c r="D144" s="1" t="s">
        <v>955</v>
      </c>
      <c r="E144" s="1">
        <v>4</v>
      </c>
      <c r="F144" s="1" t="s">
        <v>956</v>
      </c>
      <c r="G144" s="26" t="s">
        <v>957</v>
      </c>
      <c r="H144" s="25" t="s">
        <v>957</v>
      </c>
      <c r="I144" s="27" t="s">
        <v>958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1">
        <v>0</v>
      </c>
      <c r="Q144" s="8">
        <f t="shared" si="44"/>
        <v>82</v>
      </c>
      <c r="R144" s="8">
        <f t="shared" si="45"/>
        <v>86</v>
      </c>
      <c r="S144" s="8">
        <v>99.98</v>
      </c>
      <c r="T144" s="25" t="s">
        <v>959</v>
      </c>
      <c r="U144" s="25" t="s">
        <v>959</v>
      </c>
      <c r="W144" s="1" t="s">
        <v>157</v>
      </c>
      <c r="X144" s="1">
        <v>0</v>
      </c>
      <c r="Y144" s="8"/>
      <c r="Z144" s="8"/>
    </row>
    <row r="145" s="1" customFormat="1" hidden="1" customHeight="1" spans="1:26">
      <c r="A145" s="8"/>
      <c r="B145" s="8"/>
      <c r="C145" s="1" t="s">
        <v>960</v>
      </c>
      <c r="D145" s="1" t="s">
        <v>961</v>
      </c>
      <c r="E145" s="1">
        <v>4</v>
      </c>
      <c r="F145" s="1" t="s">
        <v>962</v>
      </c>
      <c r="G145" s="9" t="s">
        <v>963</v>
      </c>
      <c r="H145" s="1" t="s">
        <v>963</v>
      </c>
      <c r="I145" s="14" t="s">
        <v>964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1">
        <v>0</v>
      </c>
      <c r="Q145" s="8">
        <f t="shared" si="44"/>
        <v>84</v>
      </c>
      <c r="R145" s="8">
        <f t="shared" si="45"/>
        <v>90</v>
      </c>
      <c r="S145" s="8">
        <v>99.99</v>
      </c>
      <c r="T145" s="25" t="s">
        <v>965</v>
      </c>
      <c r="U145" s="25" t="s">
        <v>965</v>
      </c>
      <c r="W145" s="1" t="s">
        <v>157</v>
      </c>
      <c r="X145" s="1">
        <v>0</v>
      </c>
      <c r="Y145" s="8"/>
      <c r="Z145" s="8"/>
    </row>
    <row r="146" s="3" customFormat="1" hidden="1" customHeight="1" spans="1:24">
      <c r="A146" s="16"/>
      <c r="B146" s="16"/>
      <c r="C146" s="31" t="s">
        <v>966</v>
      </c>
      <c r="D146" s="31" t="s">
        <v>967</v>
      </c>
      <c r="E146" s="3">
        <v>5</v>
      </c>
      <c r="F146" s="3" t="s">
        <v>968</v>
      </c>
      <c r="G146" s="17" t="s">
        <v>969</v>
      </c>
      <c r="H146" s="3" t="s">
        <v>970</v>
      </c>
      <c r="I146" s="22" t="s">
        <v>971</v>
      </c>
      <c r="J146" s="3">
        <v>10</v>
      </c>
      <c r="K146" s="3" t="s">
        <v>972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">
        <v>0</v>
      </c>
      <c r="Q146" s="16">
        <f t="shared" ref="Q146:Q160" si="54">Q145+3</f>
        <v>87</v>
      </c>
      <c r="R146" s="16">
        <v>150</v>
      </c>
      <c r="S146" s="16">
        <v>99.99</v>
      </c>
      <c r="T146" s="31" t="s">
        <v>973</v>
      </c>
      <c r="U146" s="31" t="s">
        <v>973</v>
      </c>
      <c r="W146" s="3" t="s">
        <v>157</v>
      </c>
      <c r="X146" s="3">
        <v>0</v>
      </c>
    </row>
    <row r="147" s="1" customFormat="1" hidden="1" customHeight="1" spans="1:24">
      <c r="A147" s="8"/>
      <c r="B147" s="8"/>
      <c r="C147" s="25" t="s">
        <v>974</v>
      </c>
      <c r="D147" s="25" t="s">
        <v>975</v>
      </c>
      <c r="E147" s="1">
        <v>5</v>
      </c>
      <c r="F147" s="1" t="s">
        <v>976</v>
      </c>
      <c r="G147" s="9" t="s">
        <v>977</v>
      </c>
      <c r="H147" s="9" t="s">
        <v>978</v>
      </c>
      <c r="I147" s="14" t="s">
        <v>979</v>
      </c>
      <c r="J147" s="1">
        <f t="shared" ref="J147:J155" si="55">J146*5</f>
        <v>50</v>
      </c>
      <c r="K147" s="1" t="s">
        <v>980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1">
        <v>0</v>
      </c>
      <c r="Q147" s="8">
        <f t="shared" si="54"/>
        <v>90</v>
      </c>
      <c r="R147" s="8">
        <f t="shared" si="45"/>
        <v>154</v>
      </c>
      <c r="S147" s="8">
        <v>99.99</v>
      </c>
      <c r="T147" s="25" t="s">
        <v>981</v>
      </c>
      <c r="U147" s="25" t="s">
        <v>981</v>
      </c>
      <c r="W147" s="1" t="s">
        <v>157</v>
      </c>
      <c r="X147" s="1">
        <v>0</v>
      </c>
    </row>
    <row r="148" s="1" customFormat="1" hidden="1" customHeight="1" spans="1:24">
      <c r="A148" s="8"/>
      <c r="B148" s="8"/>
      <c r="C148" s="25" t="s">
        <v>982</v>
      </c>
      <c r="D148" s="25" t="s">
        <v>983</v>
      </c>
      <c r="E148" s="1">
        <v>5</v>
      </c>
      <c r="F148" s="1" t="s">
        <v>984</v>
      </c>
      <c r="G148" s="9" t="s">
        <v>985</v>
      </c>
      <c r="H148" s="9" t="s">
        <v>986</v>
      </c>
      <c r="I148" s="14" t="s">
        <v>987</v>
      </c>
      <c r="J148" s="1">
        <f t="shared" si="55"/>
        <v>250</v>
      </c>
      <c r="K148" s="1" t="s">
        <v>988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1">
        <v>0</v>
      </c>
      <c r="Q148" s="8">
        <f t="shared" si="54"/>
        <v>93</v>
      </c>
      <c r="R148" s="8">
        <f t="shared" si="45"/>
        <v>158</v>
      </c>
      <c r="S148" s="8">
        <v>99.99</v>
      </c>
      <c r="T148" s="25" t="s">
        <v>989</v>
      </c>
      <c r="U148" s="25" t="s">
        <v>989</v>
      </c>
      <c r="W148" s="1" t="s">
        <v>157</v>
      </c>
      <c r="X148" s="1">
        <v>0</v>
      </c>
    </row>
    <row r="149" s="1" customFormat="1" hidden="1" customHeight="1" spans="1:24">
      <c r="A149" s="8"/>
      <c r="B149" s="8"/>
      <c r="C149" s="25" t="s">
        <v>990</v>
      </c>
      <c r="D149" s="25" t="s">
        <v>991</v>
      </c>
      <c r="E149" s="1">
        <v>5</v>
      </c>
      <c r="F149" s="1" t="s">
        <v>992</v>
      </c>
      <c r="G149" s="9" t="s">
        <v>993</v>
      </c>
      <c r="H149" s="9" t="s">
        <v>994</v>
      </c>
      <c r="I149" s="14" t="s">
        <v>995</v>
      </c>
      <c r="J149" s="1">
        <f t="shared" si="55"/>
        <v>1250</v>
      </c>
      <c r="K149" s="1" t="s">
        <v>996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1">
        <v>0</v>
      </c>
      <c r="Q149" s="8">
        <f t="shared" si="54"/>
        <v>96</v>
      </c>
      <c r="R149" s="8">
        <f t="shared" si="45"/>
        <v>162</v>
      </c>
      <c r="S149" s="8">
        <v>99.99</v>
      </c>
      <c r="T149" s="25" t="s">
        <v>997</v>
      </c>
      <c r="U149" s="25" t="s">
        <v>997</v>
      </c>
      <c r="W149" s="1" t="s">
        <v>157</v>
      </c>
      <c r="X149" s="1">
        <v>0</v>
      </c>
    </row>
    <row r="150" s="1" customFormat="1" hidden="1" customHeight="1" spans="1:24">
      <c r="A150" s="8"/>
      <c r="B150" s="8"/>
      <c r="C150" s="25" t="s">
        <v>998</v>
      </c>
      <c r="D150" s="25" t="s">
        <v>999</v>
      </c>
      <c r="E150" s="1">
        <v>5</v>
      </c>
      <c r="F150" s="1" t="s">
        <v>1000</v>
      </c>
      <c r="G150" s="9" t="s">
        <v>1001</v>
      </c>
      <c r="H150" s="9" t="s">
        <v>1002</v>
      </c>
      <c r="I150" s="14" t="s">
        <v>1003</v>
      </c>
      <c r="J150" s="1">
        <f t="shared" si="55"/>
        <v>6250</v>
      </c>
      <c r="K150" s="1" t="s">
        <v>1004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1">
        <v>0</v>
      </c>
      <c r="Q150" s="8">
        <f t="shared" si="54"/>
        <v>99</v>
      </c>
      <c r="R150" s="8">
        <f t="shared" si="45"/>
        <v>166</v>
      </c>
      <c r="S150" s="8">
        <v>99.99</v>
      </c>
      <c r="T150" s="25" t="s">
        <v>1005</v>
      </c>
      <c r="U150" s="25" t="s">
        <v>1005</v>
      </c>
      <c r="W150" s="1" t="s">
        <v>157</v>
      </c>
      <c r="X150" s="1">
        <v>0</v>
      </c>
    </row>
    <row r="151" s="1" customFormat="1" hidden="1" customHeight="1" spans="1:26">
      <c r="A151" s="8"/>
      <c r="B151" s="8"/>
      <c r="C151" s="25" t="s">
        <v>1006</v>
      </c>
      <c r="D151" s="25" t="s">
        <v>1007</v>
      </c>
      <c r="E151" s="1">
        <v>5</v>
      </c>
      <c r="F151" s="1" t="s">
        <v>1008</v>
      </c>
      <c r="G151" s="1" t="s">
        <v>1009</v>
      </c>
      <c r="H151" s="9" t="s">
        <v>1010</v>
      </c>
      <c r="I151" s="1" t="s">
        <v>1011</v>
      </c>
      <c r="J151" s="1" t="s">
        <v>1012</v>
      </c>
      <c r="K151" s="1" t="s">
        <v>1013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1">
        <v>0</v>
      </c>
      <c r="Q151" s="8">
        <f t="shared" si="54"/>
        <v>102</v>
      </c>
      <c r="R151" s="8">
        <f t="shared" si="45"/>
        <v>170</v>
      </c>
      <c r="S151" s="8">
        <v>99.99</v>
      </c>
      <c r="T151" s="25" t="s">
        <v>1014</v>
      </c>
      <c r="U151" s="25" t="s">
        <v>1014</v>
      </c>
      <c r="W151" s="1" t="s">
        <v>157</v>
      </c>
      <c r="X151" s="1">
        <v>0</v>
      </c>
      <c r="Y151" s="8"/>
      <c r="Z151" s="8"/>
    </row>
    <row r="152" s="1" customFormat="1" hidden="1" customHeight="1" spans="1:26">
      <c r="A152" s="8"/>
      <c r="B152" s="8"/>
      <c r="C152" s="25" t="s">
        <v>1015</v>
      </c>
      <c r="D152" s="25" t="s">
        <v>1016</v>
      </c>
      <c r="E152" s="1">
        <v>5</v>
      </c>
      <c r="F152" s="1" t="s">
        <v>1017</v>
      </c>
      <c r="G152" s="1" t="s">
        <v>1018</v>
      </c>
      <c r="H152" s="9" t="s">
        <v>1019</v>
      </c>
      <c r="I152" s="1" t="s">
        <v>1020</v>
      </c>
      <c r="J152" s="1" t="s">
        <v>1021</v>
      </c>
      <c r="K152" s="1" t="s">
        <v>1022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1">
        <v>0</v>
      </c>
      <c r="Q152" s="8">
        <f t="shared" si="54"/>
        <v>105</v>
      </c>
      <c r="R152" s="8">
        <f t="shared" si="45"/>
        <v>174</v>
      </c>
      <c r="S152" s="8">
        <v>99.99</v>
      </c>
      <c r="T152" s="25" t="s">
        <v>1023</v>
      </c>
      <c r="U152" s="25" t="s">
        <v>1023</v>
      </c>
      <c r="W152" s="1" t="s">
        <v>157</v>
      </c>
      <c r="X152" s="1">
        <v>0</v>
      </c>
      <c r="Y152" s="8"/>
      <c r="Z152" s="8"/>
    </row>
    <row r="153" s="1" customFormat="1" hidden="1" customHeight="1" spans="1:26">
      <c r="A153" s="8"/>
      <c r="B153" s="8"/>
      <c r="C153" s="25" t="s">
        <v>1024</v>
      </c>
      <c r="D153" s="25" t="s">
        <v>1025</v>
      </c>
      <c r="E153" s="1">
        <v>5</v>
      </c>
      <c r="F153" s="1" t="s">
        <v>1026</v>
      </c>
      <c r="G153" s="1" t="s">
        <v>1027</v>
      </c>
      <c r="H153" s="9" t="s">
        <v>1028</v>
      </c>
      <c r="I153" s="1" t="s">
        <v>1029</v>
      </c>
      <c r="J153" s="1" t="s">
        <v>1030</v>
      </c>
      <c r="K153" s="1" t="s">
        <v>1031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1">
        <v>0</v>
      </c>
      <c r="Q153" s="8">
        <f t="shared" si="54"/>
        <v>108</v>
      </c>
      <c r="R153" s="8">
        <f t="shared" si="45"/>
        <v>178</v>
      </c>
      <c r="S153" s="8">
        <v>99.99</v>
      </c>
      <c r="T153" s="25" t="s">
        <v>1032</v>
      </c>
      <c r="U153" s="25" t="s">
        <v>1032</v>
      </c>
      <c r="W153" s="1" t="s">
        <v>157</v>
      </c>
      <c r="X153" s="1">
        <v>0</v>
      </c>
      <c r="Y153" s="8"/>
      <c r="Z153" s="8"/>
    </row>
    <row r="154" s="1" customFormat="1" hidden="1" customHeight="1" spans="1:26">
      <c r="A154" s="8"/>
      <c r="B154" s="8"/>
      <c r="C154" s="25" t="s">
        <v>1033</v>
      </c>
      <c r="D154" s="25" t="s">
        <v>1034</v>
      </c>
      <c r="E154" s="1">
        <v>5</v>
      </c>
      <c r="F154" s="1" t="s">
        <v>1035</v>
      </c>
      <c r="G154" s="1" t="s">
        <v>1036</v>
      </c>
      <c r="H154" s="9" t="s">
        <v>1037</v>
      </c>
      <c r="I154" s="1" t="s">
        <v>1038</v>
      </c>
      <c r="J154" s="1" t="s">
        <v>1039</v>
      </c>
      <c r="K154" s="1" t="s">
        <v>1040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1">
        <v>0</v>
      </c>
      <c r="Q154" s="8">
        <f t="shared" si="54"/>
        <v>111</v>
      </c>
      <c r="R154" s="8">
        <f t="shared" si="45"/>
        <v>182</v>
      </c>
      <c r="S154" s="8">
        <v>99.99</v>
      </c>
      <c r="T154" s="25" t="s">
        <v>1041</v>
      </c>
      <c r="U154" s="25" t="s">
        <v>1041</v>
      </c>
      <c r="W154" s="1" t="s">
        <v>157</v>
      </c>
      <c r="X154" s="1">
        <v>0</v>
      </c>
      <c r="Y154" s="8"/>
      <c r="Z154" s="8"/>
    </row>
    <row r="155" s="1" customFormat="1" hidden="1" customHeight="1" spans="1:26">
      <c r="A155" s="8"/>
      <c r="B155" s="8"/>
      <c r="C155" s="25" t="s">
        <v>1042</v>
      </c>
      <c r="D155" s="25" t="s">
        <v>1043</v>
      </c>
      <c r="E155" s="1">
        <v>5</v>
      </c>
      <c r="F155" s="1" t="s">
        <v>1044</v>
      </c>
      <c r="G155" s="1" t="s">
        <v>1045</v>
      </c>
      <c r="H155" s="9" t="s">
        <v>1046</v>
      </c>
      <c r="I155" s="1" t="s">
        <v>1047</v>
      </c>
      <c r="J155" s="1" t="s">
        <v>1048</v>
      </c>
      <c r="K155" s="1" t="s">
        <v>1049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1">
        <v>0</v>
      </c>
      <c r="Q155" s="8">
        <f t="shared" si="54"/>
        <v>114</v>
      </c>
      <c r="R155" s="8">
        <f t="shared" si="45"/>
        <v>186</v>
      </c>
      <c r="S155" s="8">
        <v>99.99</v>
      </c>
      <c r="T155" s="25" t="s">
        <v>1050</v>
      </c>
      <c r="U155" s="25" t="s">
        <v>1050</v>
      </c>
      <c r="W155" s="1" t="s">
        <v>157</v>
      </c>
      <c r="X155" s="1">
        <v>0</v>
      </c>
      <c r="Y155" s="8"/>
      <c r="Z155" s="8"/>
    </row>
    <row r="156" s="1" customFormat="1" hidden="1" customHeight="1" spans="1:26">
      <c r="A156" s="8"/>
      <c r="B156" s="8"/>
      <c r="C156" s="25" t="s">
        <v>1051</v>
      </c>
      <c r="D156" s="25" t="s">
        <v>1052</v>
      </c>
      <c r="E156" s="1">
        <v>5</v>
      </c>
      <c r="F156" s="1" t="s">
        <v>1053</v>
      </c>
      <c r="G156" s="1" t="s">
        <v>1054</v>
      </c>
      <c r="H156" s="9" t="s">
        <v>1055</v>
      </c>
      <c r="I156" s="1" t="s">
        <v>1056</v>
      </c>
      <c r="J156" s="1" t="s">
        <v>1057</v>
      </c>
      <c r="K156" s="1" t="s">
        <v>1058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1">
        <v>0</v>
      </c>
      <c r="Q156" s="8">
        <f t="shared" si="54"/>
        <v>117</v>
      </c>
      <c r="R156" s="8">
        <f t="shared" si="45"/>
        <v>190</v>
      </c>
      <c r="S156" s="8">
        <v>99.99</v>
      </c>
      <c r="T156" s="25" t="s">
        <v>1059</v>
      </c>
      <c r="U156" s="25" t="s">
        <v>1059</v>
      </c>
      <c r="W156" s="1" t="s">
        <v>157</v>
      </c>
      <c r="X156" s="1">
        <v>0</v>
      </c>
      <c r="Y156" s="8"/>
      <c r="Z156" s="8"/>
    </row>
    <row r="157" s="1" customFormat="1" hidden="1" customHeight="1" spans="1:26">
      <c r="A157" s="8"/>
      <c r="B157" s="8"/>
      <c r="C157" s="25" t="s">
        <v>1060</v>
      </c>
      <c r="D157" s="25" t="s">
        <v>1061</v>
      </c>
      <c r="E157" s="1">
        <v>5</v>
      </c>
      <c r="F157" s="1" t="s">
        <v>1062</v>
      </c>
      <c r="G157" s="1" t="s">
        <v>1063</v>
      </c>
      <c r="H157" s="9" t="s">
        <v>1064</v>
      </c>
      <c r="I157" s="1" t="s">
        <v>1065</v>
      </c>
      <c r="J157" s="1" t="s">
        <v>1066</v>
      </c>
      <c r="K157" s="1" t="s">
        <v>1067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1">
        <v>0</v>
      </c>
      <c r="Q157" s="8">
        <f t="shared" si="54"/>
        <v>120</v>
      </c>
      <c r="R157" s="8">
        <f t="shared" si="45"/>
        <v>194</v>
      </c>
      <c r="S157" s="8">
        <v>99.99</v>
      </c>
      <c r="T157" s="25" t="s">
        <v>1068</v>
      </c>
      <c r="U157" s="25" t="s">
        <v>1068</v>
      </c>
      <c r="W157" s="1" t="s">
        <v>157</v>
      </c>
      <c r="X157" s="1">
        <v>0</v>
      </c>
      <c r="Y157" s="8"/>
      <c r="Z157" s="8"/>
    </row>
    <row r="158" s="1" customFormat="1" hidden="1" customHeight="1" spans="1:26">
      <c r="A158" s="8"/>
      <c r="B158" s="8"/>
      <c r="C158" s="25" t="s">
        <v>1069</v>
      </c>
      <c r="D158" s="25" t="s">
        <v>1070</v>
      </c>
      <c r="E158" s="1">
        <v>5</v>
      </c>
      <c r="F158" s="1" t="s">
        <v>1071</v>
      </c>
      <c r="G158" s="1" t="s">
        <v>1072</v>
      </c>
      <c r="H158" s="9" t="s">
        <v>1073</v>
      </c>
      <c r="I158" s="1" t="s">
        <v>1074</v>
      </c>
      <c r="J158" s="1" t="s">
        <v>1075</v>
      </c>
      <c r="K158" s="1" t="s">
        <v>1076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1">
        <v>0</v>
      </c>
      <c r="Q158" s="8">
        <f t="shared" si="54"/>
        <v>123</v>
      </c>
      <c r="R158" s="8">
        <f t="shared" si="45"/>
        <v>198</v>
      </c>
      <c r="S158" s="8">
        <v>99.99</v>
      </c>
      <c r="T158" s="25" t="s">
        <v>1077</v>
      </c>
      <c r="U158" s="25" t="s">
        <v>1077</v>
      </c>
      <c r="W158" s="1" t="s">
        <v>157</v>
      </c>
      <c r="X158" s="1">
        <v>0</v>
      </c>
      <c r="Y158" s="8"/>
      <c r="Z158" s="8"/>
    </row>
    <row r="159" s="1" customFormat="1" hidden="1" customHeight="1" spans="1:26">
      <c r="A159" s="8"/>
      <c r="B159" s="8"/>
      <c r="C159" s="25" t="s">
        <v>1078</v>
      </c>
      <c r="D159" s="25" t="s">
        <v>1079</v>
      </c>
      <c r="E159" s="1">
        <v>5</v>
      </c>
      <c r="F159" s="1" t="s">
        <v>1080</v>
      </c>
      <c r="G159" s="1" t="s">
        <v>1081</v>
      </c>
      <c r="H159" s="9" t="s">
        <v>1082</v>
      </c>
      <c r="I159" s="1" t="s">
        <v>1083</v>
      </c>
      <c r="J159" s="1" t="s">
        <v>1084</v>
      </c>
      <c r="K159" s="1" t="s">
        <v>1085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1">
        <v>0</v>
      </c>
      <c r="Q159" s="8">
        <f t="shared" si="54"/>
        <v>126</v>
      </c>
      <c r="R159" s="8">
        <f t="shared" si="45"/>
        <v>202</v>
      </c>
      <c r="S159" s="8">
        <v>99.99</v>
      </c>
      <c r="T159" s="25" t="s">
        <v>1086</v>
      </c>
      <c r="U159" s="25" t="s">
        <v>1086</v>
      </c>
      <c r="W159" s="1" t="s">
        <v>157</v>
      </c>
      <c r="X159" s="1">
        <v>0</v>
      </c>
      <c r="Y159" s="8"/>
      <c r="Z159" s="8"/>
    </row>
    <row r="160" s="1" customFormat="1" hidden="1" customHeight="1" spans="1:26">
      <c r="A160" s="8"/>
      <c r="B160" s="8"/>
      <c r="C160" s="25" t="s">
        <v>1087</v>
      </c>
      <c r="D160" s="25" t="s">
        <v>1088</v>
      </c>
      <c r="E160" s="1">
        <v>5</v>
      </c>
      <c r="F160" s="1" t="s">
        <v>1089</v>
      </c>
      <c r="G160" s="1" t="s">
        <v>1090</v>
      </c>
      <c r="H160" s="9" t="s">
        <v>1091</v>
      </c>
      <c r="I160" s="1" t="s">
        <v>1092</v>
      </c>
      <c r="J160" s="1" t="s">
        <v>1093</v>
      </c>
      <c r="K160" s="1" t="s">
        <v>1094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1">
        <v>0</v>
      </c>
      <c r="Q160" s="8">
        <f t="shared" si="54"/>
        <v>129</v>
      </c>
      <c r="R160" s="8">
        <f t="shared" si="45"/>
        <v>206</v>
      </c>
      <c r="S160" s="8">
        <v>99.99</v>
      </c>
      <c r="T160" s="25" t="s">
        <v>1095</v>
      </c>
      <c r="U160" s="25" t="s">
        <v>1095</v>
      </c>
      <c r="W160" s="1" t="s">
        <v>157</v>
      </c>
      <c r="X160" s="1">
        <v>0</v>
      </c>
      <c r="Y160" s="8"/>
      <c r="Z160" s="8"/>
    </row>
    <row r="161" s="1" customFormat="1" hidden="1" customHeight="1" spans="1:26">
      <c r="A161" s="8"/>
      <c r="B161" s="8"/>
      <c r="C161" s="25" t="s">
        <v>1096</v>
      </c>
      <c r="D161" s="25" t="s">
        <v>1097</v>
      </c>
      <c r="E161" s="1">
        <v>5</v>
      </c>
      <c r="F161" s="1" t="s">
        <v>1098</v>
      </c>
      <c r="G161" s="1" t="s">
        <v>1099</v>
      </c>
      <c r="H161" s="9" t="s">
        <v>1100</v>
      </c>
      <c r="I161" s="1" t="s">
        <v>1101</v>
      </c>
      <c r="J161" s="1" t="s">
        <v>1102</v>
      </c>
      <c r="K161" s="1" t="s">
        <v>1103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1">
        <v>0</v>
      </c>
      <c r="Q161" s="8">
        <f>Q160+4</f>
        <v>133</v>
      </c>
      <c r="R161" s="8">
        <f>R160+5</f>
        <v>211</v>
      </c>
      <c r="S161" s="8">
        <v>99.99</v>
      </c>
      <c r="T161" s="25" t="s">
        <v>1104</v>
      </c>
      <c r="U161" s="25" t="s">
        <v>1104</v>
      </c>
      <c r="W161" s="1" t="s">
        <v>157</v>
      </c>
      <c r="X161" s="1">
        <v>0</v>
      </c>
      <c r="Y161" s="8"/>
      <c r="Z161" s="8"/>
    </row>
    <row r="162" s="1" customFormat="1" hidden="1" customHeight="1" spans="1:26">
      <c r="A162" s="8"/>
      <c r="B162" s="8"/>
      <c r="C162" s="25" t="s">
        <v>1105</v>
      </c>
      <c r="D162" s="25" t="s">
        <v>1106</v>
      </c>
      <c r="E162" s="1">
        <v>5</v>
      </c>
      <c r="F162" s="1" t="s">
        <v>1107</v>
      </c>
      <c r="G162" s="1" t="s">
        <v>1108</v>
      </c>
      <c r="H162" s="9" t="s">
        <v>1109</v>
      </c>
      <c r="I162" s="1" t="s">
        <v>1110</v>
      </c>
      <c r="J162" s="1" t="s">
        <v>1111</v>
      </c>
      <c r="K162" s="1" t="s">
        <v>1112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1">
        <v>0</v>
      </c>
      <c r="Q162" s="8">
        <f>Q161+4</f>
        <v>137</v>
      </c>
      <c r="R162" s="8">
        <f>R161+5</f>
        <v>216</v>
      </c>
      <c r="S162" s="8">
        <v>99.99</v>
      </c>
      <c r="T162" s="25" t="s">
        <v>1113</v>
      </c>
      <c r="U162" s="25" t="s">
        <v>1113</v>
      </c>
      <c r="W162" s="1" t="s">
        <v>157</v>
      </c>
      <c r="X162" s="1">
        <v>0</v>
      </c>
      <c r="Y162" s="8"/>
      <c r="Z162" s="8"/>
    </row>
    <row r="163" s="1" customFormat="1" hidden="1" customHeight="1" spans="1:26">
      <c r="A163" s="8"/>
      <c r="B163" s="8"/>
      <c r="C163" s="25" t="s">
        <v>1114</v>
      </c>
      <c r="D163" s="25" t="s">
        <v>1115</v>
      </c>
      <c r="E163" s="1">
        <v>5</v>
      </c>
      <c r="F163" s="1" t="s">
        <v>1116</v>
      </c>
      <c r="G163" s="1" t="s">
        <v>1117</v>
      </c>
      <c r="H163" s="1" t="s">
        <v>1118</v>
      </c>
      <c r="I163" s="32" t="s">
        <v>1119</v>
      </c>
      <c r="J163" s="1" t="s">
        <v>1120</v>
      </c>
      <c r="K163" s="1" t="s">
        <v>1121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1">
        <v>0</v>
      </c>
      <c r="Q163" s="8">
        <f>Q162+4</f>
        <v>141</v>
      </c>
      <c r="R163" s="8">
        <f>R162+5</f>
        <v>221</v>
      </c>
      <c r="S163" s="8">
        <v>99.99</v>
      </c>
      <c r="T163" s="25" t="s">
        <v>1122</v>
      </c>
      <c r="U163" s="25" t="s">
        <v>1122</v>
      </c>
      <c r="W163" s="1" t="s">
        <v>157</v>
      </c>
      <c r="X163" s="1">
        <v>0</v>
      </c>
      <c r="Y163" s="8"/>
      <c r="Z163" s="8"/>
    </row>
    <row r="164" s="4" customFormat="1" hidden="1" customHeight="1" spans="1:26">
      <c r="A164" s="18"/>
      <c r="B164" s="18"/>
      <c r="C164" s="33" t="s">
        <v>1123</v>
      </c>
      <c r="D164" s="33" t="s">
        <v>1124</v>
      </c>
      <c r="E164" s="4">
        <v>5</v>
      </c>
      <c r="F164" s="4" t="s">
        <v>1125</v>
      </c>
      <c r="G164" s="4" t="s">
        <v>1126</v>
      </c>
      <c r="H164" s="4" t="s">
        <v>1127</v>
      </c>
      <c r="I164" s="34" t="s">
        <v>1128</v>
      </c>
      <c r="J164" s="4" t="s">
        <v>1129</v>
      </c>
      <c r="K164" s="4" t="s">
        <v>1130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">
        <v>0</v>
      </c>
      <c r="Q164" s="18">
        <f>Q163+4</f>
        <v>145</v>
      </c>
      <c r="R164" s="18">
        <f>R163+5</f>
        <v>226</v>
      </c>
      <c r="S164" s="18">
        <v>99.99</v>
      </c>
      <c r="T164" s="33" t="s">
        <v>1131</v>
      </c>
      <c r="U164" s="33" t="s">
        <v>1131</v>
      </c>
      <c r="W164" s="4" t="s">
        <v>157</v>
      </c>
      <c r="X164" s="4">
        <v>0</v>
      </c>
      <c r="Y164" s="18"/>
      <c r="Z164" s="18"/>
    </row>
    <row r="165" s="1" customFormat="1" hidden="1" customHeight="1" spans="1:26">
      <c r="A165" s="8"/>
      <c r="B165" s="8"/>
      <c r="C165" s="25" t="s">
        <v>1132</v>
      </c>
      <c r="D165" s="25" t="s">
        <v>1133</v>
      </c>
      <c r="E165" s="1">
        <v>5</v>
      </c>
      <c r="F165" s="1" t="s">
        <v>1134</v>
      </c>
      <c r="G165" s="32" t="s">
        <v>1135</v>
      </c>
      <c r="H165" s="32" t="s">
        <v>1136</v>
      </c>
      <c r="I165" s="32" t="s">
        <v>1137</v>
      </c>
      <c r="J165" s="32" t="s">
        <v>1138</v>
      </c>
      <c r="K165" s="32" t="s">
        <v>1139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1">
        <v>0</v>
      </c>
      <c r="Q165" s="8">
        <f>Q164+4</f>
        <v>149</v>
      </c>
      <c r="R165" s="8">
        <f>R164+5</f>
        <v>231</v>
      </c>
      <c r="S165" s="8">
        <v>99.99</v>
      </c>
      <c r="T165" s="25" t="s">
        <v>1140</v>
      </c>
      <c r="U165" s="25" t="s">
        <v>1140</v>
      </c>
      <c r="W165" s="1" t="s">
        <v>157</v>
      </c>
      <c r="X165" s="1">
        <v>0</v>
      </c>
      <c r="Y165" s="8"/>
      <c r="Z165" s="8"/>
    </row>
    <row r="166" hidden="1" customHeight="1" spans="3:24">
      <c r="C166" s="25" t="s">
        <v>1141</v>
      </c>
      <c r="D166" s="25" t="s">
        <v>1142</v>
      </c>
      <c r="E166" s="1">
        <v>5</v>
      </c>
      <c r="F166" s="1" t="s">
        <v>1143</v>
      </c>
      <c r="G166" s="32" t="s">
        <v>1144</v>
      </c>
      <c r="H166" s="32" t="s">
        <v>1145</v>
      </c>
      <c r="I166" s="32" t="s">
        <v>1146</v>
      </c>
      <c r="J166" s="32" t="s">
        <v>1147</v>
      </c>
      <c r="K166" s="32" t="s">
        <v>1148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1">
        <v>0</v>
      </c>
      <c r="Q166" s="8">
        <f>Q165+5</f>
        <v>154</v>
      </c>
      <c r="R166" s="8">
        <f>R165+6</f>
        <v>237</v>
      </c>
      <c r="S166" s="8">
        <v>99.99</v>
      </c>
      <c r="T166" s="25" t="s">
        <v>1149</v>
      </c>
      <c r="U166" s="25" t="s">
        <v>1149</v>
      </c>
      <c r="W166" s="1" t="s">
        <v>157</v>
      </c>
      <c r="X166" s="1">
        <v>0</v>
      </c>
    </row>
    <row r="167" hidden="1" customHeight="1" spans="3:24">
      <c r="C167" s="25" t="s">
        <v>1150</v>
      </c>
      <c r="D167" s="25" t="s">
        <v>1151</v>
      </c>
      <c r="E167" s="1">
        <v>5</v>
      </c>
      <c r="F167" s="1" t="s">
        <v>1152</v>
      </c>
      <c r="G167" s="32" t="s">
        <v>1153</v>
      </c>
      <c r="H167" s="32" t="s">
        <v>1154</v>
      </c>
      <c r="I167" s="32" t="s">
        <v>1155</v>
      </c>
      <c r="J167" s="32" t="s">
        <v>1156</v>
      </c>
      <c r="K167" s="32" t="s">
        <v>1157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1">
        <v>0</v>
      </c>
      <c r="Q167" s="8">
        <f>Q166+5</f>
        <v>159</v>
      </c>
      <c r="R167" s="8">
        <f>R166+6</f>
        <v>243</v>
      </c>
      <c r="S167" s="8">
        <v>99.99</v>
      </c>
      <c r="T167" s="25" t="s">
        <v>1158</v>
      </c>
      <c r="U167" s="25" t="s">
        <v>1158</v>
      </c>
      <c r="W167" s="1" t="s">
        <v>157</v>
      </c>
      <c r="X167" s="1">
        <v>0</v>
      </c>
    </row>
    <row r="168" hidden="1" customHeight="1" spans="3:24">
      <c r="C168" s="25" t="s">
        <v>1159</v>
      </c>
      <c r="D168" s="25" t="s">
        <v>1160</v>
      </c>
      <c r="E168" s="1">
        <v>5</v>
      </c>
      <c r="F168" s="1" t="s">
        <v>1161</v>
      </c>
      <c r="G168" s="32" t="s">
        <v>1162</v>
      </c>
      <c r="H168" s="32" t="s">
        <v>1163</v>
      </c>
      <c r="I168" s="32" t="s">
        <v>1164</v>
      </c>
      <c r="J168" s="32" t="s">
        <v>1165</v>
      </c>
      <c r="K168" s="32" t="s">
        <v>1166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1">
        <v>0</v>
      </c>
      <c r="Q168" s="8">
        <f>Q167+5</f>
        <v>164</v>
      </c>
      <c r="R168" s="8">
        <f>R167+6</f>
        <v>249</v>
      </c>
      <c r="S168" s="8">
        <v>99.99</v>
      </c>
      <c r="T168" s="25" t="s">
        <v>1167</v>
      </c>
      <c r="U168" s="25" t="s">
        <v>1167</v>
      </c>
      <c r="W168" s="1" t="s">
        <v>157</v>
      </c>
      <c r="X168" s="1">
        <v>0</v>
      </c>
    </row>
    <row r="169" hidden="1" customHeight="1" spans="3:24">
      <c r="C169" s="25" t="s">
        <v>1168</v>
      </c>
      <c r="D169" s="25" t="s">
        <v>1169</v>
      </c>
      <c r="E169" s="1">
        <v>5</v>
      </c>
      <c r="F169" s="1" t="s">
        <v>1170</v>
      </c>
      <c r="G169" s="32" t="s">
        <v>1171</v>
      </c>
      <c r="H169" s="32" t="s">
        <v>1172</v>
      </c>
      <c r="I169" s="32" t="s">
        <v>1173</v>
      </c>
      <c r="J169" s="32" t="s">
        <v>1174</v>
      </c>
      <c r="K169" s="32" t="s">
        <v>1175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1">
        <v>0</v>
      </c>
      <c r="Q169" s="8">
        <f>Q168+5</f>
        <v>169</v>
      </c>
      <c r="R169" s="8">
        <f>R168+6</f>
        <v>255</v>
      </c>
      <c r="S169" s="8">
        <v>99.99</v>
      </c>
      <c r="T169" s="25" t="s">
        <v>1176</v>
      </c>
      <c r="U169" s="25" t="s">
        <v>1176</v>
      </c>
      <c r="W169" s="1" t="s">
        <v>157</v>
      </c>
      <c r="X169" s="1">
        <v>0</v>
      </c>
    </row>
    <row r="170" hidden="1" customHeight="1" spans="3:24">
      <c r="C170" s="25" t="s">
        <v>1177</v>
      </c>
      <c r="D170" s="25" t="s">
        <v>1178</v>
      </c>
      <c r="E170" s="1">
        <v>5</v>
      </c>
      <c r="F170" s="1" t="s">
        <v>461</v>
      </c>
      <c r="G170" s="32" t="s">
        <v>1179</v>
      </c>
      <c r="H170" s="32" t="s">
        <v>1180</v>
      </c>
      <c r="I170" s="32" t="s">
        <v>1181</v>
      </c>
      <c r="J170" s="32" t="s">
        <v>1182</v>
      </c>
      <c r="K170" s="32" t="s">
        <v>1183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1">
        <v>0</v>
      </c>
      <c r="Q170" s="8">
        <f>Q169+5</f>
        <v>174</v>
      </c>
      <c r="R170" s="8">
        <f>R169+6</f>
        <v>261</v>
      </c>
      <c r="S170" s="8">
        <v>99.99</v>
      </c>
      <c r="T170" s="25" t="s">
        <v>1184</v>
      </c>
      <c r="U170" s="25" t="s">
        <v>1184</v>
      </c>
      <c r="W170" s="1" t="s">
        <v>157</v>
      </c>
      <c r="X170" s="1">
        <v>0</v>
      </c>
    </row>
    <row r="171" s="1" customFormat="1" hidden="1" customHeight="1" spans="1:26">
      <c r="A171" s="8"/>
      <c r="B171" s="8"/>
      <c r="C171" s="25" t="s">
        <v>1185</v>
      </c>
      <c r="D171" s="25" t="s">
        <v>1186</v>
      </c>
      <c r="E171" s="1">
        <v>5</v>
      </c>
      <c r="F171" s="1" t="s">
        <v>1187</v>
      </c>
      <c r="G171" s="32" t="s">
        <v>1188</v>
      </c>
      <c r="H171" s="32" t="s">
        <v>1189</v>
      </c>
      <c r="I171" s="32" t="s">
        <v>1190</v>
      </c>
      <c r="J171" s="32" t="s">
        <v>1191</v>
      </c>
      <c r="K171" s="32" t="s">
        <v>1192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1">
        <v>0</v>
      </c>
      <c r="Q171" s="8">
        <f t="shared" ref="Q171:Q175" si="60">Q170+6</f>
        <v>180</v>
      </c>
      <c r="R171" s="8">
        <f t="shared" ref="R171:R175" si="61">R170+7</f>
        <v>268</v>
      </c>
      <c r="S171" s="8">
        <v>99.99</v>
      </c>
      <c r="T171" s="25" t="s">
        <v>1193</v>
      </c>
      <c r="U171" s="25" t="s">
        <v>1193</v>
      </c>
      <c r="W171" s="1" t="s">
        <v>157</v>
      </c>
      <c r="X171" s="1">
        <v>0</v>
      </c>
      <c r="Y171" s="8"/>
      <c r="Z171" s="8"/>
    </row>
    <row r="172" s="1" customFormat="1" hidden="1" customHeight="1" spans="1:26">
      <c r="A172" s="8"/>
      <c r="B172" s="8"/>
      <c r="C172" s="25" t="s">
        <v>1194</v>
      </c>
      <c r="D172" s="25" t="s">
        <v>1195</v>
      </c>
      <c r="E172" s="1">
        <v>5</v>
      </c>
      <c r="F172" s="1" t="s">
        <v>1196</v>
      </c>
      <c r="G172" s="32" t="s">
        <v>1197</v>
      </c>
      <c r="H172" s="32" t="s">
        <v>1198</v>
      </c>
      <c r="I172" s="32" t="s">
        <v>1199</v>
      </c>
      <c r="J172" s="32" t="s">
        <v>1200</v>
      </c>
      <c r="K172" s="32" t="s">
        <v>1201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1">
        <v>0</v>
      </c>
      <c r="Q172" s="8">
        <f t="shared" si="60"/>
        <v>186</v>
      </c>
      <c r="R172" s="8">
        <f t="shared" si="61"/>
        <v>275</v>
      </c>
      <c r="S172" s="8">
        <v>99.99</v>
      </c>
      <c r="T172" s="25" t="s">
        <v>1202</v>
      </c>
      <c r="U172" s="25" t="s">
        <v>1202</v>
      </c>
      <c r="W172" s="1" t="s">
        <v>157</v>
      </c>
      <c r="X172" s="1">
        <v>0</v>
      </c>
      <c r="Y172" s="8"/>
      <c r="Z172" s="8"/>
    </row>
    <row r="173" s="1" customFormat="1" hidden="1" customHeight="1" spans="1:26">
      <c r="A173" s="8"/>
      <c r="B173" s="8"/>
      <c r="C173" s="25" t="s">
        <v>1203</v>
      </c>
      <c r="D173" s="25" t="s">
        <v>1204</v>
      </c>
      <c r="E173" s="1">
        <v>5</v>
      </c>
      <c r="F173" s="1" t="s">
        <v>1205</v>
      </c>
      <c r="G173" s="32" t="s">
        <v>1206</v>
      </c>
      <c r="H173" s="32" t="s">
        <v>1207</v>
      </c>
      <c r="I173" s="32" t="s">
        <v>1208</v>
      </c>
      <c r="J173" s="32" t="s">
        <v>1209</v>
      </c>
      <c r="K173" s="32" t="s">
        <v>1210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1">
        <v>0</v>
      </c>
      <c r="Q173" s="8">
        <f t="shared" si="60"/>
        <v>192</v>
      </c>
      <c r="R173" s="8">
        <f t="shared" si="61"/>
        <v>282</v>
      </c>
      <c r="S173" s="8">
        <v>99.99</v>
      </c>
      <c r="T173" s="25" t="s">
        <v>1211</v>
      </c>
      <c r="U173" s="25" t="s">
        <v>1211</v>
      </c>
      <c r="W173" s="1" t="s">
        <v>157</v>
      </c>
      <c r="X173" s="1">
        <v>0</v>
      </c>
      <c r="Y173" s="8"/>
      <c r="Z173" s="8"/>
    </row>
    <row r="174" s="1" customFormat="1" hidden="1" customHeight="1" spans="1:26">
      <c r="A174" s="8"/>
      <c r="B174" s="8"/>
      <c r="C174" s="25" t="s">
        <v>1212</v>
      </c>
      <c r="D174" s="25" t="s">
        <v>1213</v>
      </c>
      <c r="E174" s="1">
        <v>5</v>
      </c>
      <c r="F174" s="1" t="s">
        <v>1214</v>
      </c>
      <c r="G174" s="32" t="s">
        <v>1215</v>
      </c>
      <c r="H174" s="32" t="s">
        <v>1216</v>
      </c>
      <c r="I174" s="32" t="s">
        <v>1217</v>
      </c>
      <c r="J174" s="32" t="s">
        <v>1218</v>
      </c>
      <c r="K174" s="32" t="s">
        <v>1219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1">
        <v>0</v>
      </c>
      <c r="Q174" s="8">
        <f t="shared" si="60"/>
        <v>198</v>
      </c>
      <c r="R174" s="8">
        <f t="shared" si="61"/>
        <v>289</v>
      </c>
      <c r="S174" s="8">
        <v>99.99</v>
      </c>
      <c r="T174" s="25" t="s">
        <v>1220</v>
      </c>
      <c r="U174" s="25" t="s">
        <v>1220</v>
      </c>
      <c r="W174" s="1" t="s">
        <v>157</v>
      </c>
      <c r="X174" s="1">
        <v>0</v>
      </c>
      <c r="Y174" s="8"/>
      <c r="Z174" s="8"/>
    </row>
    <row r="175" s="1" customFormat="1" customHeight="1" spans="1:26">
      <c r="A175" s="8"/>
      <c r="B175" s="8"/>
      <c r="C175" s="25" t="s">
        <v>1221</v>
      </c>
      <c r="D175" s="25" t="s">
        <v>1222</v>
      </c>
      <c r="E175" s="1">
        <v>5</v>
      </c>
      <c r="F175" s="1" t="s">
        <v>1223</v>
      </c>
      <c r="G175" s="32" t="s">
        <v>1224</v>
      </c>
      <c r="H175" s="32" t="s">
        <v>1225</v>
      </c>
      <c r="I175" s="32" t="s">
        <v>1226</v>
      </c>
      <c r="J175" s="32" t="s">
        <v>1227</v>
      </c>
      <c r="K175" s="32" t="s">
        <v>1228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1">
        <v>0</v>
      </c>
      <c r="Q175" s="8">
        <f t="shared" si="60"/>
        <v>204</v>
      </c>
      <c r="R175" s="8">
        <f t="shared" si="61"/>
        <v>296</v>
      </c>
      <c r="S175" s="8">
        <v>99.99</v>
      </c>
      <c r="T175" s="25" t="s">
        <v>1229</v>
      </c>
      <c r="U175" s="25" t="s">
        <v>1229</v>
      </c>
      <c r="W175" s="1" t="s">
        <v>157</v>
      </c>
      <c r="X175" s="1">
        <v>0</v>
      </c>
      <c r="Y175" s="8"/>
      <c r="Z175" s="8"/>
    </row>
    <row r="176" s="1" customFormat="1" customHeight="1" spans="1:26">
      <c r="A176" s="8"/>
      <c r="B176" s="8"/>
      <c r="C176" s="25" t="s">
        <v>1230</v>
      </c>
      <c r="D176" s="25" t="s">
        <v>1231</v>
      </c>
      <c r="E176" s="1">
        <v>5</v>
      </c>
      <c r="F176" s="1" t="s">
        <v>1232</v>
      </c>
      <c r="G176" s="32" t="s">
        <v>1233</v>
      </c>
      <c r="H176" s="32" t="s">
        <v>1234</v>
      </c>
      <c r="I176" s="32" t="s">
        <v>1235</v>
      </c>
      <c r="J176" s="32" t="s">
        <v>1236</v>
      </c>
      <c r="K176" s="32" t="s">
        <v>1237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1">
        <v>0</v>
      </c>
      <c r="Q176" s="8">
        <f t="shared" ref="Q176:Q180" si="64">Q175+7</f>
        <v>211</v>
      </c>
      <c r="R176" s="8">
        <f t="shared" ref="R176:R185" si="65">R175+8</f>
        <v>304</v>
      </c>
      <c r="S176" s="8">
        <v>99.99</v>
      </c>
      <c r="T176" s="25" t="s">
        <v>1238</v>
      </c>
      <c r="U176" s="25" t="s">
        <v>1238</v>
      </c>
      <c r="W176" s="1" t="s">
        <v>157</v>
      </c>
      <c r="X176" s="1">
        <v>0</v>
      </c>
      <c r="Y176" s="8"/>
      <c r="Z176" s="8"/>
    </row>
    <row r="177" s="1" customFormat="1" customHeight="1" spans="1:26">
      <c r="A177" s="8"/>
      <c r="B177" s="8"/>
      <c r="C177" s="25" t="s">
        <v>1239</v>
      </c>
      <c r="D177" s="25" t="s">
        <v>1240</v>
      </c>
      <c r="E177" s="1">
        <v>5</v>
      </c>
      <c r="F177" s="1" t="s">
        <v>1241</v>
      </c>
      <c r="G177" s="32" t="s">
        <v>1242</v>
      </c>
      <c r="H177" s="32" t="s">
        <v>1243</v>
      </c>
      <c r="I177" s="32" t="s">
        <v>1244</v>
      </c>
      <c r="J177" s="32" t="s">
        <v>1245</v>
      </c>
      <c r="K177" s="32" t="s">
        <v>1246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1">
        <v>0</v>
      </c>
      <c r="Q177" s="8">
        <f t="shared" si="64"/>
        <v>218</v>
      </c>
      <c r="R177" s="8">
        <f t="shared" si="65"/>
        <v>312</v>
      </c>
      <c r="S177" s="8">
        <v>99.99</v>
      </c>
      <c r="T177" s="25" t="s">
        <v>1247</v>
      </c>
      <c r="U177" s="25" t="s">
        <v>1247</v>
      </c>
      <c r="W177" s="1" t="s">
        <v>157</v>
      </c>
      <c r="X177" s="1">
        <v>0</v>
      </c>
      <c r="Y177" s="8"/>
      <c r="Z177" s="8"/>
    </row>
    <row r="178" s="1" customFormat="1" customHeight="1" spans="1:26">
      <c r="A178" s="8"/>
      <c r="B178" s="8"/>
      <c r="C178" s="25" t="s">
        <v>1248</v>
      </c>
      <c r="D178" s="25" t="s">
        <v>1249</v>
      </c>
      <c r="E178" s="1">
        <v>5</v>
      </c>
      <c r="F178" s="1" t="s">
        <v>1250</v>
      </c>
      <c r="G178" s="32" t="s">
        <v>1251</v>
      </c>
      <c r="H178" s="32" t="s">
        <v>1252</v>
      </c>
      <c r="I178" s="32" t="s">
        <v>1253</v>
      </c>
      <c r="J178" s="32" t="s">
        <v>1254</v>
      </c>
      <c r="K178" s="32" t="s">
        <v>1255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1">
        <v>0</v>
      </c>
      <c r="Q178" s="8">
        <f t="shared" si="64"/>
        <v>225</v>
      </c>
      <c r="R178" s="8">
        <f t="shared" si="65"/>
        <v>320</v>
      </c>
      <c r="S178" s="8">
        <v>99.99</v>
      </c>
      <c r="T178" s="25" t="s">
        <v>1256</v>
      </c>
      <c r="U178" s="25" t="s">
        <v>1256</v>
      </c>
      <c r="W178" s="1" t="s">
        <v>157</v>
      </c>
      <c r="X178" s="1">
        <v>0</v>
      </c>
      <c r="Y178" s="8"/>
      <c r="Z178" s="8"/>
    </row>
    <row r="179" s="1" customFormat="1" customHeight="1" spans="1:26">
      <c r="A179" s="8"/>
      <c r="B179" s="8"/>
      <c r="C179" s="25" t="s">
        <v>1257</v>
      </c>
      <c r="D179" s="25" t="s">
        <v>1258</v>
      </c>
      <c r="E179" s="1">
        <v>5</v>
      </c>
      <c r="F179" s="1" t="s">
        <v>1259</v>
      </c>
      <c r="G179" s="32" t="s">
        <v>1260</v>
      </c>
      <c r="H179" s="32" t="s">
        <v>1261</v>
      </c>
      <c r="I179" s="32" t="s">
        <v>1262</v>
      </c>
      <c r="J179" s="32" t="s">
        <v>1263</v>
      </c>
      <c r="K179" s="32" t="s">
        <v>1264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1">
        <v>0</v>
      </c>
      <c r="Q179" s="8">
        <f t="shared" si="64"/>
        <v>232</v>
      </c>
      <c r="R179" s="8">
        <f t="shared" si="65"/>
        <v>328</v>
      </c>
      <c r="S179" s="8">
        <v>99.99</v>
      </c>
      <c r="T179" s="25" t="s">
        <v>1265</v>
      </c>
      <c r="U179" s="25" t="s">
        <v>1265</v>
      </c>
      <c r="W179" s="1" t="s">
        <v>157</v>
      </c>
      <c r="X179" s="1">
        <v>0</v>
      </c>
      <c r="Y179" s="8"/>
      <c r="Z179" s="8"/>
    </row>
    <row r="180" s="1" customFormat="1" customHeight="1" spans="1:26">
      <c r="A180" s="8"/>
      <c r="B180" s="8"/>
      <c r="C180" s="25" t="s">
        <v>1266</v>
      </c>
      <c r="D180" s="25" t="s">
        <v>1267</v>
      </c>
      <c r="E180" s="1">
        <v>5</v>
      </c>
      <c r="F180" s="1" t="s">
        <v>1268</v>
      </c>
      <c r="G180" s="32" t="s">
        <v>1269</v>
      </c>
      <c r="H180" s="32" t="s">
        <v>1270</v>
      </c>
      <c r="I180" s="32" t="s">
        <v>1271</v>
      </c>
      <c r="J180" s="32" t="s">
        <v>1272</v>
      </c>
      <c r="K180" s="32" t="s">
        <v>1273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1">
        <v>0</v>
      </c>
      <c r="Q180" s="8">
        <f t="shared" si="64"/>
        <v>239</v>
      </c>
      <c r="R180" s="8">
        <f t="shared" si="65"/>
        <v>336</v>
      </c>
      <c r="S180" s="8">
        <v>99.99</v>
      </c>
      <c r="T180" s="25" t="s">
        <v>1274</v>
      </c>
      <c r="U180" s="25" t="s">
        <v>1274</v>
      </c>
      <c r="W180" s="1" t="s">
        <v>157</v>
      </c>
      <c r="X180" s="1">
        <v>0</v>
      </c>
      <c r="Y180" s="8"/>
      <c r="Z180" s="8"/>
    </row>
    <row r="181" s="3" customFormat="1" customHeight="1" spans="1:24">
      <c r="A181" s="16"/>
      <c r="B181" s="16"/>
      <c r="C181" s="31" t="s">
        <v>1275</v>
      </c>
      <c r="D181" s="31" t="s">
        <v>1276</v>
      </c>
      <c r="E181" s="3">
        <v>6</v>
      </c>
      <c r="F181" s="3" t="s">
        <v>1277</v>
      </c>
      <c r="G181" s="35" t="s">
        <v>1278</v>
      </c>
      <c r="H181" s="35" t="s">
        <v>1279</v>
      </c>
      <c r="I181" s="35" t="s">
        <v>1280</v>
      </c>
      <c r="J181" s="35" t="s">
        <v>1281</v>
      </c>
      <c r="K181" s="35" t="s">
        <v>1282</v>
      </c>
      <c r="L181" s="3">
        <v>43000</v>
      </c>
      <c r="M181" s="3">
        <v>43000</v>
      </c>
      <c r="N181" s="3">
        <v>22000</v>
      </c>
      <c r="O181" s="3">
        <v>22000</v>
      </c>
      <c r="P181" s="3">
        <v>100</v>
      </c>
      <c r="Q181" s="16">
        <f t="shared" ref="Q181:Q185" si="66">Q180+9</f>
        <v>248</v>
      </c>
      <c r="R181" s="16">
        <f t="shared" ref="R181:R185" si="67">R180+10</f>
        <v>346</v>
      </c>
      <c r="S181" s="16">
        <v>99.99</v>
      </c>
      <c r="T181" s="31" t="s">
        <v>1283</v>
      </c>
      <c r="U181" s="31" t="s">
        <v>1283</v>
      </c>
      <c r="W181" s="3" t="s">
        <v>157</v>
      </c>
      <c r="X181" s="3">
        <v>0</v>
      </c>
    </row>
    <row r="182" s="5" customFormat="1" customHeight="1" spans="1:24">
      <c r="A182" s="12"/>
      <c r="B182" s="12"/>
      <c r="C182" s="36" t="s">
        <v>1284</v>
      </c>
      <c r="D182" s="36" t="s">
        <v>1285</v>
      </c>
      <c r="E182" s="5">
        <v>6</v>
      </c>
      <c r="F182" s="5" t="s">
        <v>1286</v>
      </c>
      <c r="G182" s="32" t="s">
        <v>1287</v>
      </c>
      <c r="H182" s="32" t="s">
        <v>1288</v>
      </c>
      <c r="I182" s="32" t="s">
        <v>1289</v>
      </c>
      <c r="J182" s="32" t="s">
        <v>1290</v>
      </c>
      <c r="K182" s="32" t="s">
        <v>1291</v>
      </c>
      <c r="L182" s="5">
        <f t="shared" ref="L182:L185" si="68">L181+1000</f>
        <v>44000</v>
      </c>
      <c r="M182" s="5">
        <f t="shared" ref="M182:M185" si="69">M181+1000</f>
        <v>44000</v>
      </c>
      <c r="N182" s="5">
        <f t="shared" ref="N182:N185" si="70">N181+500</f>
        <v>22500</v>
      </c>
      <c r="O182" s="5">
        <f t="shared" ref="O182:O185" si="71">O181+500</f>
        <v>22500</v>
      </c>
      <c r="P182" s="5">
        <f t="shared" ref="P182:P215" si="72">P181+5</f>
        <v>105</v>
      </c>
      <c r="Q182" s="24">
        <f t="shared" si="66"/>
        <v>257</v>
      </c>
      <c r="R182" s="8">
        <f t="shared" si="67"/>
        <v>356</v>
      </c>
      <c r="S182" s="12">
        <v>99.99</v>
      </c>
      <c r="T182" s="36" t="s">
        <v>1292</v>
      </c>
      <c r="U182" s="36" t="s">
        <v>1292</v>
      </c>
      <c r="W182" s="5" t="s">
        <v>157</v>
      </c>
      <c r="X182" s="5">
        <v>0</v>
      </c>
    </row>
    <row r="183" s="1" customFormat="1" customHeight="1" spans="1:24">
      <c r="A183" s="8"/>
      <c r="B183" s="8"/>
      <c r="C183" s="25" t="s">
        <v>1293</v>
      </c>
      <c r="D183" s="25" t="s">
        <v>1294</v>
      </c>
      <c r="E183" s="1">
        <v>6</v>
      </c>
      <c r="F183" s="1" t="s">
        <v>1295</v>
      </c>
      <c r="G183" s="32" t="s">
        <v>1296</v>
      </c>
      <c r="H183" s="32" t="s">
        <v>1297</v>
      </c>
      <c r="I183" s="32" t="s">
        <v>1298</v>
      </c>
      <c r="J183" s="32" t="s">
        <v>1299</v>
      </c>
      <c r="K183" s="32" t="s">
        <v>1300</v>
      </c>
      <c r="L183" s="5">
        <f t="shared" si="68"/>
        <v>45000</v>
      </c>
      <c r="M183" s="5">
        <f t="shared" si="69"/>
        <v>45000</v>
      </c>
      <c r="N183" s="5">
        <f t="shared" si="70"/>
        <v>23000</v>
      </c>
      <c r="O183" s="5">
        <f t="shared" si="71"/>
        <v>23000</v>
      </c>
      <c r="P183" s="1">
        <f t="shared" si="72"/>
        <v>110</v>
      </c>
      <c r="Q183" s="24">
        <f t="shared" si="66"/>
        <v>266</v>
      </c>
      <c r="R183" s="8">
        <f t="shared" si="67"/>
        <v>366</v>
      </c>
      <c r="S183" s="8">
        <v>99.99</v>
      </c>
      <c r="T183" s="36" t="s">
        <v>512</v>
      </c>
      <c r="U183" s="36" t="s">
        <v>512</v>
      </c>
      <c r="W183" s="1" t="s">
        <v>157</v>
      </c>
      <c r="X183" s="1">
        <v>0</v>
      </c>
    </row>
    <row r="184" s="1" customFormat="1" customHeight="1" spans="1:24">
      <c r="A184" s="8"/>
      <c r="B184" s="8"/>
      <c r="C184" s="25" t="s">
        <v>1301</v>
      </c>
      <c r="D184" s="25" t="s">
        <v>1302</v>
      </c>
      <c r="E184" s="1">
        <v>6</v>
      </c>
      <c r="F184" s="1" t="s">
        <v>1303</v>
      </c>
      <c r="G184" s="32" t="s">
        <v>1304</v>
      </c>
      <c r="H184" s="32" t="s">
        <v>1305</v>
      </c>
      <c r="I184" s="32" t="s">
        <v>1306</v>
      </c>
      <c r="J184" s="32" t="s">
        <v>1307</v>
      </c>
      <c r="K184" s="32" t="s">
        <v>1278</v>
      </c>
      <c r="L184" s="5">
        <f t="shared" si="68"/>
        <v>46000</v>
      </c>
      <c r="M184" s="5">
        <f t="shared" si="69"/>
        <v>46000</v>
      </c>
      <c r="N184" s="5">
        <f t="shared" si="70"/>
        <v>23500</v>
      </c>
      <c r="O184" s="5">
        <f t="shared" si="71"/>
        <v>23500</v>
      </c>
      <c r="P184" s="1">
        <f t="shared" si="72"/>
        <v>115</v>
      </c>
      <c r="Q184" s="24">
        <f t="shared" si="66"/>
        <v>275</v>
      </c>
      <c r="R184" s="8">
        <f t="shared" si="67"/>
        <v>376</v>
      </c>
      <c r="S184" s="8">
        <v>99.99</v>
      </c>
      <c r="T184" s="36" t="s">
        <v>1308</v>
      </c>
      <c r="U184" s="36" t="s">
        <v>1308</v>
      </c>
      <c r="W184" s="1" t="s">
        <v>157</v>
      </c>
      <c r="X184" s="1">
        <v>0</v>
      </c>
    </row>
    <row r="185" s="1" customFormat="1" customHeight="1" spans="1:24">
      <c r="A185" s="8"/>
      <c r="B185" s="8"/>
      <c r="C185" s="25" t="s">
        <v>1309</v>
      </c>
      <c r="D185" s="25" t="s">
        <v>1310</v>
      </c>
      <c r="E185" s="1">
        <v>6</v>
      </c>
      <c r="F185" s="1" t="s">
        <v>1311</v>
      </c>
      <c r="G185" s="32" t="s">
        <v>1312</v>
      </c>
      <c r="H185" s="32" t="s">
        <v>1313</v>
      </c>
      <c r="I185" s="32" t="s">
        <v>1314</v>
      </c>
      <c r="J185" s="32" t="s">
        <v>1315</v>
      </c>
      <c r="K185" s="32" t="s">
        <v>1287</v>
      </c>
      <c r="L185" s="5">
        <f t="shared" si="68"/>
        <v>47000</v>
      </c>
      <c r="M185" s="5">
        <f t="shared" si="69"/>
        <v>47000</v>
      </c>
      <c r="N185" s="5">
        <f t="shared" si="70"/>
        <v>24000</v>
      </c>
      <c r="O185" s="5">
        <f t="shared" si="71"/>
        <v>24000</v>
      </c>
      <c r="P185" s="1">
        <f t="shared" si="72"/>
        <v>120</v>
      </c>
      <c r="Q185" s="24">
        <f t="shared" si="66"/>
        <v>284</v>
      </c>
      <c r="R185" s="8">
        <f t="shared" si="67"/>
        <v>386</v>
      </c>
      <c r="S185" s="8">
        <v>99.99</v>
      </c>
      <c r="T185" s="36" t="s">
        <v>1316</v>
      </c>
      <c r="U185" s="36" t="s">
        <v>1316</v>
      </c>
      <c r="W185" s="1" t="s">
        <v>157</v>
      </c>
      <c r="X185" s="1">
        <v>0</v>
      </c>
    </row>
    <row r="186" s="6" customFormat="1" customHeight="1" spans="1:26">
      <c r="A186" s="7" t="s">
        <v>1317</v>
      </c>
      <c r="B186" s="7" t="s">
        <v>1317</v>
      </c>
      <c r="C186" s="37" t="s">
        <v>1318</v>
      </c>
      <c r="D186" s="37" t="s">
        <v>1319</v>
      </c>
      <c r="E186" s="6">
        <v>6</v>
      </c>
      <c r="F186" s="6" t="s">
        <v>1320</v>
      </c>
      <c r="G186" s="38" t="s">
        <v>1321</v>
      </c>
      <c r="H186" s="38" t="s">
        <v>1322</v>
      </c>
      <c r="I186" s="38" t="s">
        <v>1323</v>
      </c>
      <c r="J186" s="38" t="s">
        <v>1324</v>
      </c>
      <c r="K186" s="38" t="s">
        <v>1325</v>
      </c>
      <c r="L186" s="6">
        <f t="shared" si="50"/>
        <v>47600</v>
      </c>
      <c r="M186" s="6">
        <f t="shared" si="51"/>
        <v>47600</v>
      </c>
      <c r="N186" s="6">
        <f t="shared" ref="N181:N200" si="73">N185+250</f>
        <v>24250</v>
      </c>
      <c r="O186" s="6">
        <f t="shared" ref="O181:O200" si="74">O185+250</f>
        <v>24250</v>
      </c>
      <c r="P186" s="6">
        <f t="shared" si="72"/>
        <v>125</v>
      </c>
      <c r="Q186" s="7">
        <f t="shared" ref="Q181:Q195" si="75">Q185+3</f>
        <v>287</v>
      </c>
      <c r="R186" s="7">
        <f t="shared" ref="R182:R195" si="76">R185+4</f>
        <v>390</v>
      </c>
      <c r="S186" s="7">
        <v>99.99</v>
      </c>
      <c r="T186" s="37" t="s">
        <v>1274</v>
      </c>
      <c r="U186" s="37" t="s">
        <v>1274</v>
      </c>
      <c r="W186" s="6" t="s">
        <v>157</v>
      </c>
      <c r="X186" s="6">
        <v>0</v>
      </c>
      <c r="Y186" s="7"/>
      <c r="Z186" s="7"/>
    </row>
    <row r="187" s="6" customFormat="1" customHeight="1" spans="1:26">
      <c r="A187" s="7" t="s">
        <v>1317</v>
      </c>
      <c r="B187" s="7" t="s">
        <v>1317</v>
      </c>
      <c r="C187" s="37" t="s">
        <v>1326</v>
      </c>
      <c r="D187" s="37" t="s">
        <v>1327</v>
      </c>
      <c r="E187" s="6">
        <v>6</v>
      </c>
      <c r="F187" s="6" t="s">
        <v>1328</v>
      </c>
      <c r="G187" s="38" t="s">
        <v>1329</v>
      </c>
      <c r="H187" s="38" t="s">
        <v>1330</v>
      </c>
      <c r="I187" s="38" t="s">
        <v>1331</v>
      </c>
      <c r="J187" s="38" t="s">
        <v>1332</v>
      </c>
      <c r="K187" s="38" t="s">
        <v>1333</v>
      </c>
      <c r="L187" s="6">
        <f t="shared" si="50"/>
        <v>48200</v>
      </c>
      <c r="M187" s="6">
        <f t="shared" si="51"/>
        <v>48200</v>
      </c>
      <c r="N187" s="6">
        <f t="shared" si="73"/>
        <v>24500</v>
      </c>
      <c r="O187" s="6">
        <f t="shared" si="74"/>
        <v>24500</v>
      </c>
      <c r="P187" s="6">
        <f t="shared" si="72"/>
        <v>130</v>
      </c>
      <c r="Q187" s="7">
        <f t="shared" si="75"/>
        <v>290</v>
      </c>
      <c r="R187" s="7">
        <f t="shared" si="76"/>
        <v>394</v>
      </c>
      <c r="S187" s="7">
        <v>99.99</v>
      </c>
      <c r="T187" s="37" t="s">
        <v>1274</v>
      </c>
      <c r="U187" s="37" t="s">
        <v>1274</v>
      </c>
      <c r="W187" s="6" t="s">
        <v>157</v>
      </c>
      <c r="X187" s="6">
        <v>0</v>
      </c>
      <c r="Y187" s="7"/>
      <c r="Z187" s="7"/>
    </row>
    <row r="188" s="6" customFormat="1" customHeight="1" spans="1:26">
      <c r="A188" s="7" t="s">
        <v>1317</v>
      </c>
      <c r="B188" s="7" t="s">
        <v>1317</v>
      </c>
      <c r="C188" s="37" t="s">
        <v>1334</v>
      </c>
      <c r="D188" s="37" t="s">
        <v>1335</v>
      </c>
      <c r="E188" s="6">
        <v>6</v>
      </c>
      <c r="F188" s="6" t="s">
        <v>1336</v>
      </c>
      <c r="G188" s="38" t="s">
        <v>1337</v>
      </c>
      <c r="H188" s="38" t="s">
        <v>1338</v>
      </c>
      <c r="I188" s="38" t="s">
        <v>1339</v>
      </c>
      <c r="J188" s="38" t="s">
        <v>1340</v>
      </c>
      <c r="K188" s="38" t="s">
        <v>1341</v>
      </c>
      <c r="L188" s="6">
        <f t="shared" si="50"/>
        <v>48800</v>
      </c>
      <c r="M188" s="6">
        <f t="shared" si="51"/>
        <v>48800</v>
      </c>
      <c r="N188" s="6">
        <f t="shared" si="73"/>
        <v>24750</v>
      </c>
      <c r="O188" s="6">
        <f t="shared" si="74"/>
        <v>24750</v>
      </c>
      <c r="P188" s="6">
        <f t="shared" si="72"/>
        <v>135</v>
      </c>
      <c r="Q188" s="7">
        <f t="shared" si="75"/>
        <v>293</v>
      </c>
      <c r="R188" s="7">
        <f t="shared" si="76"/>
        <v>398</v>
      </c>
      <c r="S188" s="7">
        <v>99.99</v>
      </c>
      <c r="T188" s="37" t="s">
        <v>1274</v>
      </c>
      <c r="U188" s="37" t="s">
        <v>1274</v>
      </c>
      <c r="W188" s="6" t="s">
        <v>157</v>
      </c>
      <c r="X188" s="6">
        <v>0</v>
      </c>
      <c r="Y188" s="7"/>
      <c r="Z188" s="7"/>
    </row>
    <row r="189" s="6" customFormat="1" customHeight="1" spans="1:26">
      <c r="A189" s="7" t="s">
        <v>1317</v>
      </c>
      <c r="B189" s="7" t="s">
        <v>1317</v>
      </c>
      <c r="C189" s="37" t="s">
        <v>1342</v>
      </c>
      <c r="D189" s="37" t="s">
        <v>1343</v>
      </c>
      <c r="E189" s="6">
        <v>6</v>
      </c>
      <c r="F189" s="6" t="s">
        <v>1344</v>
      </c>
      <c r="G189" s="38" t="s">
        <v>1136</v>
      </c>
      <c r="H189" s="38" t="s">
        <v>1345</v>
      </c>
      <c r="I189" s="38" t="s">
        <v>1346</v>
      </c>
      <c r="J189" s="38" t="s">
        <v>1347</v>
      </c>
      <c r="K189" s="38" t="s">
        <v>1348</v>
      </c>
      <c r="L189" s="6">
        <f t="shared" si="50"/>
        <v>49400</v>
      </c>
      <c r="M189" s="6">
        <f t="shared" si="51"/>
        <v>49400</v>
      </c>
      <c r="N189" s="6">
        <f t="shared" si="73"/>
        <v>25000</v>
      </c>
      <c r="O189" s="6">
        <f t="shared" si="74"/>
        <v>25000</v>
      </c>
      <c r="P189" s="6">
        <f t="shared" si="72"/>
        <v>140</v>
      </c>
      <c r="Q189" s="7">
        <f t="shared" si="75"/>
        <v>296</v>
      </c>
      <c r="R189" s="7">
        <f t="shared" si="76"/>
        <v>402</v>
      </c>
      <c r="S189" s="7">
        <v>99.99</v>
      </c>
      <c r="T189" s="37" t="s">
        <v>1274</v>
      </c>
      <c r="U189" s="37" t="s">
        <v>1274</v>
      </c>
      <c r="W189" s="6" t="s">
        <v>157</v>
      </c>
      <c r="X189" s="6">
        <v>0</v>
      </c>
      <c r="Y189" s="7"/>
      <c r="Z189" s="7"/>
    </row>
    <row r="190" s="6" customFormat="1" customHeight="1" spans="1:26">
      <c r="A190" s="7" t="s">
        <v>1317</v>
      </c>
      <c r="B190" s="7" t="s">
        <v>1317</v>
      </c>
      <c r="C190" s="37" t="s">
        <v>1349</v>
      </c>
      <c r="D190" s="37" t="s">
        <v>1350</v>
      </c>
      <c r="E190" s="6">
        <v>6</v>
      </c>
      <c r="F190" s="6" t="s">
        <v>1351</v>
      </c>
      <c r="G190" s="38" t="s">
        <v>1145</v>
      </c>
      <c r="H190" s="38" t="s">
        <v>1352</v>
      </c>
      <c r="I190" s="38" t="s">
        <v>1353</v>
      </c>
      <c r="J190" s="38" t="s">
        <v>1354</v>
      </c>
      <c r="K190" s="38" t="s">
        <v>1355</v>
      </c>
      <c r="L190" s="6">
        <f t="shared" si="50"/>
        <v>50000</v>
      </c>
      <c r="M190" s="6">
        <f t="shared" si="51"/>
        <v>50000</v>
      </c>
      <c r="N190" s="6">
        <f t="shared" si="73"/>
        <v>25250</v>
      </c>
      <c r="O190" s="6">
        <f t="shared" si="74"/>
        <v>25250</v>
      </c>
      <c r="P190" s="6">
        <f t="shared" si="72"/>
        <v>145</v>
      </c>
      <c r="Q190" s="7">
        <f t="shared" si="75"/>
        <v>299</v>
      </c>
      <c r="R190" s="7">
        <f t="shared" si="76"/>
        <v>406</v>
      </c>
      <c r="S190" s="7">
        <v>99.99</v>
      </c>
      <c r="T190" s="37" t="s">
        <v>1274</v>
      </c>
      <c r="U190" s="37" t="s">
        <v>1274</v>
      </c>
      <c r="W190" s="6" t="s">
        <v>157</v>
      </c>
      <c r="X190" s="6">
        <v>0</v>
      </c>
      <c r="Y190" s="7"/>
      <c r="Z190" s="7"/>
    </row>
    <row r="191" s="6" customFormat="1" customHeight="1" spans="1:26">
      <c r="A191" s="7" t="s">
        <v>1317</v>
      </c>
      <c r="B191" s="7" t="s">
        <v>1317</v>
      </c>
      <c r="C191" s="37" t="s">
        <v>1356</v>
      </c>
      <c r="D191" s="37" t="s">
        <v>1357</v>
      </c>
      <c r="E191" s="6">
        <v>6</v>
      </c>
      <c r="F191" s="6" t="s">
        <v>1358</v>
      </c>
      <c r="G191" s="38" t="s">
        <v>1154</v>
      </c>
      <c r="H191" s="38" t="s">
        <v>1359</v>
      </c>
      <c r="I191" s="38" t="s">
        <v>1360</v>
      </c>
      <c r="J191" s="38" t="s">
        <v>1361</v>
      </c>
      <c r="K191" s="38" t="s">
        <v>1362</v>
      </c>
      <c r="L191" s="6">
        <f t="shared" si="50"/>
        <v>50600</v>
      </c>
      <c r="M191" s="6">
        <f t="shared" si="51"/>
        <v>50600</v>
      </c>
      <c r="N191" s="6">
        <f t="shared" si="73"/>
        <v>25500</v>
      </c>
      <c r="O191" s="6">
        <f t="shared" si="74"/>
        <v>25500</v>
      </c>
      <c r="P191" s="6">
        <f t="shared" si="72"/>
        <v>150</v>
      </c>
      <c r="Q191" s="7">
        <f t="shared" si="75"/>
        <v>302</v>
      </c>
      <c r="R191" s="7">
        <f t="shared" si="76"/>
        <v>410</v>
      </c>
      <c r="S191" s="7">
        <v>99.99</v>
      </c>
      <c r="T191" s="37" t="s">
        <v>1274</v>
      </c>
      <c r="U191" s="37" t="s">
        <v>1274</v>
      </c>
      <c r="W191" s="6" t="s">
        <v>157</v>
      </c>
      <c r="X191" s="6">
        <v>0</v>
      </c>
      <c r="Y191" s="7"/>
      <c r="Z191" s="7"/>
    </row>
    <row r="192" s="6" customFormat="1" customHeight="1" spans="1:26">
      <c r="A192" s="7" t="s">
        <v>1317</v>
      </c>
      <c r="B192" s="7" t="s">
        <v>1317</v>
      </c>
      <c r="C192" s="37" t="s">
        <v>1363</v>
      </c>
      <c r="D192" s="37" t="s">
        <v>1364</v>
      </c>
      <c r="E192" s="6">
        <v>6</v>
      </c>
      <c r="F192" s="6" t="s">
        <v>1365</v>
      </c>
      <c r="G192" s="38" t="s">
        <v>1163</v>
      </c>
      <c r="H192" s="38" t="s">
        <v>1366</v>
      </c>
      <c r="I192" s="38" t="s">
        <v>1367</v>
      </c>
      <c r="J192" s="38" t="s">
        <v>1368</v>
      </c>
      <c r="K192" s="38" t="s">
        <v>1369</v>
      </c>
      <c r="L192" s="6">
        <f t="shared" si="50"/>
        <v>51200</v>
      </c>
      <c r="M192" s="6">
        <f t="shared" si="51"/>
        <v>51200</v>
      </c>
      <c r="N192" s="6">
        <f t="shared" si="73"/>
        <v>25750</v>
      </c>
      <c r="O192" s="6">
        <f t="shared" si="74"/>
        <v>25750</v>
      </c>
      <c r="P192" s="6">
        <f t="shared" si="72"/>
        <v>155</v>
      </c>
      <c r="Q192" s="7">
        <f t="shared" si="75"/>
        <v>305</v>
      </c>
      <c r="R192" s="7">
        <f t="shared" si="76"/>
        <v>414</v>
      </c>
      <c r="S192" s="7">
        <v>99.99</v>
      </c>
      <c r="T192" s="37" t="s">
        <v>1274</v>
      </c>
      <c r="U192" s="37" t="s">
        <v>1274</v>
      </c>
      <c r="W192" s="6" t="s">
        <v>157</v>
      </c>
      <c r="X192" s="6">
        <v>0</v>
      </c>
      <c r="Y192" s="7"/>
      <c r="Z192" s="7"/>
    </row>
    <row r="193" s="6" customFormat="1" customHeight="1" spans="1:26">
      <c r="A193" s="7" t="s">
        <v>1317</v>
      </c>
      <c r="B193" s="7" t="s">
        <v>1317</v>
      </c>
      <c r="C193" s="37" t="s">
        <v>1370</v>
      </c>
      <c r="D193" s="37" t="s">
        <v>1371</v>
      </c>
      <c r="E193" s="6">
        <v>6</v>
      </c>
      <c r="F193" s="6" t="s">
        <v>1372</v>
      </c>
      <c r="G193" s="38" t="s">
        <v>1172</v>
      </c>
      <c r="H193" s="38" t="s">
        <v>1373</v>
      </c>
      <c r="I193" s="38" t="s">
        <v>1374</v>
      </c>
      <c r="J193" s="38" t="s">
        <v>1375</v>
      </c>
      <c r="K193" s="38" t="s">
        <v>1376</v>
      </c>
      <c r="L193" s="6">
        <f t="shared" si="50"/>
        <v>51800</v>
      </c>
      <c r="M193" s="6">
        <f t="shared" si="51"/>
        <v>51800</v>
      </c>
      <c r="N193" s="6">
        <f t="shared" si="73"/>
        <v>26000</v>
      </c>
      <c r="O193" s="6">
        <f t="shared" si="74"/>
        <v>26000</v>
      </c>
      <c r="P193" s="6">
        <f t="shared" si="72"/>
        <v>160</v>
      </c>
      <c r="Q193" s="7">
        <f t="shared" si="75"/>
        <v>308</v>
      </c>
      <c r="R193" s="7">
        <f t="shared" si="76"/>
        <v>418</v>
      </c>
      <c r="S193" s="7">
        <v>99.99</v>
      </c>
      <c r="T193" s="37" t="s">
        <v>1274</v>
      </c>
      <c r="U193" s="37" t="s">
        <v>1274</v>
      </c>
      <c r="W193" s="6" t="s">
        <v>157</v>
      </c>
      <c r="X193" s="6">
        <v>0</v>
      </c>
      <c r="Y193" s="7"/>
      <c r="Z193" s="7"/>
    </row>
    <row r="194" s="6" customFormat="1" customHeight="1" spans="1:26">
      <c r="A194" s="7" t="s">
        <v>1317</v>
      </c>
      <c r="B194" s="7" t="s">
        <v>1317</v>
      </c>
      <c r="C194" s="37" t="s">
        <v>1377</v>
      </c>
      <c r="D194" s="37" t="s">
        <v>1378</v>
      </c>
      <c r="E194" s="6">
        <v>6</v>
      </c>
      <c r="F194" s="6" t="s">
        <v>1379</v>
      </c>
      <c r="G194" s="38" t="s">
        <v>1180</v>
      </c>
      <c r="H194" s="38" t="s">
        <v>1380</v>
      </c>
      <c r="I194" s="38" t="s">
        <v>1381</v>
      </c>
      <c r="J194" s="38" t="s">
        <v>1382</v>
      </c>
      <c r="K194" s="38" t="s">
        <v>1383</v>
      </c>
      <c r="L194" s="6">
        <f t="shared" si="50"/>
        <v>52400</v>
      </c>
      <c r="M194" s="6">
        <f t="shared" si="51"/>
        <v>52400</v>
      </c>
      <c r="N194" s="6">
        <f t="shared" si="73"/>
        <v>26250</v>
      </c>
      <c r="O194" s="6">
        <f t="shared" si="74"/>
        <v>26250</v>
      </c>
      <c r="P194" s="6">
        <f t="shared" si="72"/>
        <v>165</v>
      </c>
      <c r="Q194" s="7">
        <f t="shared" si="75"/>
        <v>311</v>
      </c>
      <c r="R194" s="7">
        <f t="shared" si="76"/>
        <v>422</v>
      </c>
      <c r="S194" s="7">
        <v>99.99</v>
      </c>
      <c r="T194" s="37" t="s">
        <v>1274</v>
      </c>
      <c r="U194" s="37" t="s">
        <v>1274</v>
      </c>
      <c r="W194" s="6" t="s">
        <v>157</v>
      </c>
      <c r="X194" s="6">
        <v>0</v>
      </c>
      <c r="Y194" s="7"/>
      <c r="Z194" s="7"/>
    </row>
    <row r="195" s="6" customFormat="1" customHeight="1" spans="1:26">
      <c r="A195" s="7" t="s">
        <v>1317</v>
      </c>
      <c r="B195" s="7" t="s">
        <v>1317</v>
      </c>
      <c r="C195" s="37" t="s">
        <v>1384</v>
      </c>
      <c r="D195" s="37" t="s">
        <v>1385</v>
      </c>
      <c r="E195" s="6">
        <v>6</v>
      </c>
      <c r="F195" s="6" t="s">
        <v>1386</v>
      </c>
      <c r="G195" s="38" t="s">
        <v>1189</v>
      </c>
      <c r="H195" s="38" t="s">
        <v>1387</v>
      </c>
      <c r="I195" s="38" t="s">
        <v>1388</v>
      </c>
      <c r="J195" s="38" t="s">
        <v>1183</v>
      </c>
      <c r="K195" s="38" t="s">
        <v>1389</v>
      </c>
      <c r="L195" s="6">
        <f t="shared" si="50"/>
        <v>53000</v>
      </c>
      <c r="M195" s="6">
        <f t="shared" si="51"/>
        <v>53000</v>
      </c>
      <c r="N195" s="6">
        <f t="shared" si="73"/>
        <v>26500</v>
      </c>
      <c r="O195" s="6">
        <f t="shared" si="74"/>
        <v>26500</v>
      </c>
      <c r="P195" s="6">
        <f t="shared" si="72"/>
        <v>170</v>
      </c>
      <c r="Q195" s="7">
        <f t="shared" si="75"/>
        <v>314</v>
      </c>
      <c r="R195" s="7">
        <f t="shared" si="76"/>
        <v>426</v>
      </c>
      <c r="S195" s="7">
        <v>99.99</v>
      </c>
      <c r="T195" s="37" t="s">
        <v>1274</v>
      </c>
      <c r="U195" s="37" t="s">
        <v>1274</v>
      </c>
      <c r="W195" s="6" t="s">
        <v>157</v>
      </c>
      <c r="X195" s="6">
        <v>0</v>
      </c>
      <c r="Y195" s="7"/>
      <c r="Z195" s="7"/>
    </row>
    <row r="196" s="6" customFormat="1" customHeight="1" spans="1:26">
      <c r="A196" s="7" t="s">
        <v>1317</v>
      </c>
      <c r="B196" s="7" t="s">
        <v>1317</v>
      </c>
      <c r="C196" s="37" t="s">
        <v>1390</v>
      </c>
      <c r="D196" s="37" t="s">
        <v>1391</v>
      </c>
      <c r="E196" s="6">
        <v>6</v>
      </c>
      <c r="F196" s="6" t="s">
        <v>1392</v>
      </c>
      <c r="G196" s="38" t="s">
        <v>1198</v>
      </c>
      <c r="H196" s="38" t="s">
        <v>1393</v>
      </c>
      <c r="I196" s="38" t="s">
        <v>1394</v>
      </c>
      <c r="J196" s="38" t="s">
        <v>1395</v>
      </c>
      <c r="K196" s="38" t="s">
        <v>1396</v>
      </c>
      <c r="L196" s="6">
        <f t="shared" si="50"/>
        <v>53600</v>
      </c>
      <c r="M196" s="6">
        <f t="shared" si="51"/>
        <v>53600</v>
      </c>
      <c r="N196" s="6">
        <f t="shared" si="73"/>
        <v>26750</v>
      </c>
      <c r="O196" s="6">
        <f t="shared" si="74"/>
        <v>26750</v>
      </c>
      <c r="P196" s="6">
        <f t="shared" si="72"/>
        <v>175</v>
      </c>
      <c r="Q196" s="7">
        <f t="shared" ref="Q196:Q200" si="77">Q195+4</f>
        <v>318</v>
      </c>
      <c r="R196" s="7">
        <f t="shared" ref="R196:R200" si="78">R195+5</f>
        <v>431</v>
      </c>
      <c r="S196" s="7">
        <v>99.99</v>
      </c>
      <c r="T196" s="37" t="s">
        <v>1274</v>
      </c>
      <c r="U196" s="37" t="s">
        <v>1274</v>
      </c>
      <c r="W196" s="6" t="s">
        <v>157</v>
      </c>
      <c r="X196" s="6">
        <v>0</v>
      </c>
      <c r="Y196" s="7"/>
      <c r="Z196" s="7"/>
    </row>
    <row r="197" s="6" customFormat="1" customHeight="1" spans="1:26">
      <c r="A197" s="7" t="s">
        <v>1317</v>
      </c>
      <c r="B197" s="7" t="s">
        <v>1317</v>
      </c>
      <c r="C197" s="37" t="s">
        <v>1397</v>
      </c>
      <c r="D197" s="37" t="s">
        <v>1398</v>
      </c>
      <c r="E197" s="6">
        <v>6</v>
      </c>
      <c r="F197" s="6" t="s">
        <v>1399</v>
      </c>
      <c r="G197" s="38" t="s">
        <v>1207</v>
      </c>
      <c r="H197" s="38" t="s">
        <v>1400</v>
      </c>
      <c r="I197" s="38" t="s">
        <v>1401</v>
      </c>
      <c r="J197" s="38" t="s">
        <v>1402</v>
      </c>
      <c r="K197" s="38" t="s">
        <v>1403</v>
      </c>
      <c r="L197" s="6">
        <f t="shared" si="50"/>
        <v>54200</v>
      </c>
      <c r="M197" s="6">
        <f t="shared" si="51"/>
        <v>54200</v>
      </c>
      <c r="N197" s="6">
        <f t="shared" si="73"/>
        <v>27000</v>
      </c>
      <c r="O197" s="6">
        <f t="shared" si="74"/>
        <v>27000</v>
      </c>
      <c r="P197" s="6">
        <f t="shared" si="72"/>
        <v>180</v>
      </c>
      <c r="Q197" s="7">
        <f t="shared" si="77"/>
        <v>322</v>
      </c>
      <c r="R197" s="7">
        <f t="shared" si="78"/>
        <v>436</v>
      </c>
      <c r="S197" s="7">
        <v>99.99</v>
      </c>
      <c r="T197" s="37" t="s">
        <v>1274</v>
      </c>
      <c r="U197" s="37" t="s">
        <v>1274</v>
      </c>
      <c r="W197" s="6" t="s">
        <v>157</v>
      </c>
      <c r="X197" s="6">
        <v>0</v>
      </c>
      <c r="Y197" s="7"/>
      <c r="Z197" s="7"/>
    </row>
    <row r="198" s="6" customFormat="1" customHeight="1" spans="1:26">
      <c r="A198" s="7" t="s">
        <v>1317</v>
      </c>
      <c r="B198" s="7" t="s">
        <v>1317</v>
      </c>
      <c r="C198" s="37" t="s">
        <v>1404</v>
      </c>
      <c r="D198" s="37" t="s">
        <v>1405</v>
      </c>
      <c r="E198" s="6">
        <v>6</v>
      </c>
      <c r="F198" s="6" t="s">
        <v>1406</v>
      </c>
      <c r="G198" s="38" t="s">
        <v>1216</v>
      </c>
      <c r="H198" s="38" t="s">
        <v>1407</v>
      </c>
      <c r="I198" s="38" t="s">
        <v>1408</v>
      </c>
      <c r="J198" s="38" t="s">
        <v>1409</v>
      </c>
      <c r="K198" s="38" t="s">
        <v>1410</v>
      </c>
      <c r="L198" s="6">
        <f t="shared" si="50"/>
        <v>54800</v>
      </c>
      <c r="M198" s="6">
        <f t="shared" si="51"/>
        <v>54800</v>
      </c>
      <c r="N198" s="6">
        <f t="shared" si="73"/>
        <v>27250</v>
      </c>
      <c r="O198" s="6">
        <f t="shared" si="74"/>
        <v>27250</v>
      </c>
      <c r="P198" s="6">
        <f t="shared" si="72"/>
        <v>185</v>
      </c>
      <c r="Q198" s="7">
        <f t="shared" si="77"/>
        <v>326</v>
      </c>
      <c r="R198" s="7">
        <f t="shared" si="78"/>
        <v>441</v>
      </c>
      <c r="S198" s="7">
        <v>99.99</v>
      </c>
      <c r="T198" s="37" t="s">
        <v>1274</v>
      </c>
      <c r="U198" s="37" t="s">
        <v>1274</v>
      </c>
      <c r="W198" s="6" t="s">
        <v>157</v>
      </c>
      <c r="X198" s="6">
        <v>0</v>
      </c>
      <c r="Y198" s="7"/>
      <c r="Z198" s="7"/>
    </row>
    <row r="199" s="6" customFormat="1" customHeight="1" spans="1:26">
      <c r="A199" s="7" t="s">
        <v>1317</v>
      </c>
      <c r="B199" s="7" t="s">
        <v>1317</v>
      </c>
      <c r="C199" s="37" t="s">
        <v>1411</v>
      </c>
      <c r="D199" s="37" t="s">
        <v>1412</v>
      </c>
      <c r="E199" s="6">
        <v>6</v>
      </c>
      <c r="F199" s="6" t="s">
        <v>1413</v>
      </c>
      <c r="G199" s="38" t="s">
        <v>1225</v>
      </c>
      <c r="H199" s="38" t="s">
        <v>1414</v>
      </c>
      <c r="I199" s="38" t="s">
        <v>1415</v>
      </c>
      <c r="J199" s="38" t="s">
        <v>1416</v>
      </c>
      <c r="K199" s="38" t="s">
        <v>1417</v>
      </c>
      <c r="L199" s="6">
        <f t="shared" si="50"/>
        <v>55400</v>
      </c>
      <c r="M199" s="6">
        <f t="shared" si="51"/>
        <v>55400</v>
      </c>
      <c r="N199" s="6">
        <f t="shared" si="73"/>
        <v>27500</v>
      </c>
      <c r="O199" s="6">
        <f t="shared" si="74"/>
        <v>27500</v>
      </c>
      <c r="P199" s="6">
        <f t="shared" si="72"/>
        <v>190</v>
      </c>
      <c r="Q199" s="7">
        <f t="shared" si="77"/>
        <v>330</v>
      </c>
      <c r="R199" s="7">
        <f t="shared" si="78"/>
        <v>446</v>
      </c>
      <c r="S199" s="7">
        <v>99.99</v>
      </c>
      <c r="T199" s="37" t="s">
        <v>1274</v>
      </c>
      <c r="U199" s="37" t="s">
        <v>1274</v>
      </c>
      <c r="W199" s="6" t="s">
        <v>157</v>
      </c>
      <c r="X199" s="6">
        <v>0</v>
      </c>
      <c r="Y199" s="7"/>
      <c r="Z199" s="7"/>
    </row>
    <row r="200" s="6" customFormat="1" customHeight="1" spans="1:26">
      <c r="A200" s="7" t="s">
        <v>1317</v>
      </c>
      <c r="B200" s="7" t="s">
        <v>1317</v>
      </c>
      <c r="C200" s="37" t="s">
        <v>1418</v>
      </c>
      <c r="D200" s="37" t="s">
        <v>1419</v>
      </c>
      <c r="E200" s="6">
        <v>6</v>
      </c>
      <c r="F200" s="6" t="s">
        <v>1420</v>
      </c>
      <c r="G200" s="38" t="s">
        <v>1234</v>
      </c>
      <c r="H200" s="38" t="s">
        <v>1421</v>
      </c>
      <c r="I200" s="38" t="s">
        <v>1422</v>
      </c>
      <c r="J200" s="38" t="s">
        <v>1423</v>
      </c>
      <c r="K200" s="38" t="s">
        <v>1424</v>
      </c>
      <c r="L200" s="6">
        <f t="shared" si="50"/>
        <v>56000</v>
      </c>
      <c r="M200" s="6">
        <f t="shared" si="51"/>
        <v>56000</v>
      </c>
      <c r="N200" s="6">
        <f t="shared" si="73"/>
        <v>27750</v>
      </c>
      <c r="O200" s="6">
        <f t="shared" si="74"/>
        <v>27750</v>
      </c>
      <c r="P200" s="6">
        <f t="shared" si="72"/>
        <v>195</v>
      </c>
      <c r="Q200" s="7">
        <f t="shared" si="77"/>
        <v>334</v>
      </c>
      <c r="R200" s="7">
        <f t="shared" si="78"/>
        <v>451</v>
      </c>
      <c r="S200" s="7">
        <v>99.99</v>
      </c>
      <c r="T200" s="37" t="s">
        <v>1274</v>
      </c>
      <c r="U200" s="37" t="s">
        <v>1274</v>
      </c>
      <c r="W200" s="6" t="s">
        <v>157</v>
      </c>
      <c r="X200" s="6">
        <v>0</v>
      </c>
      <c r="Y200" s="7"/>
      <c r="Z200" s="7"/>
    </row>
    <row r="201" s="7" customFormat="1" customHeight="1" spans="1:24">
      <c r="A201" s="7" t="s">
        <v>1317</v>
      </c>
      <c r="B201" s="7" t="s">
        <v>1317</v>
      </c>
      <c r="C201" s="37" t="s">
        <v>1425</v>
      </c>
      <c r="D201" s="37" t="s">
        <v>1426</v>
      </c>
      <c r="E201" s="6">
        <v>6</v>
      </c>
      <c r="F201" s="6" t="s">
        <v>1427</v>
      </c>
      <c r="G201" s="38" t="s">
        <v>1243</v>
      </c>
      <c r="H201" s="38" t="s">
        <v>1428</v>
      </c>
      <c r="I201" s="38" t="s">
        <v>1429</v>
      </c>
      <c r="J201" s="38" t="s">
        <v>1430</v>
      </c>
      <c r="K201" s="38" t="s">
        <v>1431</v>
      </c>
      <c r="L201" s="6">
        <f t="shared" si="50"/>
        <v>56600</v>
      </c>
      <c r="M201" s="6">
        <f t="shared" si="51"/>
        <v>56600</v>
      </c>
      <c r="N201" s="6">
        <f t="shared" ref="N201:N205" si="79">N200+300</f>
        <v>28050</v>
      </c>
      <c r="O201" s="6">
        <f t="shared" ref="O201:O205" si="80">O200+300</f>
        <v>28050</v>
      </c>
      <c r="P201" s="6">
        <f t="shared" si="72"/>
        <v>200</v>
      </c>
      <c r="Q201" s="7">
        <f t="shared" ref="Q201:Q205" si="81">Q200+5</f>
        <v>339</v>
      </c>
      <c r="R201" s="7">
        <f t="shared" ref="R201:R205" si="82">R200+6</f>
        <v>457</v>
      </c>
      <c r="S201" s="7">
        <v>99.99</v>
      </c>
      <c r="T201" s="37" t="s">
        <v>1274</v>
      </c>
      <c r="U201" s="37" t="s">
        <v>1274</v>
      </c>
      <c r="V201" s="6"/>
      <c r="W201" s="6" t="s">
        <v>157</v>
      </c>
      <c r="X201" s="6">
        <v>0</v>
      </c>
    </row>
    <row r="202" s="7" customFormat="1" customHeight="1" spans="1:24">
      <c r="A202" s="7" t="s">
        <v>1317</v>
      </c>
      <c r="B202" s="7" t="s">
        <v>1317</v>
      </c>
      <c r="C202" s="37" t="s">
        <v>1432</v>
      </c>
      <c r="D202" s="37" t="s">
        <v>1433</v>
      </c>
      <c r="E202" s="6">
        <v>6</v>
      </c>
      <c r="F202" s="6" t="s">
        <v>1434</v>
      </c>
      <c r="G202" s="38" t="s">
        <v>1252</v>
      </c>
      <c r="H202" s="38" t="s">
        <v>1435</v>
      </c>
      <c r="I202" s="38" t="s">
        <v>1436</v>
      </c>
      <c r="J202" s="38" t="s">
        <v>1437</v>
      </c>
      <c r="K202" s="38" t="s">
        <v>1438</v>
      </c>
      <c r="L202" s="6">
        <f t="shared" si="50"/>
        <v>57200</v>
      </c>
      <c r="M202" s="6">
        <f t="shared" si="51"/>
        <v>57200</v>
      </c>
      <c r="N202" s="6">
        <f t="shared" si="79"/>
        <v>28350</v>
      </c>
      <c r="O202" s="6">
        <f t="shared" si="80"/>
        <v>28350</v>
      </c>
      <c r="P202" s="6">
        <f t="shared" si="72"/>
        <v>205</v>
      </c>
      <c r="Q202" s="7">
        <f t="shared" si="81"/>
        <v>344</v>
      </c>
      <c r="R202" s="7">
        <f t="shared" si="82"/>
        <v>463</v>
      </c>
      <c r="S202" s="7">
        <v>99.99</v>
      </c>
      <c r="T202" s="37" t="s">
        <v>1274</v>
      </c>
      <c r="U202" s="37" t="s">
        <v>1274</v>
      </c>
      <c r="V202" s="6"/>
      <c r="W202" s="6" t="s">
        <v>157</v>
      </c>
      <c r="X202" s="6">
        <v>0</v>
      </c>
    </row>
    <row r="203" s="7" customFormat="1" customHeight="1" spans="1:24">
      <c r="A203" s="7" t="s">
        <v>1317</v>
      </c>
      <c r="B203" s="7" t="s">
        <v>1317</v>
      </c>
      <c r="C203" s="37" t="s">
        <v>1439</v>
      </c>
      <c r="D203" s="37" t="s">
        <v>1440</v>
      </c>
      <c r="E203" s="6">
        <v>6</v>
      </c>
      <c r="F203" s="6" t="s">
        <v>1441</v>
      </c>
      <c r="G203" s="38" t="s">
        <v>1261</v>
      </c>
      <c r="H203" s="38" t="s">
        <v>1442</v>
      </c>
      <c r="I203" s="38" t="s">
        <v>1443</v>
      </c>
      <c r="J203" s="38" t="s">
        <v>1444</v>
      </c>
      <c r="K203" s="38" t="s">
        <v>1445</v>
      </c>
      <c r="L203" s="6">
        <f t="shared" si="50"/>
        <v>57800</v>
      </c>
      <c r="M203" s="6">
        <f t="shared" si="51"/>
        <v>57800</v>
      </c>
      <c r="N203" s="6">
        <f t="shared" si="79"/>
        <v>28650</v>
      </c>
      <c r="O203" s="6">
        <f t="shared" si="80"/>
        <v>28650</v>
      </c>
      <c r="P203" s="6">
        <f t="shared" si="72"/>
        <v>210</v>
      </c>
      <c r="Q203" s="7">
        <f t="shared" si="81"/>
        <v>349</v>
      </c>
      <c r="R203" s="7">
        <f t="shared" si="82"/>
        <v>469</v>
      </c>
      <c r="S203" s="7">
        <v>99.99</v>
      </c>
      <c r="T203" s="37" t="s">
        <v>1274</v>
      </c>
      <c r="U203" s="37" t="s">
        <v>1274</v>
      </c>
      <c r="V203" s="6"/>
      <c r="W203" s="6" t="s">
        <v>157</v>
      </c>
      <c r="X203" s="6">
        <v>0</v>
      </c>
    </row>
    <row r="204" s="7" customFormat="1" customHeight="1" spans="1:24">
      <c r="A204" s="7" t="s">
        <v>1317</v>
      </c>
      <c r="B204" s="7" t="s">
        <v>1317</v>
      </c>
      <c r="C204" s="37" t="s">
        <v>1446</v>
      </c>
      <c r="D204" s="37" t="s">
        <v>1447</v>
      </c>
      <c r="E204" s="6">
        <v>6</v>
      </c>
      <c r="F204" s="6" t="s">
        <v>1448</v>
      </c>
      <c r="G204" s="38" t="s">
        <v>1270</v>
      </c>
      <c r="H204" s="38" t="s">
        <v>1449</v>
      </c>
      <c r="I204" s="38" t="s">
        <v>1450</v>
      </c>
      <c r="J204" s="38" t="s">
        <v>1451</v>
      </c>
      <c r="K204" s="38" t="s">
        <v>1452</v>
      </c>
      <c r="L204" s="6">
        <f t="shared" si="50"/>
        <v>58400</v>
      </c>
      <c r="M204" s="6">
        <f t="shared" si="51"/>
        <v>58400</v>
      </c>
      <c r="N204" s="6">
        <f t="shared" si="79"/>
        <v>28950</v>
      </c>
      <c r="O204" s="6">
        <f t="shared" si="80"/>
        <v>28950</v>
      </c>
      <c r="P204" s="6">
        <f t="shared" si="72"/>
        <v>215</v>
      </c>
      <c r="Q204" s="7">
        <f t="shared" si="81"/>
        <v>354</v>
      </c>
      <c r="R204" s="7">
        <f t="shared" si="82"/>
        <v>475</v>
      </c>
      <c r="S204" s="7">
        <v>99.99</v>
      </c>
      <c r="T204" s="37" t="s">
        <v>1274</v>
      </c>
      <c r="U204" s="37" t="s">
        <v>1274</v>
      </c>
      <c r="V204" s="6"/>
      <c r="W204" s="6" t="s">
        <v>157</v>
      </c>
      <c r="X204" s="6">
        <v>0</v>
      </c>
    </row>
    <row r="205" s="7" customFormat="1" customHeight="1" spans="1:24">
      <c r="A205" s="7" t="s">
        <v>1317</v>
      </c>
      <c r="B205" s="7" t="s">
        <v>1317</v>
      </c>
      <c r="C205" s="37" t="s">
        <v>1453</v>
      </c>
      <c r="D205" s="37" t="s">
        <v>1454</v>
      </c>
      <c r="E205" s="6">
        <v>6</v>
      </c>
      <c r="F205" s="6" t="s">
        <v>461</v>
      </c>
      <c r="G205" s="38" t="s">
        <v>1455</v>
      </c>
      <c r="H205" s="38" t="s">
        <v>1456</v>
      </c>
      <c r="I205" s="38" t="s">
        <v>1457</v>
      </c>
      <c r="J205" s="38" t="s">
        <v>1458</v>
      </c>
      <c r="K205" s="38" t="s">
        <v>1459</v>
      </c>
      <c r="L205" s="6">
        <f t="shared" ref="L205:L215" si="83">L204+600</f>
        <v>59000</v>
      </c>
      <c r="M205" s="6">
        <f t="shared" ref="M205:M215" si="84">M204+600</f>
        <v>59000</v>
      </c>
      <c r="N205" s="6">
        <f t="shared" si="79"/>
        <v>29250</v>
      </c>
      <c r="O205" s="6">
        <f t="shared" si="80"/>
        <v>29250</v>
      </c>
      <c r="P205" s="6">
        <f t="shared" si="72"/>
        <v>220</v>
      </c>
      <c r="Q205" s="7">
        <f t="shared" si="81"/>
        <v>359</v>
      </c>
      <c r="R205" s="7">
        <f t="shared" si="82"/>
        <v>481</v>
      </c>
      <c r="S205" s="7">
        <v>99.99</v>
      </c>
      <c r="T205" s="37" t="s">
        <v>1274</v>
      </c>
      <c r="U205" s="37" t="s">
        <v>1274</v>
      </c>
      <c r="V205" s="6"/>
      <c r="W205" s="6" t="s">
        <v>157</v>
      </c>
      <c r="X205" s="6">
        <v>0</v>
      </c>
    </row>
    <row r="206" s="6" customFormat="1" customHeight="1" spans="1:26">
      <c r="A206" s="7" t="s">
        <v>1317</v>
      </c>
      <c r="B206" s="7" t="s">
        <v>1317</v>
      </c>
      <c r="C206" s="37" t="s">
        <v>1460</v>
      </c>
      <c r="D206" s="37" t="s">
        <v>1461</v>
      </c>
      <c r="E206" s="6">
        <v>6</v>
      </c>
      <c r="F206" s="6" t="s">
        <v>1462</v>
      </c>
      <c r="G206" s="38" t="s">
        <v>1463</v>
      </c>
      <c r="H206" s="38" t="s">
        <v>1464</v>
      </c>
      <c r="I206" s="38" t="s">
        <v>1465</v>
      </c>
      <c r="J206" s="38" t="s">
        <v>1466</v>
      </c>
      <c r="K206" s="38" t="s">
        <v>1467</v>
      </c>
      <c r="L206" s="6">
        <f t="shared" si="83"/>
        <v>59600</v>
      </c>
      <c r="M206" s="6">
        <f t="shared" si="84"/>
        <v>59600</v>
      </c>
      <c r="N206" s="6">
        <f t="shared" ref="N206:N210" si="85">N205+400</f>
        <v>29650</v>
      </c>
      <c r="O206" s="6">
        <f t="shared" ref="O206:O210" si="86">O205+400</f>
        <v>29650</v>
      </c>
      <c r="P206" s="6">
        <f t="shared" si="72"/>
        <v>225</v>
      </c>
      <c r="Q206" s="7">
        <f t="shared" ref="Q206:Q210" si="87">Q205+6</f>
        <v>365</v>
      </c>
      <c r="R206" s="7">
        <f t="shared" ref="R206:R210" si="88">R205+7</f>
        <v>488</v>
      </c>
      <c r="S206" s="7">
        <v>99.99</v>
      </c>
      <c r="T206" s="37" t="s">
        <v>1274</v>
      </c>
      <c r="U206" s="37" t="s">
        <v>1274</v>
      </c>
      <c r="W206" s="6" t="s">
        <v>157</v>
      </c>
      <c r="X206" s="6">
        <v>0</v>
      </c>
      <c r="Y206" s="7"/>
      <c r="Z206" s="7"/>
    </row>
    <row r="207" s="6" customFormat="1" customHeight="1" spans="1:26">
      <c r="A207" s="7" t="s">
        <v>1317</v>
      </c>
      <c r="B207" s="7" t="s">
        <v>1317</v>
      </c>
      <c r="C207" s="37" t="s">
        <v>1468</v>
      </c>
      <c r="D207" s="37" t="s">
        <v>1469</v>
      </c>
      <c r="E207" s="6">
        <v>6</v>
      </c>
      <c r="F207" s="6" t="s">
        <v>1470</v>
      </c>
      <c r="G207" s="38" t="s">
        <v>1471</v>
      </c>
      <c r="H207" s="38" t="s">
        <v>1472</v>
      </c>
      <c r="I207" s="38" t="s">
        <v>1473</v>
      </c>
      <c r="J207" s="38" t="s">
        <v>1474</v>
      </c>
      <c r="K207" s="38" t="s">
        <v>1475</v>
      </c>
      <c r="L207" s="6">
        <f t="shared" si="83"/>
        <v>60200</v>
      </c>
      <c r="M207" s="6">
        <f t="shared" si="84"/>
        <v>60200</v>
      </c>
      <c r="N207" s="6">
        <f t="shared" si="85"/>
        <v>30050</v>
      </c>
      <c r="O207" s="6">
        <f t="shared" si="86"/>
        <v>30050</v>
      </c>
      <c r="P207" s="6">
        <f t="shared" si="72"/>
        <v>230</v>
      </c>
      <c r="Q207" s="7">
        <f t="shared" si="87"/>
        <v>371</v>
      </c>
      <c r="R207" s="7">
        <f t="shared" si="88"/>
        <v>495</v>
      </c>
      <c r="S207" s="7">
        <v>99.99</v>
      </c>
      <c r="T207" s="37" t="s">
        <v>1274</v>
      </c>
      <c r="U207" s="37" t="s">
        <v>1274</v>
      </c>
      <c r="W207" s="6" t="s">
        <v>157</v>
      </c>
      <c r="X207" s="6">
        <v>0</v>
      </c>
      <c r="Y207" s="7"/>
      <c r="Z207" s="7"/>
    </row>
    <row r="208" s="6" customFormat="1" customHeight="1" spans="1:26">
      <c r="A208" s="7" t="s">
        <v>1317</v>
      </c>
      <c r="B208" s="7" t="s">
        <v>1317</v>
      </c>
      <c r="C208" s="37" t="s">
        <v>1476</v>
      </c>
      <c r="D208" s="37" t="s">
        <v>1477</v>
      </c>
      <c r="E208" s="6">
        <v>6</v>
      </c>
      <c r="F208" s="6" t="s">
        <v>1478</v>
      </c>
      <c r="G208" s="38" t="s">
        <v>1479</v>
      </c>
      <c r="H208" s="38" t="s">
        <v>1480</v>
      </c>
      <c r="I208" s="38" t="s">
        <v>1481</v>
      </c>
      <c r="J208" s="38" t="s">
        <v>1273</v>
      </c>
      <c r="K208" s="38" t="s">
        <v>1482</v>
      </c>
      <c r="L208" s="6">
        <f t="shared" si="83"/>
        <v>60800</v>
      </c>
      <c r="M208" s="6">
        <f t="shared" si="84"/>
        <v>60800</v>
      </c>
      <c r="N208" s="6">
        <f t="shared" si="85"/>
        <v>30450</v>
      </c>
      <c r="O208" s="6">
        <f t="shared" si="86"/>
        <v>30450</v>
      </c>
      <c r="P208" s="6">
        <f t="shared" si="72"/>
        <v>235</v>
      </c>
      <c r="Q208" s="7">
        <f t="shared" si="87"/>
        <v>377</v>
      </c>
      <c r="R208" s="7">
        <f t="shared" si="88"/>
        <v>502</v>
      </c>
      <c r="S208" s="7">
        <v>99.99</v>
      </c>
      <c r="T208" s="37" t="s">
        <v>1274</v>
      </c>
      <c r="U208" s="37" t="s">
        <v>1274</v>
      </c>
      <c r="W208" s="6" t="s">
        <v>157</v>
      </c>
      <c r="X208" s="6">
        <v>0</v>
      </c>
      <c r="Y208" s="7"/>
      <c r="Z208" s="7"/>
    </row>
    <row r="209" s="6" customFormat="1" customHeight="1" spans="1:26">
      <c r="A209" s="7" t="s">
        <v>1317</v>
      </c>
      <c r="B209" s="7" t="s">
        <v>1317</v>
      </c>
      <c r="C209" s="37" t="s">
        <v>1483</v>
      </c>
      <c r="D209" s="37" t="s">
        <v>1484</v>
      </c>
      <c r="E209" s="6">
        <v>6</v>
      </c>
      <c r="F209" s="6" t="s">
        <v>1485</v>
      </c>
      <c r="G209" s="38" t="s">
        <v>1486</v>
      </c>
      <c r="H209" s="38" t="s">
        <v>1487</v>
      </c>
      <c r="I209" s="38" t="s">
        <v>1488</v>
      </c>
      <c r="J209" s="38" t="s">
        <v>1489</v>
      </c>
      <c r="K209" s="38" t="s">
        <v>1490</v>
      </c>
      <c r="L209" s="6">
        <f t="shared" si="83"/>
        <v>61400</v>
      </c>
      <c r="M209" s="6">
        <f t="shared" si="84"/>
        <v>61400</v>
      </c>
      <c r="N209" s="6">
        <f t="shared" si="85"/>
        <v>30850</v>
      </c>
      <c r="O209" s="6">
        <f t="shared" si="86"/>
        <v>30850</v>
      </c>
      <c r="P209" s="6">
        <f t="shared" si="72"/>
        <v>240</v>
      </c>
      <c r="Q209" s="7">
        <f t="shared" si="87"/>
        <v>383</v>
      </c>
      <c r="R209" s="7">
        <f t="shared" si="88"/>
        <v>509</v>
      </c>
      <c r="S209" s="7">
        <v>99.99</v>
      </c>
      <c r="T209" s="37" t="s">
        <v>1274</v>
      </c>
      <c r="U209" s="37" t="s">
        <v>1274</v>
      </c>
      <c r="W209" s="6" t="s">
        <v>157</v>
      </c>
      <c r="X209" s="6">
        <v>0</v>
      </c>
      <c r="Y209" s="7"/>
      <c r="Z209" s="7"/>
    </row>
    <row r="210" s="6" customFormat="1" customHeight="1" spans="1:26">
      <c r="A210" s="7" t="s">
        <v>1317</v>
      </c>
      <c r="B210" s="7" t="s">
        <v>1317</v>
      </c>
      <c r="C210" s="37" t="s">
        <v>1491</v>
      </c>
      <c r="D210" s="37" t="s">
        <v>1492</v>
      </c>
      <c r="E210" s="6">
        <v>6</v>
      </c>
      <c r="F210" s="6" t="s">
        <v>1493</v>
      </c>
      <c r="G210" s="38" t="s">
        <v>1322</v>
      </c>
      <c r="H210" s="38" t="s">
        <v>1494</v>
      </c>
      <c r="I210" s="38" t="s">
        <v>1495</v>
      </c>
      <c r="J210" s="38" t="s">
        <v>1496</v>
      </c>
      <c r="K210" s="38" t="s">
        <v>1497</v>
      </c>
      <c r="L210" s="6">
        <f t="shared" si="83"/>
        <v>62000</v>
      </c>
      <c r="M210" s="6">
        <f t="shared" si="84"/>
        <v>62000</v>
      </c>
      <c r="N210" s="6">
        <f t="shared" si="85"/>
        <v>31250</v>
      </c>
      <c r="O210" s="6">
        <f t="shared" si="86"/>
        <v>31250</v>
      </c>
      <c r="P210" s="6">
        <f t="shared" si="72"/>
        <v>245</v>
      </c>
      <c r="Q210" s="7">
        <f t="shared" si="87"/>
        <v>389</v>
      </c>
      <c r="R210" s="7">
        <f t="shared" si="88"/>
        <v>516</v>
      </c>
      <c r="S210" s="7">
        <v>99.99</v>
      </c>
      <c r="T210" s="37" t="s">
        <v>1274</v>
      </c>
      <c r="U210" s="37" t="s">
        <v>1274</v>
      </c>
      <c r="W210" s="6" t="s">
        <v>157</v>
      </c>
      <c r="X210" s="6">
        <v>0</v>
      </c>
      <c r="Y210" s="7"/>
      <c r="Z210" s="7"/>
    </row>
    <row r="211" s="6" customFormat="1" customHeight="1" spans="1:26">
      <c r="A211" s="7" t="s">
        <v>1317</v>
      </c>
      <c r="B211" s="7" t="s">
        <v>1317</v>
      </c>
      <c r="C211" s="37" t="s">
        <v>1498</v>
      </c>
      <c r="D211" s="37" t="s">
        <v>1499</v>
      </c>
      <c r="E211" s="6">
        <v>6</v>
      </c>
      <c r="F211" s="6" t="s">
        <v>1500</v>
      </c>
      <c r="G211" s="38" t="s">
        <v>1330</v>
      </c>
      <c r="H211" s="38" t="s">
        <v>1501</v>
      </c>
      <c r="I211" s="38" t="s">
        <v>1502</v>
      </c>
      <c r="J211" s="38" t="s">
        <v>1503</v>
      </c>
      <c r="K211" s="38" t="s">
        <v>1504</v>
      </c>
      <c r="L211" s="6">
        <f t="shared" si="83"/>
        <v>62600</v>
      </c>
      <c r="M211" s="6">
        <f t="shared" si="84"/>
        <v>62600</v>
      </c>
      <c r="N211" s="6">
        <f t="shared" ref="N211:N215" si="89">N210+500</f>
        <v>31750</v>
      </c>
      <c r="O211" s="6">
        <f t="shared" ref="O211:O215" si="90">O210+500</f>
        <v>31750</v>
      </c>
      <c r="P211" s="6">
        <f t="shared" si="72"/>
        <v>250</v>
      </c>
      <c r="Q211" s="7">
        <f t="shared" ref="Q211:Q215" si="91">Q210+7</f>
        <v>396</v>
      </c>
      <c r="R211" s="7">
        <f t="shared" ref="R211:R215" si="92">R210+8</f>
        <v>524</v>
      </c>
      <c r="S211" s="7">
        <v>99.99</v>
      </c>
      <c r="T211" s="37" t="s">
        <v>1274</v>
      </c>
      <c r="U211" s="37" t="s">
        <v>1274</v>
      </c>
      <c r="W211" s="6" t="s">
        <v>157</v>
      </c>
      <c r="X211" s="6">
        <v>0</v>
      </c>
      <c r="Y211" s="7"/>
      <c r="Z211" s="7"/>
    </row>
    <row r="212" s="6" customFormat="1" customHeight="1" spans="1:26">
      <c r="A212" s="7" t="s">
        <v>1317</v>
      </c>
      <c r="B212" s="7" t="s">
        <v>1317</v>
      </c>
      <c r="C212" s="37" t="s">
        <v>1505</v>
      </c>
      <c r="D212" s="37" t="s">
        <v>1506</v>
      </c>
      <c r="E212" s="6">
        <v>6</v>
      </c>
      <c r="F212" s="6" t="s">
        <v>1507</v>
      </c>
      <c r="G212" s="38" t="s">
        <v>1338</v>
      </c>
      <c r="H212" s="38" t="s">
        <v>1508</v>
      </c>
      <c r="I212" s="38" t="s">
        <v>1509</v>
      </c>
      <c r="J212" s="38" t="s">
        <v>1510</v>
      </c>
      <c r="K212" s="38" t="s">
        <v>1511</v>
      </c>
      <c r="L212" s="6">
        <f t="shared" si="83"/>
        <v>63200</v>
      </c>
      <c r="M212" s="6">
        <f t="shared" si="84"/>
        <v>63200</v>
      </c>
      <c r="N212" s="6">
        <f t="shared" si="89"/>
        <v>32250</v>
      </c>
      <c r="O212" s="6">
        <f t="shared" si="90"/>
        <v>32250</v>
      </c>
      <c r="P212" s="6">
        <f t="shared" si="72"/>
        <v>255</v>
      </c>
      <c r="Q212" s="7">
        <f t="shared" si="91"/>
        <v>403</v>
      </c>
      <c r="R212" s="7">
        <f t="shared" si="92"/>
        <v>532</v>
      </c>
      <c r="S212" s="7">
        <v>99.99</v>
      </c>
      <c r="T212" s="37" t="s">
        <v>1274</v>
      </c>
      <c r="U212" s="37" t="s">
        <v>1274</v>
      </c>
      <c r="W212" s="6" t="s">
        <v>157</v>
      </c>
      <c r="X212" s="6">
        <v>0</v>
      </c>
      <c r="Y212" s="7"/>
      <c r="Z212" s="7"/>
    </row>
    <row r="213" s="6" customFormat="1" customHeight="1" spans="1:26">
      <c r="A213" s="7" t="s">
        <v>1317</v>
      </c>
      <c r="B213" s="7" t="s">
        <v>1317</v>
      </c>
      <c r="C213" s="37" t="s">
        <v>1512</v>
      </c>
      <c r="D213" s="37" t="s">
        <v>1513</v>
      </c>
      <c r="E213" s="6">
        <v>6</v>
      </c>
      <c r="F213" s="6" t="s">
        <v>1514</v>
      </c>
      <c r="G213" s="38" t="s">
        <v>1345</v>
      </c>
      <c r="H213" s="38" t="s">
        <v>1515</v>
      </c>
      <c r="I213" s="38" t="s">
        <v>1516</v>
      </c>
      <c r="J213" s="38" t="s">
        <v>1517</v>
      </c>
      <c r="K213" s="38" t="s">
        <v>1518</v>
      </c>
      <c r="L213" s="6">
        <f t="shared" si="83"/>
        <v>63800</v>
      </c>
      <c r="M213" s="6">
        <f t="shared" si="84"/>
        <v>63800</v>
      </c>
      <c r="N213" s="6">
        <f t="shared" si="89"/>
        <v>32750</v>
      </c>
      <c r="O213" s="6">
        <f t="shared" si="90"/>
        <v>32750</v>
      </c>
      <c r="P213" s="6">
        <f t="shared" si="72"/>
        <v>260</v>
      </c>
      <c r="Q213" s="7">
        <f t="shared" si="91"/>
        <v>410</v>
      </c>
      <c r="R213" s="7">
        <f t="shared" si="92"/>
        <v>540</v>
      </c>
      <c r="S213" s="7">
        <v>99.99</v>
      </c>
      <c r="T213" s="37" t="s">
        <v>1274</v>
      </c>
      <c r="U213" s="37" t="s">
        <v>1274</v>
      </c>
      <c r="W213" s="6" t="s">
        <v>157</v>
      </c>
      <c r="X213" s="6">
        <v>0</v>
      </c>
      <c r="Y213" s="7"/>
      <c r="Z213" s="7"/>
    </row>
    <row r="214" s="6" customFormat="1" customHeight="1" spans="1:26">
      <c r="A214" s="7" t="s">
        <v>1317</v>
      </c>
      <c r="B214" s="7" t="s">
        <v>1317</v>
      </c>
      <c r="C214" s="37" t="s">
        <v>1519</v>
      </c>
      <c r="D214" s="37" t="s">
        <v>1520</v>
      </c>
      <c r="E214" s="6">
        <v>6</v>
      </c>
      <c r="F214" s="6" t="s">
        <v>1521</v>
      </c>
      <c r="G214" s="38" t="s">
        <v>1352</v>
      </c>
      <c r="H214" s="38" t="s">
        <v>1522</v>
      </c>
      <c r="I214" s="38" t="s">
        <v>1523</v>
      </c>
      <c r="J214" s="38" t="s">
        <v>1325</v>
      </c>
      <c r="K214" s="38" t="s">
        <v>1524</v>
      </c>
      <c r="L214" s="6">
        <f t="shared" si="83"/>
        <v>64400</v>
      </c>
      <c r="M214" s="6">
        <f t="shared" si="84"/>
        <v>64400</v>
      </c>
      <c r="N214" s="6">
        <f t="shared" si="89"/>
        <v>33250</v>
      </c>
      <c r="O214" s="6">
        <f t="shared" si="90"/>
        <v>33250</v>
      </c>
      <c r="P214" s="6">
        <f t="shared" si="72"/>
        <v>265</v>
      </c>
      <c r="Q214" s="7">
        <f t="shared" si="91"/>
        <v>417</v>
      </c>
      <c r="R214" s="7">
        <f t="shared" si="92"/>
        <v>548</v>
      </c>
      <c r="S214" s="7">
        <v>99.99</v>
      </c>
      <c r="T214" s="37" t="s">
        <v>1274</v>
      </c>
      <c r="U214" s="37" t="s">
        <v>1274</v>
      </c>
      <c r="W214" s="6" t="s">
        <v>157</v>
      </c>
      <c r="X214" s="6">
        <v>0</v>
      </c>
      <c r="Y214" s="7"/>
      <c r="Z214" s="7"/>
    </row>
    <row r="215" s="6" customFormat="1" customHeight="1" spans="1:26">
      <c r="A215" s="7" t="s">
        <v>1317</v>
      </c>
      <c r="B215" s="7" t="s">
        <v>1317</v>
      </c>
      <c r="C215" s="37" t="s">
        <v>1525</v>
      </c>
      <c r="D215" s="37" t="s">
        <v>1526</v>
      </c>
      <c r="E215" s="6">
        <v>6</v>
      </c>
      <c r="F215" s="6" t="s">
        <v>1527</v>
      </c>
      <c r="G215" s="38" t="s">
        <v>1359</v>
      </c>
      <c r="H215" s="38" t="s">
        <v>1528</v>
      </c>
      <c r="I215" s="38" t="s">
        <v>1529</v>
      </c>
      <c r="J215" s="38" t="s">
        <v>1333</v>
      </c>
      <c r="K215" s="38" t="s">
        <v>1530</v>
      </c>
      <c r="L215" s="6">
        <f t="shared" si="83"/>
        <v>65000</v>
      </c>
      <c r="M215" s="6">
        <f t="shared" si="84"/>
        <v>65000</v>
      </c>
      <c r="N215" s="6">
        <f t="shared" si="89"/>
        <v>33750</v>
      </c>
      <c r="O215" s="6">
        <f t="shared" si="90"/>
        <v>33750</v>
      </c>
      <c r="P215" s="6">
        <f t="shared" si="72"/>
        <v>270</v>
      </c>
      <c r="Q215" s="7">
        <f t="shared" si="91"/>
        <v>424</v>
      </c>
      <c r="R215" s="7">
        <f t="shared" si="92"/>
        <v>556</v>
      </c>
      <c r="S215" s="7">
        <v>99.99</v>
      </c>
      <c r="T215" s="37" t="s">
        <v>1274</v>
      </c>
      <c r="U215" s="37" t="s">
        <v>1274</v>
      </c>
      <c r="W215" s="6" t="s">
        <v>157</v>
      </c>
      <c r="X215" s="6">
        <v>0</v>
      </c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C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2025-08-24T10:12:12Z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
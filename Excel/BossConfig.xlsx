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<sst xmlns="http://schemas.openxmlformats.org/spreadsheetml/2006/main" count="1630" uniqueCount="1185">
  <si>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</si>
  <si>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</si>
  <si>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</si>
  <si>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</si>
  <si>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</si>
  <si>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</si>
  <si>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</si>
  <si>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</si>
  <si>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</si>
  <si>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</si>
  <si>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</si>
  <si>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</si>
  <si>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</si>
  <si>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</si>
  <si>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</si>
  <si>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</si>
  <si>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</si>
  <si>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</si>
  <si>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</si>
  <si>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</si>
  <si>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</si>
  <si>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</si>
  <si>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</si>
  <si>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</si>
  <si>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</si>
  <si>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</si>
  <si>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</si>
  <si>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</si>
  <si>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</si>
  <si>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</si>
  <si>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</si>
  <si>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</si>
  <si>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</si>
  <si>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</si>
  <si>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</si>
  <si>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</si>
  <si>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</si>
  <si>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</si>
  <si>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</si>
  <si>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</si>
  <si>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</si>
  <si>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</si>
  <si>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</si>
  <si>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</si>
  <si>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</si>
  <si>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</si>
  <si>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</si>
  <si>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</si>
  <si>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</si>
  <si>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</si>
  <si>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</si>
  <si>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</si>
  <si>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</si>
  <si>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</si>
  <si>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</si>
  <si>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</si>
  <si>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</si>
  <si>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</si>
  <si>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</si>
  <si>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</si>
  <si>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</si>
  <si>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</si>
  <si>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</si>
  <si>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</si>
  <si>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</si>
  <si>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</si>
  <si>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</si>
  <si>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</si>
  <si>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</si>
  <si>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</si>
  <si>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</si>
  <si>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</si>
  <si>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</si>
  <si>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</si>
  <si>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</si>
  <si>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</si>
  <si>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</si>
  <si>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</si>
  <si>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</si>
  <si>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</si>
  <si>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</si>
  <si>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</si>
  <si>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</si>
  <si>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</si>
  <si>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</si>
  <si>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</si>
  <si>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</si>
  <si>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</si>
  <si>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</si>
  <si>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</si>
  <si>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</si>
  <si>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</si>
  <si>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</si>
  <si>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</si>
  <si>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</si>
  <si>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</si>
  <si>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</si>
  <si>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</si>
  <si>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</si>
  <si>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</si>
  <si>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</si>
  <si>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</si>
  <si>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</si>
  <si>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</si>
  <si>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</si>
  <si>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</si>
  <si>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</si>
  <si>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</si>
  <si>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</si>
  <si>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</si>
  <si>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</si>
  <si>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</si>
  <si>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</si>
  <si>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</si>
  <si>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</si>
  <si>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</si>
  <si>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</si>
  <si>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</si>
  <si>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</si>
  <si>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</si>
  <si>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</si>
  <si>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</si>
  <si>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</si>
  <si>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</si>
  <si>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</si>
  <si>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</si>
  <si>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</si>
  <si>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</si>
  <si>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</si>
  <si>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</si>
  <si>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</si>
  <si>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</si>
  <si>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</si>
  <si>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</si>
  <si>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</si>
  <si>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</si>
  <si>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</si>
  <si>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</si>
  <si>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</si>
  <si>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</si>
  <si>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</si>
  <si>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</si>
  <si>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</si>
  <si>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</si>
  <si>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</si>
  <si>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</si>
  <si>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</si>
  <si>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</si>
  <si>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</si>
  <si>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</si>
  <si>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</si>
  <si>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</si>
  <si>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</si>
  <si>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</si>
  <si>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</si>
  <si>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</si>
  <si>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</si>
  <si>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</si>
  <si>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</si>
  <si>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</si>
  <si>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</si>
  <si>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</si>
  <si>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</si>
  <si>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</si>
  <si>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</si>
  <si>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</si>
  <si>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</si>
  <si>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</si>
  <si>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</si>
  <si>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</si>
  <si>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</si>
  <si>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</si>
  <si>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</si>
  <si>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</si>
  <si>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</si>
  <si>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</si>
  <si>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</si>
  <si>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</si>
  <si>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</si>
  <si>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</si>
  <si>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</si>
  <si>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</si>
  <si>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</si>
  <si>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</si>
  <si>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</si>
  <si>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</si>
  <si>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</si>
  <si>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</si>
  <si>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</si>
  <si>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</si>
  <si>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</si>
  <si>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</si>
  <si>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</si>
  <si>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</si>
  <si>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</si>
  <si>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</si>
  <si>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</si>
  <si>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</si>
  <si>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</si>
  <si>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</si>
  <si>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</si>
  <si>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</si>
  <si>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</si>
  <si>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</si>
  <si>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</si>
  <si>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</si>
  <si>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</si>
  <si>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</si>
  <si>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</si>
  <si>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</si>
  <si>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</si>
  <si>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</si>
  <si>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</si>
  <si>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</si>
  <si>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</si>
  <si>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</si>
  <si>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</si>
  <si>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</si>
  <si>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</si>
  <si>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</si>
  <si>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</si>
  <si>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</si>
  <si>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</si>
  <si>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</si>
  <si>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</si>
  <si>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</si>
  <si>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</si>
  <si>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</si>
  <si>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</si>
  <si>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</si>
  <si>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</si>
  <si>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</si>
  <si>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</si>
  <si>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</si>
  <si>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</si>
  <si>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</si>
  <si>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</si>
  <si>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</si>
  <si>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</si>
  <si>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</si>
  <si>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</si>
  <si>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</si>
  <si>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</si>
  <si>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</si>
  <si>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</si>
  <si>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</si>
  <si>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</si>
  <si>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</si>
  <si>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</si>
  <si>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</si>
  <si>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</si>
  <si>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</si>
  <si>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</si>
  <si>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</si>
  <si>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</si>
  <si>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</si>
  <si>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</si>
  <si>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</si>
  <si>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</si>
  <si>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</si>
  <si>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</si>
  <si>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</si>
  <si>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</si>
  <si>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</si>
  <si>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</si>
  <si>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</si>
  <si>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</si>
  <si>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</si>
  <si>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</si>
  <si>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</si>
  <si>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</si>
  <si>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</si>
  <si>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</si>
  <si>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</si>
  <si>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</si>
  <si>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</si>
  <si>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</si>
  <si>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</si>
  <si>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</si>
  <si>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</si>
  <si>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</si>
  <si>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</si>
  <si>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</si>
  <si>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</si>
  <si>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</si>
  <si>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</si>
  <si>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</si>
  <si>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</si>
  <si>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</si>
  <si>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</si>
  <si>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</si>
  <si>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</si>
  <si>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</si>
  <si>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</si>
  <si>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</si>
  <si>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</si>
  <si>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</si>
  <si>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</si>
  <si>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</si>
  <si>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</si>
  <si>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</si>
  <si>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</si>
  <si>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</si>
  <si>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</si>
  <si>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</si>
  <si>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</si>
  <si>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</si>
  <si>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</si>
  <si>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</si>
  <si>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</si>
  <si>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</si>
  <si>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</si>
  <si>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</si>
  <si>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</si>
  <si>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</si>
  <si>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</si>
  <si>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</si>
  <si>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</si>
  <si>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</si>
  <si>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</si>
  <si>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</si>
  <si>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</si>
  <si>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</si>
  <si>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</si>
  <si>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</si>
  <si>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</si>
  <si>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</si>
  <si>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</si>
  <si>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</si>
  <si>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</si>
  <si>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</si>
  <si>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</si>
  <si>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</si>
  <si>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</si>
  <si>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</si>
  <si>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</si>
  <si>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</si>
  <si>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</si>
  <si>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</si>
  <si>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</si>
  <si>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</si>
  <si>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</si>
  <si>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</si>
  <si>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</si>
  <si>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</si>
  <si>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</si>
  <si>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</si>
  <si>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</si>
  <si>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</si>
  <si>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</si>
  <si>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</si>
  <si>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</si>
  <si>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</si>
  <si>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</si>
  <si>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</si>
  <si>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</si>
  <si>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</si>
  <si>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</si>
  <si>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</si>
  <si>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</si>
  <si>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</si>
  <si>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</si>
  <si>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</si>
  <si>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</si>
  <si>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</si>
  <si>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</si>
  <si>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</si>
  <si>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</si>
  <si>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</si>
  <si>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</si>
  <si>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</si>
  <si>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</si>
  <si>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</si>
  <si>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</si>
  <si>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</si>
  <si>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</si>
  <si>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</si>
  <si>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</si>
  <si>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</si>
  <si>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</si>
  <si>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</si>
  <si>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</si>
  <si>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</si>
  <si>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</si>
  <si>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</si>
  <si>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</si>
  <si>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</si>
  <si>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</si>
  <si>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</si>
  <si>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</si>
  <si>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</si>
  <si>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</si>
  <si>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</si>
  <si>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</si>
  <si>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</si>
  <si>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</si>
  <si>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</si>
  <si>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</si>
  <si>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</si>
  <si>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</si>
  <si>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</si>
  <si>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</si>
  <si>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</si>
  <si>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</si>
  <si>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</si>
  <si>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</si>
  <si>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</si>
  <si>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</si>
  <si>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</si>
  <si>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</si>
  <si>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</si>
  <si>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</si>
  <si>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</si>
  <si>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</si>
  <si>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</si>
  <si>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</si>
  <si>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</si>
  <si>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</si>
  <si>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</si>
  <si>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</si>
  <si>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</si>
  <si>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</si>
  <si>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</si>
  <si>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</si>
  <si>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</si>
  <si>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</si>
  <si>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</si>
  <si>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</si>
  <si>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</si>
  <si>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</si>
  <si>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</si>
  <si>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</si>
  <si>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</si>
  <si>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</si>
  <si>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</si>
  <si>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</si>
  <si>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</si>
  <si>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</si>
  <si>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</si>
  <si>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</si>
  <si>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</si>
  <si>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</si>
  <si>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</si>
  <si>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</si>
  <si>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</si>
  <si>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</si>
  <si>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</si>
  <si>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</si>
  <si>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</si>
  <si>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</si>
  <si>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</si>
  <si>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</si>
  <si>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</si>
  <si>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</si>
  <si>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</si>
  <si>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</si>
  <si>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</si>
  <si>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</si>
  <si>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</si>
  <si>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</si>
  <si>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</si>
  <si>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</si>
  <si>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</si>
  <si>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</si>
  <si>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</si>
  <si>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</si>
  <si>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</si>
  <si>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</si>
  <si>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</si>
  <si>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</si>
  <si>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</si>
  <si>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</si>
  <si>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</si>
  <si>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</si>
  <si>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</si>
  <si>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</si>
  <si>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</si>
  <si>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</si>
  <si>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</si>
  <si>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</si>
  <si>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</si>
  <si>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</si>
  <si>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</si>
  <si>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</si>
  <si>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</si>
  <si>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</si>
  <si>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</si>
  <si>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</si>
  <si>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</si>
  <si>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</si>
  <si>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</si>
  <si>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</si>
  <si>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</si>
  <si>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</si>
  <si>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</si>
  <si>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</si>
  <si>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</si>
  <si>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</si>
  <si>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</si>
  <si>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</si>
  <si>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</si>
  <si>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</si>
  <si>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</si>
  <si>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</si>
  <si>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</si>
  <si>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</si>
  <si>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</si>
  <si>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</si>
  <si>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</si>
  <si>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</si>
  <si>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</si>
  <si>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</si>
  <si>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</si>
  <si>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</si>
  <si>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</si>
  <si>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</si>
  <si>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</si>
  <si>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</si>
  <si>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</si>
  <si>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</si>
  <si>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</si>
  <si>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</si>
  <si>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</si>
  <si>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</si>
  <si>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</si>
  <si>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</si>
  <si>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</si>
  <si>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</si>
  <si>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</si>
  <si>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</si>
  <si>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</si>
  <si>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</si>
  <si>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</si>
  <si>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</si>
  <si>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</si>
  <si>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</si>
  <si>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</si>
  <si>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</si>
  <si>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</si>
  <si>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</si>
  <si>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</si>
  <si>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</si>
  <si>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</si>
  <si>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</si>
  <si>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</si>
  <si>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</si>
  <si>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</si>
  <si>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</si>
  <si>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</si>
  <si>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</si>
  <si>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</si>
  <si>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</si>
  <si>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</si>
  <si>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</si>
  <si>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</si>
  <si>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</si>
  <si>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</si>
  <si>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</si>
  <si>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</si>
  <si>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</si>
  <si>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</si>
  <si>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</si>
  <si>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</si>
  <si>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</si>
  <si>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</si>
  <si>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</si>
  <si>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</si>
  <si>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</si>
  <si>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</si>
  <si>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</si>
  <si>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</si>
  <si>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</si>
  <si>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</si>
  <si>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</si>
  <si>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</si>
  <si>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</si>
  <si>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</si>
  <si>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</si>
  <si>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</si>
  <si>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</si>
  <si>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</si>
  <si>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</si>
  <si>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</si>
  <si>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</si>
  <si>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</si>
  <si>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</si>
  <si>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</si>
  <si>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</si>
  <si>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</si>
  <si>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</si>
  <si>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</si>
  <si>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</si>
  <si>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</si>
  <si>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</si>
  <si>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</si>
  <si>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</si>
  <si>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</si>
  <si>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</si>
  <si>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</si>
  <si>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</si>
  <si>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</si>
  <si>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</si>
  <si>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</si>
  <si>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</si>
  <si>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</si>
  <si>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</si>
  <si>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</si>
  <si>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</si>
  <si>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</si>
  <si>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</si>
  <si>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</si>
  <si>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</si>
  <si>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</si>
  <si>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</si>
  <si>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</si>
  <si>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</si>
  <si>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</si>
  <si>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</si>
  <si>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</si>
  <si>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</si>
  <si>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</si>
  <si>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</si>
  <si>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</si>
  <si>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</si>
  <si>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</si>
  <si>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</si>
  <si>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</si>
  <si>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</si>
  <si>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</si>
  <si>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</si>
  <si>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</si>
  <si>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</si>
  <si>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</si>
  <si>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</si>
  <si>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</si>
  <si>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</si>
  <si>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</si>
  <si>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</si>
  <si>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</si>
  <si>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</si>
  <si>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</si>
  <si>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</si>
  <si>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</si>
  <si>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</si>
  <si>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</si>
  <si>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</si>
  <si>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</si>
  <si>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</si>
  <si>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</si>
  <si>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</si>
  <si>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</si>
  <si>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</si>
  <si>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</si>
  <si>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</si>
  <si>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</si>
  <si>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</si>
  <si>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</si>
  <si>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</si>
  <si>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</si>
  <si>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</si>
  <si>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</si>
  <si>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</si>
  <si>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</si>
  <si>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</si>
  <si>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</si>
  <si>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</si>
  <si>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</si>
  <si>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</si>
  <si>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</si>
  <si>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</si>
  <si>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</si>
  <si>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</si>
  <si>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</si>
  <si>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</si>
  <si>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</si>
  <si>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</si>
  <si>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</si>
  <si>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</si>
  <si>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</si>
  <si>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</si>
  <si>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</si>
  <si>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</si>
  <si>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</si>
  <si>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</si>
  <si>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</si>
  <si>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</si>
  <si>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</si>
  <si>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</si>
  <si>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</si>
  <si>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</si>
  <si>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</si>
  <si>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</si>
  <si>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</si>
  <si>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</si>
  <si>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</si>
  <si>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</si>
  <si>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</si>
  <si>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</si>
  <si>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</si>
  <si>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</si>
  <si>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</si>
  <si>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</si>
  <si>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</si>
  <si>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</si>
  <si>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</si>
  <si>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</si>
  <si>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</si>
  <si>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</si>
  <si>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</si>
  <si>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</si>
  <si>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</si>
  <si>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</si>
  <si>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</si>
  <si>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</si>
  <si>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</si>
  <si>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</si>
  <si>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</si>
  <si>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</si>
  <si>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</si>
  <si>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</si>
  <si>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</si>
  <si>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</si>
  <si>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</si>
  <si>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</si>
  <si>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</si>
  <si>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</si>
  <si>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</si>
  <si>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</si>
  <si>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</si>
  <si>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</si>
  <si>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</si>
  <si>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</si>
  <si>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</si>
  <si>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</si>
  <si>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</si>
  <si>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</si>
  <si>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</si>
  <si>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</si>
  <si>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</si>
  <si>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</si>
  <si>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</si>
  <si>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</si>
  <si>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</si>
  <si>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</si>
  <si>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</si>
  <si>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</si>
  <si>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</si>
  <si>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</si>
  <si>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</si>
  <si>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</si>
  <si>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</si>
  <si>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</si>
  <si>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</si>
  <si>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</si>
  <si>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</si>
  <si>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</si>
  <si>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</si>
  <si>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</si>
  <si>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</si>
  <si>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</si>
  <si>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</si>
  <si>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</si>
  <si>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</si>
  <si>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</si>
  <si>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</si>
  <si>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</si>
  <si>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</si>
  <si>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</si>
  <si>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</si>
  <si>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</si>
  <si>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</si>
  <si>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</si>
  <si>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</si>
  <si>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</si>
  <si>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</si>
  <si>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</si>
  <si>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</si>
  <si>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</si>
  <si>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</si>
  <si>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</si>
  <si>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</si>
  <si>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</si>
  <si>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</si>
  <si>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</si>
  <si>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</si>
  <si>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</si>
  <si>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</si>
  <si>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</si>
  <si>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</si>
  <si>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</si>
  <si>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</si>
  <si>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</si>
  <si>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</si>
  <si>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</si>
  <si>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</si>
  <si>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</si>
  <si>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</si>
  <si>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</si>
  <si>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</si>
  <si>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</si>
  <si>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</si>
  <si>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</si>
  <si>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</si>
  <si>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</si>
  <si>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</si>
  <si>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</si>
  <si>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</si>
  <si>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</si>
  <si>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</si>
  <si>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</si>
  <si>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</si>
  <si>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</si>
  <si>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</si>
  <si>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</si>
  <si>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</si>
  <si>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</si>
  <si>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</si>
  <si>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</si>
  <si>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</si>
  <si>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</si>
  <si>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</si>
  <si>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</si>
  <si>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</si>
  <si>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</si>
  <si>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</si>
  <si>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</si>
  <si>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</si>
  <si>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</si>
  <si>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</si>
  <si>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</si>
  <si>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</si>
  <si>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</si>
  <si>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</si>
  <si>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</si>
  <si>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</si>
  <si>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</si>
  <si>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</si>
  <si>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</si>
  <si>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</si>
  <si>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</si>
  <si>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</si>
  <si>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</si>
  <si>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</si>
  <si>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</si>
  <si>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</si>
  <si>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</si>
  <si>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</si>
  <si>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</si>
  <si>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</si>
  <si>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</si>
  <si>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</si>
  <si>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</si>
  <si>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</si>
  <si>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</si>
  <si>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</si>
  <si>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</si>
  <si>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</si>
  <si>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</si>
  <si>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</si>
  <si>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</si>
  <si>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</si>
  <si>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</si>
  <si>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</si>
  <si>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</si>
  <si>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</si>
  <si>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</si>
  <si>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</si>
  <si>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</si>
  <si>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</si>
  <si>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</si>
  <si>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</si>
  <si>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</si>
  <si>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</si>
  <si>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</si>
  <si>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</si>
  <si>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</si>
  <si>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</si>
  <si>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</si>
  <si>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</si>
  <si>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</si>
  <si>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</si>
  <si>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</si>
  <si>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</si>
  <si>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</si>
  <si>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</si>
  <si>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</si>
  <si>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</si>
  <si>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</si>
  <si>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</si>
  <si>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</si>
  <si>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</si>
  <si>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</si>
  <si>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</si>
  <si>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</si>
  <si>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</si>
  <si>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</si>
  <si>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</si>
  <si>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</si>
  <si>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</si>
  <si>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</si>
  <si>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</si>
  <si>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</si>
  <si>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</si>
  <si>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</si>
  <si>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</si>
  <si>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</si>
  <si>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</si>
  <si>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</si>
  <si>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</si>
  <si>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</si>
  <si>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</si>
  <si>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</si>
  <si>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</si>
  <si>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</si>
  <si>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</si>
  <si>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</si>
  <si>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</si>
  <si>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</si>
  <si>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</si>
  <si>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</si>
  <si>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</si>
  <si>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</si>
  <si>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</si>
  <si>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</si>
  <si>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</si>
  <si>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</si>
  <si>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</si>
  <si>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</si>
  <si>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</si>
  <si>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</si>
  <si>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</si>
  <si>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</si>
  <si>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</si>
  <si>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</si>
  <si>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</si>
  <si>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</si>
  <si>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</si>
  <si>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</si>
  <si>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</si>
  <si>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</si>
  <si>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</si>
  <si>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</si>
  <si>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</si>
  <si>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</si>
  <si>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</si>
  <si>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</si>
  <si>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</si>
  <si>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</si>
  <si>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</si>
  <si>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</si>
  <si>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</si>
  <si>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</si>
  <si>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</si>
  <si>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</si>
  <si>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</si>
  <si>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</si>
  <si>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</si>
  <si>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</si>
  <si>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</si>
  <si>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</si>
  <si>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</si>
  <si>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</si>
  <si>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</si>
  <si>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</si>
  <si>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</si>
  <si>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</si>
  <si>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</si>
  <si>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</si>
  <si>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</si>
  <si>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</si>
  <si>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</si>
  <si>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</si>
  <si>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</si>
  <si>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</si>
  <si>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</si>
  <si>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</si>
  <si>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</si>
  <si>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</si>
  <si>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</si>
  <si>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</si>
  <si>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</si>
  <si>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</si>
  <si>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</si>
  <si>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</si>
  <si>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</si>
  <si>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</si>
  <si>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</si>
  <si>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</si>
  <si>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</si>
  <si>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</si>
  <si>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</si>
  <si>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</si>
  <si>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</si>
  <si>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</si>
  <si>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</si>
  <si>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</si>
  <si>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</si>
  <si>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</si>
  <si>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</si>
  <si>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</si>
  <si>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</si>
  <si>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</si>
  <si>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</si>
  <si>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</si>
  <si>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</si>
  <si>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</si>
  <si>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</si>
  <si>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</si>
  <si>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</si>
  <si>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</si>
  <si>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</si>
  <si>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</si>
  <si>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</si>
  <si>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</si>
  <si>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</si>
  <si>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</si>
  <si>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</si>
  <si>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</si>
  <si>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</si>
  <si>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</si>
  <si>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</si>
  <si>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</si>
  <si>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</si>
  <si>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</si>
  <si>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</si>
  <si>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</si>
  <si>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</si>
  <si>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</si>
  <si>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</si>
  <si>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</si>
  <si>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</si>
  <si>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</si>
  <si>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</si>
  <si>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</si>
  <si>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</si>
  <si>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</si>
  <si>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</si>
  <si>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</si>
  <si>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</si>
  <si>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</si>
  <si>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</si>
  <si>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</si>
  <si>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</si>
  <si>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</si>
  <si>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</si>
  <si>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</si>
  <si>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</si>
  <si>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</si>
  <si>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</si>
  <si>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</si>
  <si>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</si>
  <si>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</si>
  <si>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</si>
  <si>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</si>
  <si>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</si>
  <si>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</si>
  <si>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</si>
  <si>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</si>
  <si>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</si>
  <si>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</si>
  <si>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</si>
  <si>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</si>
  <si>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</si>
  <si>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</si>
  <si>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</si>
  <si>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</si>
  <si>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</si>
  <si>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</si>
  <si>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</si>
  <si>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</si>
  <si>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</si>
  <si>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</si>
  <si>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</si>
  <si>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</si>
  <si>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</si>
  <si>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</si>
  <si>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</si>
  <si>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</si>
  <si>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</si>
  <si>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</si>
  <si>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</si>
  <si>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</si>
  <si>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</si>
  <si>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</si>
  <si>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</si>
  <si>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</si>
  <si>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</si>
  <si>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</si>
  <si>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</si>
  <si>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</si>
  <si>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</si>
  <si>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</si>
  <si>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</si>
  <si>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</si>
  <si>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</si>
  <si>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</si>
  <si>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</si>
  <si>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</si>
  <si>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</si>
  <si>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</si>
  <si>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</si>
  <si>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</si>
  <si>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</si>
  <si>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</si>
  <si>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</si>
  <si>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</si>
  <si>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</si>
  <si>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</si>
  <si>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</si>
  <si>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</si>
  <si>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</si>
  <si>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</si>
  <si>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</si>
  <si>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</si>
  <si>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</si>
  <si>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</si>
  <si>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</si>
  <si>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</si>
  <si>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4000大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</si>
  <si>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</si>
  <si>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</si>
  <si>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</si>
  <si>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</si>
  <si>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</si>
  <si>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</si>
  <si>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</si>
  <si>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</si>
  <si>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r>
      <rPr>
        <sz val="9"/>
        <color theme="1"/>
        <rFont val="等线"/>
        <charset val="134"/>
      </rPr>
      <t>8数</t>
    </r>
    <r>
      <rPr>
        <sz val="9"/>
        <color theme="1"/>
        <rFont val="Times New Roman"/>
        <charset val="134"/>
      </rPr>
      <t>‌</t>
    </r>
  </si>
  <si>
    <t>1垓</t>
  </si>
  <si>
    <t>1极</t>
  </si>
  <si>
    <t>8700000000000</t>
  </si>
  <si>
    <t>10159</t>
  </si>
  <si>
    <t>1159</t>
  </si>
  <si>
    <t>深渊蝎王</t>
  </si>
  <si>
    <t>900阿</t>
  </si>
  <si>
    <t>900不</t>
  </si>
  <si>
    <r>
      <rPr>
        <sz val="9"/>
        <color theme="1"/>
        <rFont val="等线"/>
        <charset val="134"/>
      </rPr>
      <t>160数</t>
    </r>
    <r>
      <rPr>
        <sz val="9"/>
        <color theme="1"/>
        <rFont val="Times New Roman"/>
        <charset val="134"/>
      </rPr>
      <t>‌</t>
    </r>
  </si>
  <si>
    <t>20垓</t>
  </si>
  <si>
    <t>20极</t>
  </si>
  <si>
    <t>9000000000000</t>
  </si>
  <si>
    <t>#</t>
  </si>
  <si>
    <t>10160</t>
  </si>
  <si>
    <t>1160</t>
  </si>
  <si>
    <t>深渊恶魔教主</t>
  </si>
  <si>
    <t>10161</t>
  </si>
  <si>
    <t>1161</t>
  </si>
  <si>
    <t>深渊恶魔教皇</t>
  </si>
  <si>
    <t>10162</t>
  </si>
  <si>
    <t>1162</t>
  </si>
  <si>
    <t>深渊邪魔教主</t>
  </si>
  <si>
    <t>10163</t>
  </si>
  <si>
    <t>1163</t>
  </si>
  <si>
    <t>深渊邪魔教皇</t>
  </si>
  <si>
    <t>10164</t>
  </si>
  <si>
    <t>1164</t>
  </si>
  <si>
    <t>10165</t>
  </si>
  <si>
    <t>1165</t>
  </si>
  <si>
    <t>深渊烈焰王</t>
  </si>
  <si>
    <t>10166</t>
  </si>
  <si>
    <t>1166</t>
  </si>
  <si>
    <t>深渊大邪王</t>
  </si>
  <si>
    <t>10167</t>
  </si>
  <si>
    <t>1167</t>
  </si>
  <si>
    <t>深渊尸魔王</t>
  </si>
  <si>
    <t>10168</t>
  </si>
  <si>
    <t>1168</t>
  </si>
  <si>
    <t>深渊骨魔王</t>
  </si>
  <si>
    <t>10169</t>
  </si>
  <si>
    <t>1169</t>
  </si>
  <si>
    <t>深渊牛魔王</t>
  </si>
  <si>
    <t>10170</t>
  </si>
  <si>
    <t>1170</t>
  </si>
  <si>
    <t>深渊水龙王</t>
  </si>
  <si>
    <t>10171</t>
  </si>
  <si>
    <t>1171</t>
  </si>
  <si>
    <t>深渊土龙王</t>
  </si>
  <si>
    <t>10172</t>
  </si>
  <si>
    <t>1172</t>
  </si>
  <si>
    <t>深渊毒龙王</t>
  </si>
  <si>
    <t>10173</t>
  </si>
  <si>
    <t>1173</t>
  </si>
  <si>
    <t>深渊火龙王</t>
  </si>
  <si>
    <t>10174</t>
  </si>
  <si>
    <t>1174</t>
  </si>
  <si>
    <t>深渊冰龙王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</si>
</sst>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theme="1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49" fontId="1" fillId="3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53" workbookViewId="0">
      <selection activeCell="O183" sqref="O183"/>
    </sheetView>
  </sheetViews>
  <sheetFormatPr defaultColWidth="9" defaultRowHeight="18" customHeight="1"/>
  <cols>
    <col min="1" max="1" width="6.87610619469027" style="4" customWidth="1"/>
    <col min="2" max="2" width="9" style="4"/>
    <col min="3" max="3" width="9.87610619469027" style="1" customWidth="1"/>
    <col min="4" max="4" width="7.6283185840708" style="1" customWidth="1"/>
    <col min="5" max="5" width="6.87610619469027" style="1" customWidth="1"/>
    <col min="6" max="6" width="12.1238938053097" style="1" customWidth="1"/>
    <col min="7" max="7" width="23.2477876106195" style="4" customWidth="1"/>
    <col min="8" max="8" width="23" style="4" customWidth="1"/>
    <col min="9" max="9" width="22.6283185840708" style="4" customWidth="1"/>
    <col min="10" max="10" width="16" style="4" customWidth="1"/>
    <col min="11" max="11" width="11.7522123893805" style="4" customWidth="1"/>
    <col min="12" max="12" width="15.8761061946903" style="4" customWidth="1"/>
    <col min="13" max="15" width="12.1238938053097" style="4" customWidth="1"/>
    <col min="16" max="16" width="9.6283185840708" style="4" customWidth="1"/>
    <col min="17" max="17" width="7.50442477876106" style="4" customWidth="1"/>
    <col min="18" max="18" width="7.12389380530973" style="4" customWidth="1"/>
    <col min="19" max="19" width="16.3716814159292" style="4" customWidth="1"/>
    <col min="20" max="20" width="13" style="4" customWidth="1"/>
    <col min="21" max="21" width="13.7522123893805" style="1" customWidth="1"/>
    <col min="22" max="22" width="15.5044247787611" style="1" customWidth="1"/>
    <col min="23" max="23" width="13.3716814159292" style="1" customWidth="1"/>
    <col min="24" max="16384" width="9" style="4"/>
  </cols>
  <sheetData>
    <row r="1" s="1" customFormat="1" customHeight="1" spans="1:20">
      <c r="A1" s="4"/>
      <c r="B1" s="4"/>
      <c r="G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</row>
    <row r="2" s="1" customFormat="1" customHeight="1" spans="1:20">
      <c r="A2" s="4"/>
      <c r="B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="1" customFormat="1" customHeight="1" spans="1:23">
      <c r="A3" s="4"/>
      <c r="B3" s="4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8" t="s">
        <v>18</v>
      </c>
      <c r="V3" s="8" t="s">
        <v>19</v>
      </c>
      <c r="W3" s="8" t="s">
        <v>20</v>
      </c>
    </row>
    <row r="4" s="1" customFormat="1" customHeight="1" spans="1:23">
      <c r="A4" s="4"/>
      <c r="B4" s="4"/>
      <c r="C4" s="6" t="s">
        <v>21</v>
      </c>
      <c r="D4" s="6" t="s">
        <v>22</v>
      </c>
      <c r="E4" s="6" t="s">
        <v>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7</v>
      </c>
      <c r="K4" s="6" t="s">
        <v>8</v>
      </c>
      <c r="L4" s="6" t="s">
        <v>9</v>
      </c>
      <c r="M4" s="6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27</v>
      </c>
      <c r="T4" s="6" t="s">
        <v>28</v>
      </c>
      <c r="U4" s="8" t="s">
        <v>29</v>
      </c>
      <c r="V4" s="8" t="s">
        <v>30</v>
      </c>
      <c r="W4" s="8" t="s">
        <v>31</v>
      </c>
    </row>
    <row r="5" s="1" customFormat="1" customHeight="1" spans="1:23">
      <c r="A5" s="4"/>
      <c r="B5" s="4"/>
      <c r="C5" s="6" t="s">
        <v>32</v>
      </c>
      <c r="D5" s="6" t="s">
        <v>32</v>
      </c>
      <c r="E5" s="6" t="s">
        <v>32</v>
      </c>
      <c r="F5" s="6" t="s">
        <v>33</v>
      </c>
      <c r="G5" s="6" t="s">
        <v>33</v>
      </c>
      <c r="H5" s="6" t="s">
        <v>33</v>
      </c>
      <c r="I5" s="6" t="s">
        <v>33</v>
      </c>
      <c r="J5" s="6" t="s">
        <v>33</v>
      </c>
      <c r="K5" s="6" t="s">
        <v>33</v>
      </c>
      <c r="L5" s="6" t="s">
        <v>32</v>
      </c>
      <c r="M5" s="6" t="s">
        <v>32</v>
      </c>
      <c r="N5" s="6" t="s">
        <v>32</v>
      </c>
      <c r="O5" s="6" t="s">
        <v>32</v>
      </c>
      <c r="P5" s="6" t="s">
        <v>32</v>
      </c>
      <c r="Q5" s="6" t="s">
        <v>32</v>
      </c>
      <c r="R5" s="6" t="s">
        <v>34</v>
      </c>
      <c r="S5" s="6" t="s">
        <v>35</v>
      </c>
      <c r="T5" s="6" t="s">
        <v>35</v>
      </c>
      <c r="U5" s="8" t="s">
        <v>36</v>
      </c>
      <c r="V5" s="8" t="s">
        <v>36</v>
      </c>
      <c r="W5" s="8" t="s">
        <v>32</v>
      </c>
    </row>
    <row r="6" s="1" customFormat="1" ht="11.6" spans="3:23">
      <c r="C6" s="1" t="s">
        <v>37</v>
      </c>
      <c r="D6" s="1" t="s">
        <v>38</v>
      </c>
      <c r="E6" s="1">
        <v>1</v>
      </c>
      <c r="F6" s="1" t="s">
        <v>39</v>
      </c>
      <c r="G6" s="15" t="s">
        <v>40</v>
      </c>
      <c r="H6" s="15" t="s">
        <v>41</v>
      </c>
      <c r="I6" s="15" t="s">
        <v>42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7">
        <v>0</v>
      </c>
      <c r="Q6" s="7">
        <v>0</v>
      </c>
      <c r="R6" s="7">
        <v>0</v>
      </c>
      <c r="S6" s="1" t="s">
        <v>37</v>
      </c>
      <c r="T6" s="1" t="s">
        <v>37</v>
      </c>
      <c r="V6" s="1" t="s">
        <v>43</v>
      </c>
      <c r="W6" s="1">
        <v>-1</v>
      </c>
    </row>
    <row r="7" customHeight="1" spans="3:24">
      <c r="C7" s="1" t="s">
        <v>44</v>
      </c>
      <c r="D7" s="1" t="s">
        <v>45</v>
      </c>
      <c r="E7" s="1">
        <v>1</v>
      </c>
      <c r="F7" s="1" t="s">
        <v>46</v>
      </c>
      <c r="G7" s="1" t="s">
        <v>47</v>
      </c>
      <c r="H7" s="1" t="s">
        <v>48</v>
      </c>
      <c r="I7" s="1" t="s">
        <v>49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7">
        <v>0</v>
      </c>
      <c r="Q7" s="7">
        <v>0</v>
      </c>
      <c r="R7" s="7">
        <v>0</v>
      </c>
      <c r="S7" s="1" t="s">
        <v>50</v>
      </c>
      <c r="T7" s="1" t="s">
        <v>50</v>
      </c>
      <c r="V7" s="1" t="s">
        <v>51</v>
      </c>
      <c r="W7" s="1">
        <v>-1</v>
      </c>
      <c r="X7" s="1"/>
    </row>
    <row r="8" customHeight="1" spans="3:24">
      <c r="C8" s="1" t="s">
        <v>52</v>
      </c>
      <c r="D8" s="1" t="s">
        <v>53</v>
      </c>
      <c r="E8" s="1">
        <v>1</v>
      </c>
      <c r="F8" s="1" t="s">
        <v>54</v>
      </c>
      <c r="G8" s="1" t="s">
        <v>37</v>
      </c>
      <c r="H8" s="1" t="s">
        <v>55</v>
      </c>
      <c r="I8" s="1" t="s">
        <v>56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7">
        <v>0</v>
      </c>
      <c r="Q8" s="7">
        <v>0</v>
      </c>
      <c r="R8" s="7">
        <v>0</v>
      </c>
      <c r="S8" s="1" t="s">
        <v>57</v>
      </c>
      <c r="T8" s="1" t="s">
        <v>57</v>
      </c>
      <c r="V8" s="1" t="s">
        <v>58</v>
      </c>
      <c r="W8" s="1">
        <v>-1</v>
      </c>
      <c r="X8" s="1"/>
    </row>
    <row r="9" customHeight="1" spans="3:24">
      <c r="C9" s="1" t="s">
        <v>59</v>
      </c>
      <c r="D9" s="1" t="s">
        <v>60</v>
      </c>
      <c r="E9" s="1">
        <v>1</v>
      </c>
      <c r="F9" s="1" t="s">
        <v>61</v>
      </c>
      <c r="G9" s="1" t="s">
        <v>62</v>
      </c>
      <c r="H9" s="1" t="s">
        <v>63</v>
      </c>
      <c r="I9" s="1" t="s">
        <v>64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7">
        <v>0</v>
      </c>
      <c r="Q9" s="7">
        <v>0</v>
      </c>
      <c r="R9" s="7">
        <v>0</v>
      </c>
      <c r="S9" s="1" t="s">
        <v>65</v>
      </c>
      <c r="T9" s="1" t="s">
        <v>65</v>
      </c>
      <c r="V9" s="1" t="s">
        <v>66</v>
      </c>
      <c r="W9" s="1">
        <v>0</v>
      </c>
      <c r="X9" s="1"/>
    </row>
    <row r="10" customHeight="1" spans="3:24">
      <c r="C10" s="1" t="s">
        <v>67</v>
      </c>
      <c r="D10" s="1" t="s">
        <v>68</v>
      </c>
      <c r="E10" s="1">
        <v>1</v>
      </c>
      <c r="F10" s="1" t="s">
        <v>69</v>
      </c>
      <c r="G10" s="1" t="s">
        <v>50</v>
      </c>
      <c r="H10" s="1" t="s">
        <v>37</v>
      </c>
      <c r="I10" s="1" t="s">
        <v>70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7">
        <v>0</v>
      </c>
      <c r="Q10" s="7">
        <v>0</v>
      </c>
      <c r="R10" s="7">
        <v>0</v>
      </c>
      <c r="S10" s="1" t="s">
        <v>56</v>
      </c>
      <c r="T10" s="1" t="s">
        <v>56</v>
      </c>
      <c r="V10" s="1" t="s">
        <v>71</v>
      </c>
      <c r="W10" s="1">
        <v>0</v>
      </c>
      <c r="X10" s="1"/>
    </row>
    <row r="11" customHeight="1" spans="3:24">
      <c r="C11" s="1" t="s">
        <v>72</v>
      </c>
      <c r="D11" s="1" t="s">
        <v>73</v>
      </c>
      <c r="E11" s="1">
        <v>1</v>
      </c>
      <c r="F11" s="1" t="s">
        <v>74</v>
      </c>
      <c r="G11" s="1" t="s">
        <v>75</v>
      </c>
      <c r="H11" s="1" t="s">
        <v>76</v>
      </c>
      <c r="I11" s="1" t="s">
        <v>77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7">
        <v>0</v>
      </c>
      <c r="Q11" s="7">
        <v>0</v>
      </c>
      <c r="R11" s="7">
        <v>0</v>
      </c>
      <c r="S11" s="1" t="s">
        <v>78</v>
      </c>
      <c r="T11" s="1" t="s">
        <v>78</v>
      </c>
      <c r="V11" s="1" t="s">
        <v>79</v>
      </c>
      <c r="W11" s="1">
        <v>0</v>
      </c>
      <c r="X11" s="1"/>
    </row>
    <row r="12" customHeight="1" spans="3:24">
      <c r="C12" s="1" t="s">
        <v>80</v>
      </c>
      <c r="D12" s="1" t="s">
        <v>81</v>
      </c>
      <c r="E12" s="1">
        <v>1</v>
      </c>
      <c r="F12" s="1" t="s">
        <v>82</v>
      </c>
      <c r="G12" s="1" t="s">
        <v>83</v>
      </c>
      <c r="H12" s="1" t="s">
        <v>84</v>
      </c>
      <c r="I12" s="1" t="s">
        <v>85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7">
        <v>0</v>
      </c>
      <c r="Q12" s="7">
        <v>0</v>
      </c>
      <c r="R12" s="7">
        <v>0</v>
      </c>
      <c r="S12" s="1" t="s">
        <v>86</v>
      </c>
      <c r="T12" s="1" t="s">
        <v>86</v>
      </c>
      <c r="V12" s="1" t="s">
        <v>87</v>
      </c>
      <c r="W12" s="1">
        <v>0</v>
      </c>
      <c r="X12" s="1"/>
    </row>
    <row r="13" customHeight="1" spans="3:24">
      <c r="C13" s="1" t="s">
        <v>88</v>
      </c>
      <c r="D13" s="1" t="s">
        <v>89</v>
      </c>
      <c r="E13" s="1">
        <v>1</v>
      </c>
      <c r="F13" s="1" t="s">
        <v>90</v>
      </c>
      <c r="G13" s="1" t="s">
        <v>91</v>
      </c>
      <c r="H13" s="1" t="s">
        <v>92</v>
      </c>
      <c r="I13" s="1" t="s">
        <v>93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7">
        <v>0</v>
      </c>
      <c r="Q13" s="7">
        <v>0</v>
      </c>
      <c r="R13" s="7">
        <v>0</v>
      </c>
      <c r="S13" s="1" t="s">
        <v>94</v>
      </c>
      <c r="T13" s="1" t="s">
        <v>94</v>
      </c>
      <c r="V13" s="1" t="s">
        <v>95</v>
      </c>
      <c r="W13" s="1">
        <v>0</v>
      </c>
      <c r="X13" s="1"/>
    </row>
    <row r="14" customHeight="1" spans="3:24">
      <c r="C14" s="1" t="s">
        <v>96</v>
      </c>
      <c r="D14" s="1" t="s">
        <v>97</v>
      </c>
      <c r="E14" s="1">
        <v>1</v>
      </c>
      <c r="F14" s="1" t="s">
        <v>98</v>
      </c>
      <c r="G14" s="1" t="s">
        <v>99</v>
      </c>
      <c r="H14" s="1" t="s">
        <v>100</v>
      </c>
      <c r="I14" s="1" t="s">
        <v>101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7">
        <v>0</v>
      </c>
      <c r="Q14" s="7">
        <v>0</v>
      </c>
      <c r="R14" s="7">
        <v>0</v>
      </c>
      <c r="S14" s="1" t="s">
        <v>102</v>
      </c>
      <c r="T14" s="1" t="s">
        <v>102</v>
      </c>
      <c r="V14" s="1" t="s">
        <v>40</v>
      </c>
      <c r="W14" s="1">
        <v>0</v>
      </c>
      <c r="X14" s="1"/>
    </row>
    <row r="15" customHeight="1" spans="3:24">
      <c r="C15" s="1" t="s">
        <v>103</v>
      </c>
      <c r="D15" s="1" t="s">
        <v>104</v>
      </c>
      <c r="E15" s="1">
        <v>1</v>
      </c>
      <c r="F15" s="1" t="s">
        <v>105</v>
      </c>
      <c r="G15" s="1" t="s">
        <v>106</v>
      </c>
      <c r="H15" s="1" t="s">
        <v>107</v>
      </c>
      <c r="I15" s="1" t="s">
        <v>108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7">
        <v>0</v>
      </c>
      <c r="Q15" s="7">
        <v>0</v>
      </c>
      <c r="R15" s="7">
        <v>0</v>
      </c>
      <c r="S15" s="1" t="s">
        <v>109</v>
      </c>
      <c r="T15" s="1" t="s">
        <v>109</v>
      </c>
      <c r="V15" s="1" t="s">
        <v>110</v>
      </c>
      <c r="W15" s="1">
        <v>0</v>
      </c>
      <c r="X15" s="1"/>
    </row>
    <row r="16" customHeight="1" spans="3:24">
      <c r="C16" s="1" t="s">
        <v>111</v>
      </c>
      <c r="D16" s="1" t="s">
        <v>112</v>
      </c>
      <c r="E16" s="1">
        <v>1</v>
      </c>
      <c r="F16" s="1" t="s">
        <v>113</v>
      </c>
      <c r="G16" s="1" t="s">
        <v>114</v>
      </c>
      <c r="H16" s="1" t="s">
        <v>115</v>
      </c>
      <c r="I16" s="1" t="s">
        <v>116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7">
        <v>0</v>
      </c>
      <c r="Q16" s="7">
        <v>0</v>
      </c>
      <c r="R16" s="7">
        <v>0</v>
      </c>
      <c r="S16" s="1" t="s">
        <v>117</v>
      </c>
      <c r="T16" s="1" t="s">
        <v>117</v>
      </c>
      <c r="V16" s="1" t="s">
        <v>118</v>
      </c>
      <c r="W16" s="1">
        <v>0</v>
      </c>
      <c r="X16" s="1"/>
    </row>
    <row r="17" customHeight="1" spans="3:24">
      <c r="C17" s="1" t="s">
        <v>119</v>
      </c>
      <c r="D17" s="1" t="s">
        <v>120</v>
      </c>
      <c r="E17" s="1">
        <v>1</v>
      </c>
      <c r="F17" s="1" t="s">
        <v>121</v>
      </c>
      <c r="G17" s="1" t="s">
        <v>122</v>
      </c>
      <c r="H17" s="1" t="s">
        <v>123</v>
      </c>
      <c r="I17" s="1" t="s">
        <v>124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7">
        <v>0</v>
      </c>
      <c r="Q17" s="7">
        <v>0</v>
      </c>
      <c r="R17" s="7">
        <v>0</v>
      </c>
      <c r="S17" s="1" t="s">
        <v>125</v>
      </c>
      <c r="T17" s="1" t="s">
        <v>125</v>
      </c>
      <c r="V17" s="1" t="s">
        <v>126</v>
      </c>
      <c r="W17" s="1">
        <v>0</v>
      </c>
      <c r="X17" s="1"/>
    </row>
    <row r="18" customHeight="1" spans="3:24">
      <c r="C18" s="1" t="s">
        <v>127</v>
      </c>
      <c r="D18" s="1" t="s">
        <v>128</v>
      </c>
      <c r="E18" s="1">
        <v>1</v>
      </c>
      <c r="F18" s="1" t="s">
        <v>129</v>
      </c>
      <c r="G18" s="1" t="s">
        <v>130</v>
      </c>
      <c r="H18" s="1" t="s">
        <v>131</v>
      </c>
      <c r="I18" s="1" t="s">
        <v>132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7">
        <v>0</v>
      </c>
      <c r="Q18" s="7">
        <v>0</v>
      </c>
      <c r="R18" s="7">
        <v>0</v>
      </c>
      <c r="S18" s="1" t="s">
        <v>133</v>
      </c>
      <c r="T18" s="1" t="s">
        <v>133</v>
      </c>
      <c r="V18" s="1" t="s">
        <v>134</v>
      </c>
      <c r="W18" s="1">
        <v>0</v>
      </c>
      <c r="X18" s="1"/>
    </row>
    <row r="19" customHeight="1" spans="3:24">
      <c r="C19" s="1" t="s">
        <v>135</v>
      </c>
      <c r="D19" s="1" t="s">
        <v>136</v>
      </c>
      <c r="E19" s="1">
        <v>1</v>
      </c>
      <c r="F19" s="1" t="s">
        <v>137</v>
      </c>
      <c r="G19" s="1" t="s">
        <v>138</v>
      </c>
      <c r="H19" s="1" t="s">
        <v>139</v>
      </c>
      <c r="I19" s="1" t="s">
        <v>140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7">
        <v>0</v>
      </c>
      <c r="Q19" s="7">
        <v>0</v>
      </c>
      <c r="R19" s="7">
        <v>0</v>
      </c>
      <c r="S19" s="1" t="s">
        <v>141</v>
      </c>
      <c r="T19" s="1" t="s">
        <v>141</v>
      </c>
      <c r="V19" s="1" t="s">
        <v>134</v>
      </c>
      <c r="W19" s="1">
        <v>0</v>
      </c>
      <c r="X19" s="1"/>
    </row>
    <row r="20" customHeight="1" spans="3:24">
      <c r="C20" s="1" t="s">
        <v>142</v>
      </c>
      <c r="D20" s="1" t="s">
        <v>143</v>
      </c>
      <c r="E20" s="1">
        <v>1</v>
      </c>
      <c r="F20" s="1" t="s">
        <v>144</v>
      </c>
      <c r="G20" s="1" t="s">
        <v>145</v>
      </c>
      <c r="H20" s="1" t="s">
        <v>146</v>
      </c>
      <c r="I20" s="1" t="s">
        <v>147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7">
        <v>0</v>
      </c>
      <c r="Q20" s="7">
        <v>0</v>
      </c>
      <c r="R20" s="7">
        <v>0</v>
      </c>
      <c r="S20" s="1" t="s">
        <v>148</v>
      </c>
      <c r="T20" s="1" t="s">
        <v>148</v>
      </c>
      <c r="V20" s="1" t="s">
        <v>134</v>
      </c>
      <c r="W20" s="1">
        <v>0</v>
      </c>
      <c r="X20" s="1"/>
    </row>
    <row r="21" customHeight="1" spans="3:24">
      <c r="C21" s="1" t="s">
        <v>149</v>
      </c>
      <c r="D21" s="1" t="s">
        <v>150</v>
      </c>
      <c r="E21" s="1">
        <v>1</v>
      </c>
      <c r="F21" s="1" t="s">
        <v>151</v>
      </c>
      <c r="G21" s="1" t="s">
        <v>152</v>
      </c>
      <c r="H21" s="1" t="s">
        <v>153</v>
      </c>
      <c r="I21" s="1" t="s">
        <v>154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7">
        <v>0</v>
      </c>
      <c r="Q21" s="7">
        <v>0</v>
      </c>
      <c r="R21" s="7">
        <v>0</v>
      </c>
      <c r="S21" s="1" t="s">
        <v>155</v>
      </c>
      <c r="T21" s="1" t="s">
        <v>155</v>
      </c>
      <c r="V21" s="1" t="s">
        <v>156</v>
      </c>
      <c r="W21" s="1">
        <v>0</v>
      </c>
      <c r="X21" s="1"/>
    </row>
    <row r="22" customHeight="1" spans="3:24">
      <c r="C22" s="1" t="s">
        <v>157</v>
      </c>
      <c r="D22" s="1" t="s">
        <v>158</v>
      </c>
      <c r="E22" s="1">
        <v>1</v>
      </c>
      <c r="F22" s="1" t="s">
        <v>159</v>
      </c>
      <c r="G22" s="1" t="s">
        <v>160</v>
      </c>
      <c r="H22" s="1" t="s">
        <v>161</v>
      </c>
      <c r="I22" s="1" t="s">
        <v>162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7">
        <v>0</v>
      </c>
      <c r="Q22" s="7">
        <v>0</v>
      </c>
      <c r="R22" s="7">
        <v>0</v>
      </c>
      <c r="S22" s="1" t="s">
        <v>163</v>
      </c>
      <c r="T22" s="1" t="s">
        <v>163</v>
      </c>
      <c r="V22" s="1" t="s">
        <v>156</v>
      </c>
      <c r="W22" s="1">
        <v>0</v>
      </c>
      <c r="X22" s="1"/>
    </row>
    <row r="23" customHeight="1" spans="3:24">
      <c r="C23" s="1" t="s">
        <v>164</v>
      </c>
      <c r="D23" s="1" t="s">
        <v>165</v>
      </c>
      <c r="E23" s="1">
        <v>1</v>
      </c>
      <c r="F23" s="1" t="s">
        <v>166</v>
      </c>
      <c r="G23" s="1" t="s">
        <v>167</v>
      </c>
      <c r="H23" s="1" t="s">
        <v>168</v>
      </c>
      <c r="I23" s="1" t="s">
        <v>169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7">
        <v>0</v>
      </c>
      <c r="Q23" s="7">
        <v>0</v>
      </c>
      <c r="R23" s="7">
        <v>0</v>
      </c>
      <c r="S23" s="1" t="s">
        <v>170</v>
      </c>
      <c r="T23" s="1" t="s">
        <v>170</v>
      </c>
      <c r="V23" s="1" t="s">
        <v>156</v>
      </c>
      <c r="W23" s="1">
        <v>0</v>
      </c>
      <c r="X23" s="1"/>
    </row>
    <row r="24" customHeight="1" spans="3:24">
      <c r="C24" s="1" t="s">
        <v>171</v>
      </c>
      <c r="D24" s="1" t="s">
        <v>172</v>
      </c>
      <c r="E24" s="1">
        <v>1</v>
      </c>
      <c r="F24" s="1" t="s">
        <v>173</v>
      </c>
      <c r="G24" s="1" t="s">
        <v>174</v>
      </c>
      <c r="H24" s="1" t="s">
        <v>175</v>
      </c>
      <c r="I24" s="1" t="s">
        <v>176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7">
        <v>0</v>
      </c>
      <c r="Q24" s="7">
        <v>0</v>
      </c>
      <c r="R24" s="7">
        <v>0</v>
      </c>
      <c r="S24" s="1" t="s">
        <v>177</v>
      </c>
      <c r="T24" s="1" t="s">
        <v>177</v>
      </c>
      <c r="V24" s="1" t="s">
        <v>156</v>
      </c>
      <c r="W24" s="1">
        <v>0</v>
      </c>
      <c r="X24" s="1"/>
    </row>
    <row r="25" customHeight="1" spans="3:24">
      <c r="C25" s="1" t="s">
        <v>178</v>
      </c>
      <c r="D25" s="1" t="s">
        <v>179</v>
      </c>
      <c r="E25" s="1">
        <v>1</v>
      </c>
      <c r="F25" s="1" t="s">
        <v>180</v>
      </c>
      <c r="G25" s="1" t="s">
        <v>181</v>
      </c>
      <c r="H25" s="1" t="s">
        <v>182</v>
      </c>
      <c r="I25" s="1" t="s">
        <v>183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7">
        <v>0</v>
      </c>
      <c r="Q25" s="7">
        <v>0</v>
      </c>
      <c r="R25" s="7">
        <v>0</v>
      </c>
      <c r="S25" s="1" t="s">
        <v>184</v>
      </c>
      <c r="T25" s="1" t="s">
        <v>184</v>
      </c>
      <c r="V25" s="1" t="s">
        <v>156</v>
      </c>
      <c r="W25" s="1">
        <v>0</v>
      </c>
      <c r="X25" s="1"/>
    </row>
    <row r="26" customHeight="1" spans="3:24">
      <c r="C26" s="1" t="s">
        <v>185</v>
      </c>
      <c r="D26" s="1" t="s">
        <v>186</v>
      </c>
      <c r="E26" s="1">
        <v>1</v>
      </c>
      <c r="F26" s="1" t="s">
        <v>187</v>
      </c>
      <c r="G26" s="1" t="s">
        <v>188</v>
      </c>
      <c r="H26" s="1" t="s">
        <v>189</v>
      </c>
      <c r="I26" s="1" t="s">
        <v>190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7">
        <v>0</v>
      </c>
      <c r="Q26" s="7">
        <v>0</v>
      </c>
      <c r="R26" s="7">
        <v>0</v>
      </c>
      <c r="S26" s="1" t="s">
        <v>191</v>
      </c>
      <c r="T26" s="1" t="s">
        <v>191</v>
      </c>
      <c r="V26" s="1" t="s">
        <v>156</v>
      </c>
      <c r="W26" s="1">
        <v>0</v>
      </c>
      <c r="X26" s="1"/>
    </row>
    <row r="27" customHeight="1" spans="3:24">
      <c r="C27" s="1" t="s">
        <v>192</v>
      </c>
      <c r="D27" s="1" t="s">
        <v>193</v>
      </c>
      <c r="E27" s="1">
        <v>1</v>
      </c>
      <c r="F27" s="1" t="s">
        <v>194</v>
      </c>
      <c r="G27" s="1" t="s">
        <v>195</v>
      </c>
      <c r="H27" s="1" t="s">
        <v>196</v>
      </c>
      <c r="I27" s="1" t="s">
        <v>197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7">
        <v>0</v>
      </c>
      <c r="Q27" s="7">
        <v>0</v>
      </c>
      <c r="R27" s="7">
        <v>0</v>
      </c>
      <c r="S27" s="1" t="s">
        <v>198</v>
      </c>
      <c r="T27" s="1" t="s">
        <v>198</v>
      </c>
      <c r="V27" s="1" t="s">
        <v>156</v>
      </c>
      <c r="W27" s="1">
        <v>0</v>
      </c>
      <c r="X27" s="1"/>
    </row>
    <row r="28" customHeight="1" spans="3:24">
      <c r="C28" s="1" t="s">
        <v>199</v>
      </c>
      <c r="D28" s="1" t="s">
        <v>200</v>
      </c>
      <c r="E28" s="1">
        <v>1</v>
      </c>
      <c r="F28" s="1" t="s">
        <v>201</v>
      </c>
      <c r="G28" s="1" t="s">
        <v>202</v>
      </c>
      <c r="H28" s="1" t="s">
        <v>203</v>
      </c>
      <c r="I28" s="1" t="s">
        <v>204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7">
        <v>0</v>
      </c>
      <c r="Q28" s="7">
        <v>0</v>
      </c>
      <c r="R28" s="7">
        <v>0</v>
      </c>
      <c r="S28" s="1" t="s">
        <v>205</v>
      </c>
      <c r="T28" s="1" t="s">
        <v>205</v>
      </c>
      <c r="V28" s="1" t="s">
        <v>156</v>
      </c>
      <c r="W28" s="1">
        <v>0</v>
      </c>
      <c r="X28" s="1"/>
    </row>
    <row r="29" customHeight="1" spans="3:24">
      <c r="C29" s="1" t="s">
        <v>206</v>
      </c>
      <c r="D29" s="1" t="s">
        <v>207</v>
      </c>
      <c r="E29" s="1">
        <v>1</v>
      </c>
      <c r="F29" s="1" t="s">
        <v>208</v>
      </c>
      <c r="G29" s="1" t="s">
        <v>209</v>
      </c>
      <c r="H29" s="1" t="s">
        <v>210</v>
      </c>
      <c r="I29" s="1" t="s">
        <v>211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7">
        <v>0</v>
      </c>
      <c r="Q29" s="7">
        <v>0</v>
      </c>
      <c r="R29" s="7">
        <v>0</v>
      </c>
      <c r="S29" s="1" t="s">
        <v>212</v>
      </c>
      <c r="T29" s="1" t="s">
        <v>212</v>
      </c>
      <c r="V29" s="1" t="s">
        <v>156</v>
      </c>
      <c r="W29" s="1">
        <v>0</v>
      </c>
      <c r="X29" s="1"/>
    </row>
    <row r="30" customHeight="1" spans="3:24">
      <c r="C30" s="1" t="s">
        <v>213</v>
      </c>
      <c r="D30" s="1" t="s">
        <v>214</v>
      </c>
      <c r="E30" s="1">
        <v>1</v>
      </c>
      <c r="F30" s="1" t="s">
        <v>215</v>
      </c>
      <c r="G30" s="1" t="s">
        <v>216</v>
      </c>
      <c r="H30" s="1" t="s">
        <v>217</v>
      </c>
      <c r="I30" s="1" t="s">
        <v>218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7">
        <v>0</v>
      </c>
      <c r="Q30" s="7">
        <v>0</v>
      </c>
      <c r="R30" s="7">
        <v>0</v>
      </c>
      <c r="S30" s="1" t="s">
        <v>219</v>
      </c>
      <c r="T30" s="1" t="s">
        <v>219</v>
      </c>
      <c r="V30" s="1" t="s">
        <v>156</v>
      </c>
      <c r="W30" s="1">
        <v>0</v>
      </c>
      <c r="X30" s="1"/>
    </row>
    <row r="31" customHeight="1" spans="3:24">
      <c r="C31" s="1" t="s">
        <v>220</v>
      </c>
      <c r="D31" s="1" t="s">
        <v>221</v>
      </c>
      <c r="E31" s="1">
        <v>1</v>
      </c>
      <c r="F31" s="1" t="s">
        <v>222</v>
      </c>
      <c r="G31" s="1" t="s">
        <v>223</v>
      </c>
      <c r="H31" s="1" t="s">
        <v>224</v>
      </c>
      <c r="I31" s="1" t="s">
        <v>225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7">
        <v>0</v>
      </c>
      <c r="Q31" s="7">
        <v>0</v>
      </c>
      <c r="R31" s="7">
        <v>0</v>
      </c>
      <c r="S31" s="1" t="s">
        <v>226</v>
      </c>
      <c r="T31" s="1" t="s">
        <v>226</v>
      </c>
      <c r="V31" s="1" t="s">
        <v>156</v>
      </c>
      <c r="W31" s="1">
        <v>0</v>
      </c>
      <c r="X31" s="1"/>
    </row>
    <row r="32" customHeight="1" spans="3:24">
      <c r="C32" s="1" t="s">
        <v>227</v>
      </c>
      <c r="D32" s="1" t="s">
        <v>228</v>
      </c>
      <c r="E32" s="1">
        <v>1</v>
      </c>
      <c r="F32" s="1" t="s">
        <v>229</v>
      </c>
      <c r="G32" s="1" t="s">
        <v>230</v>
      </c>
      <c r="H32" s="1" t="s">
        <v>231</v>
      </c>
      <c r="I32" s="1" t="s">
        <v>232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7">
        <v>0</v>
      </c>
      <c r="Q32" s="7">
        <v>0</v>
      </c>
      <c r="R32" s="7">
        <v>0</v>
      </c>
      <c r="S32" s="1" t="s">
        <v>233</v>
      </c>
      <c r="T32" s="1" t="s">
        <v>233</v>
      </c>
      <c r="V32" s="1" t="s">
        <v>156</v>
      </c>
      <c r="W32" s="1">
        <v>0</v>
      </c>
      <c r="X32" s="1"/>
    </row>
    <row r="33" customHeight="1" spans="3:24">
      <c r="C33" s="1" t="s">
        <v>234</v>
      </c>
      <c r="D33" s="1" t="s">
        <v>235</v>
      </c>
      <c r="E33" s="1">
        <v>1</v>
      </c>
      <c r="F33" s="1" t="s">
        <v>236</v>
      </c>
      <c r="G33" s="1" t="s">
        <v>237</v>
      </c>
      <c r="H33" s="1" t="s">
        <v>238</v>
      </c>
      <c r="I33" s="1" t="s">
        <v>239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7">
        <v>0</v>
      </c>
      <c r="Q33" s="7">
        <v>0</v>
      </c>
      <c r="R33" s="7">
        <v>0</v>
      </c>
      <c r="S33" s="1" t="s">
        <v>240</v>
      </c>
      <c r="T33" s="1" t="s">
        <v>240</v>
      </c>
      <c r="V33" s="1" t="s">
        <v>156</v>
      </c>
      <c r="W33" s="1">
        <v>0</v>
      </c>
      <c r="X33" s="1"/>
    </row>
    <row r="34" customHeight="1" spans="3:24">
      <c r="C34" s="1" t="s">
        <v>241</v>
      </c>
      <c r="D34" s="1" t="s">
        <v>242</v>
      </c>
      <c r="E34" s="1">
        <v>1</v>
      </c>
      <c r="F34" s="1" t="s">
        <v>243</v>
      </c>
      <c r="G34" s="1" t="s">
        <v>244</v>
      </c>
      <c r="H34" s="1" t="s">
        <v>245</v>
      </c>
      <c r="I34" s="1" t="s">
        <v>246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7">
        <v>0</v>
      </c>
      <c r="Q34" s="7">
        <v>0</v>
      </c>
      <c r="R34" s="7">
        <v>0</v>
      </c>
      <c r="S34" s="1" t="s">
        <v>247</v>
      </c>
      <c r="T34" s="1" t="s">
        <v>247</v>
      </c>
      <c r="V34" s="1" t="s">
        <v>156</v>
      </c>
      <c r="W34" s="1">
        <v>0</v>
      </c>
      <c r="X34" s="1"/>
    </row>
    <row r="35" customHeight="1" spans="3:24">
      <c r="C35" s="1" t="s">
        <v>248</v>
      </c>
      <c r="D35" s="1" t="s">
        <v>249</v>
      </c>
      <c r="E35" s="1">
        <v>1</v>
      </c>
      <c r="F35" s="1" t="s">
        <v>250</v>
      </c>
      <c r="G35" s="1" t="s">
        <v>251</v>
      </c>
      <c r="H35" s="1" t="s">
        <v>252</v>
      </c>
      <c r="I35" s="1" t="s">
        <v>253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7">
        <v>0</v>
      </c>
      <c r="Q35" s="7">
        <v>0</v>
      </c>
      <c r="R35" s="7">
        <v>0</v>
      </c>
      <c r="S35" s="1" t="s">
        <v>254</v>
      </c>
      <c r="T35" s="1" t="s">
        <v>254</v>
      </c>
      <c r="V35" s="1" t="s">
        <v>156</v>
      </c>
      <c r="W35" s="1">
        <v>0</v>
      </c>
      <c r="X35" s="1"/>
    </row>
    <row r="36" customHeight="1" spans="3:24">
      <c r="C36" s="1" t="s">
        <v>255</v>
      </c>
      <c r="D36" s="1" t="s">
        <v>256</v>
      </c>
      <c r="E36" s="1">
        <v>1</v>
      </c>
      <c r="F36" s="1" t="s">
        <v>257</v>
      </c>
      <c r="G36" s="1" t="s">
        <v>258</v>
      </c>
      <c r="H36" s="1" t="s">
        <v>259</v>
      </c>
      <c r="I36" s="1" t="s">
        <v>260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7">
        <v>0</v>
      </c>
      <c r="Q36" s="7">
        <v>0</v>
      </c>
      <c r="R36" s="7">
        <v>0</v>
      </c>
      <c r="S36" s="1" t="s">
        <v>261</v>
      </c>
      <c r="T36" s="1" t="s">
        <v>261</v>
      </c>
      <c r="V36" s="1" t="s">
        <v>156</v>
      </c>
      <c r="W36" s="1">
        <v>0</v>
      </c>
      <c r="X36" s="1"/>
    </row>
    <row r="37" customHeight="1" spans="3:24">
      <c r="C37" s="1" t="s">
        <v>262</v>
      </c>
      <c r="D37" s="1" t="s">
        <v>263</v>
      </c>
      <c r="E37" s="1">
        <v>1</v>
      </c>
      <c r="F37" s="1" t="s">
        <v>264</v>
      </c>
      <c r="G37" s="1" t="s">
        <v>265</v>
      </c>
      <c r="H37" s="1" t="s">
        <v>266</v>
      </c>
      <c r="I37" s="1" t="s">
        <v>267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7">
        <v>0</v>
      </c>
      <c r="Q37" s="7">
        <v>0</v>
      </c>
      <c r="R37" s="7">
        <v>0</v>
      </c>
      <c r="S37" s="1" t="s">
        <v>268</v>
      </c>
      <c r="T37" s="1" t="s">
        <v>268</v>
      </c>
      <c r="V37" s="1" t="s">
        <v>156</v>
      </c>
      <c r="W37" s="1">
        <v>0</v>
      </c>
      <c r="X37" s="1"/>
    </row>
    <row r="38" customHeight="1" spans="3:24">
      <c r="C38" s="1" t="s">
        <v>269</v>
      </c>
      <c r="D38" s="1" t="s">
        <v>270</v>
      </c>
      <c r="E38" s="1">
        <v>1</v>
      </c>
      <c r="F38" s="1" t="s">
        <v>271</v>
      </c>
      <c r="G38" s="1" t="s">
        <v>272</v>
      </c>
      <c r="H38" s="1" t="s">
        <v>273</v>
      </c>
      <c r="I38" s="1" t="s">
        <v>274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7">
        <v>0</v>
      </c>
      <c r="Q38" s="7">
        <v>0</v>
      </c>
      <c r="R38" s="7">
        <v>0</v>
      </c>
      <c r="S38" s="1" t="s">
        <v>275</v>
      </c>
      <c r="T38" s="1" t="s">
        <v>275</v>
      </c>
      <c r="V38" s="1" t="s">
        <v>156</v>
      </c>
      <c r="W38" s="1">
        <v>0</v>
      </c>
      <c r="X38" s="1"/>
    </row>
    <row r="39" customHeight="1" spans="3:24">
      <c r="C39" s="1" t="s">
        <v>276</v>
      </c>
      <c r="D39" s="1" t="s">
        <v>277</v>
      </c>
      <c r="E39" s="1">
        <v>1</v>
      </c>
      <c r="F39" s="1" t="s">
        <v>278</v>
      </c>
      <c r="G39" s="1" t="s">
        <v>279</v>
      </c>
      <c r="H39" s="1" t="s">
        <v>280</v>
      </c>
      <c r="I39" s="1" t="s">
        <v>281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7">
        <v>0</v>
      </c>
      <c r="Q39" s="7">
        <v>0</v>
      </c>
      <c r="R39" s="7">
        <v>0</v>
      </c>
      <c r="S39" s="1" t="s">
        <v>282</v>
      </c>
      <c r="T39" s="1" t="s">
        <v>282</v>
      </c>
      <c r="V39" s="1" t="s">
        <v>156</v>
      </c>
      <c r="W39" s="1">
        <v>0</v>
      </c>
      <c r="X39" s="1"/>
    </row>
    <row r="40" customHeight="1" spans="3:24">
      <c r="C40" s="1" t="s">
        <v>283</v>
      </c>
      <c r="D40" s="1" t="s">
        <v>284</v>
      </c>
      <c r="E40" s="1">
        <v>1</v>
      </c>
      <c r="F40" s="1" t="s">
        <v>285</v>
      </c>
      <c r="G40" s="15" t="s">
        <v>286</v>
      </c>
      <c r="H40" s="1" t="s">
        <v>287</v>
      </c>
      <c r="I40" s="1" t="s">
        <v>288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7">
        <v>0</v>
      </c>
      <c r="Q40" s="7">
        <v>0</v>
      </c>
      <c r="R40" s="7">
        <v>0</v>
      </c>
      <c r="S40" s="1" t="s">
        <v>289</v>
      </c>
      <c r="T40" s="1" t="s">
        <v>289</v>
      </c>
      <c r="V40" s="1" t="s">
        <v>156</v>
      </c>
      <c r="W40" s="1">
        <v>0</v>
      </c>
      <c r="X40" s="1"/>
    </row>
    <row r="41" s="1" customFormat="1" customHeight="1" spans="1:23">
      <c r="A41" s="4"/>
      <c r="C41" s="1" t="s">
        <v>290</v>
      </c>
      <c r="D41" s="1" t="s">
        <v>291</v>
      </c>
      <c r="E41" s="1">
        <v>2</v>
      </c>
      <c r="F41" s="1" t="s">
        <v>292</v>
      </c>
      <c r="G41" s="1" t="s">
        <v>293</v>
      </c>
      <c r="H41" s="1" t="s">
        <v>294</v>
      </c>
      <c r="I41" s="1" t="s">
        <v>295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7">
        <v>0</v>
      </c>
      <c r="Q41" s="7">
        <v>0</v>
      </c>
      <c r="R41" s="7">
        <v>0</v>
      </c>
      <c r="S41" s="1" t="s">
        <v>296</v>
      </c>
      <c r="T41" s="1" t="s">
        <v>296</v>
      </c>
      <c r="V41" s="1" t="s">
        <v>156</v>
      </c>
      <c r="W41" s="1">
        <v>0</v>
      </c>
    </row>
    <row r="42" s="1" customFormat="1" customHeight="1" spans="1:23">
      <c r="A42" s="4"/>
      <c r="C42" s="1" t="s">
        <v>297</v>
      </c>
      <c r="D42" s="1" t="s">
        <v>298</v>
      </c>
      <c r="E42" s="1">
        <v>2</v>
      </c>
      <c r="F42" s="1" t="s">
        <v>299</v>
      </c>
      <c r="G42" s="1" t="s">
        <v>300</v>
      </c>
      <c r="H42" s="1" t="s">
        <v>301</v>
      </c>
      <c r="I42" s="1" t="s">
        <v>302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7">
        <v>0</v>
      </c>
      <c r="Q42" s="7">
        <v>0</v>
      </c>
      <c r="R42" s="7">
        <v>0</v>
      </c>
      <c r="S42" s="1" t="s">
        <v>303</v>
      </c>
      <c r="T42" s="1" t="s">
        <v>303</v>
      </c>
      <c r="V42" s="1" t="s">
        <v>156</v>
      </c>
      <c r="W42" s="1">
        <v>0</v>
      </c>
    </row>
    <row r="43" s="1" customFormat="1" customHeight="1" spans="1:23">
      <c r="A43" s="4"/>
      <c r="C43" s="1" t="s">
        <v>304</v>
      </c>
      <c r="D43" s="1" t="s">
        <v>305</v>
      </c>
      <c r="E43" s="1">
        <v>2</v>
      </c>
      <c r="F43" s="1" t="s">
        <v>306</v>
      </c>
      <c r="G43" s="1" t="s">
        <v>307</v>
      </c>
      <c r="H43" s="1" t="s">
        <v>308</v>
      </c>
      <c r="I43" s="1" t="s">
        <v>309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7">
        <v>0</v>
      </c>
      <c r="Q43" s="7">
        <v>0</v>
      </c>
      <c r="R43" s="7">
        <v>0</v>
      </c>
      <c r="S43" s="1" t="s">
        <v>310</v>
      </c>
      <c r="T43" s="1" t="s">
        <v>310</v>
      </c>
      <c r="V43" s="1" t="s">
        <v>156</v>
      </c>
      <c r="W43" s="1">
        <v>0</v>
      </c>
    </row>
    <row r="44" s="1" customFormat="1" customHeight="1" spans="1:23">
      <c r="A44" s="4"/>
      <c r="C44" s="1" t="s">
        <v>311</v>
      </c>
      <c r="D44" s="1" t="s">
        <v>312</v>
      </c>
      <c r="E44" s="1">
        <v>2</v>
      </c>
      <c r="F44" s="1" t="s">
        <v>313</v>
      </c>
      <c r="G44" s="1" t="s">
        <v>314</v>
      </c>
      <c r="H44" s="1" t="s">
        <v>315</v>
      </c>
      <c r="I44" s="1" t="s">
        <v>316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7">
        <v>0</v>
      </c>
      <c r="Q44" s="7">
        <v>0</v>
      </c>
      <c r="R44" s="7">
        <v>0</v>
      </c>
      <c r="S44" s="1" t="s">
        <v>317</v>
      </c>
      <c r="T44" s="1" t="s">
        <v>317</v>
      </c>
      <c r="V44" s="1" t="s">
        <v>156</v>
      </c>
      <c r="W44" s="1">
        <v>0</v>
      </c>
    </row>
    <row r="45" s="1" customFormat="1" customHeight="1" spans="1:23">
      <c r="A45" s="4"/>
      <c r="C45" s="1" t="s">
        <v>318</v>
      </c>
      <c r="D45" s="1" t="s">
        <v>319</v>
      </c>
      <c r="E45" s="1">
        <v>2</v>
      </c>
      <c r="F45" s="1" t="s">
        <v>320</v>
      </c>
      <c r="G45" s="1" t="s">
        <v>321</v>
      </c>
      <c r="H45" s="1" t="s">
        <v>322</v>
      </c>
      <c r="I45" s="1" t="s">
        <v>323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7">
        <v>0</v>
      </c>
      <c r="Q45" s="7">
        <v>0</v>
      </c>
      <c r="R45" s="7">
        <v>0</v>
      </c>
      <c r="S45" s="1" t="s">
        <v>324</v>
      </c>
      <c r="T45" s="1" t="s">
        <v>324</v>
      </c>
      <c r="V45" s="1" t="s">
        <v>156</v>
      </c>
      <c r="W45" s="1">
        <v>0</v>
      </c>
    </row>
    <row r="46" s="1" customFormat="1" customHeight="1" spans="1:25">
      <c r="A46" s="4"/>
      <c r="C46" s="1" t="s">
        <v>325</v>
      </c>
      <c r="D46" s="1" t="s">
        <v>326</v>
      </c>
      <c r="E46" s="1">
        <v>2</v>
      </c>
      <c r="F46" s="1" t="s">
        <v>327</v>
      </c>
      <c r="G46" s="1" t="s">
        <v>328</v>
      </c>
      <c r="H46" s="1" t="s">
        <v>329</v>
      </c>
      <c r="I46" s="1" t="s">
        <v>330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7">
        <v>0</v>
      </c>
      <c r="Q46" s="7">
        <v>0</v>
      </c>
      <c r="R46" s="7">
        <v>0</v>
      </c>
      <c r="S46" s="1" t="s">
        <v>331</v>
      </c>
      <c r="T46" s="1" t="s">
        <v>331</v>
      </c>
      <c r="V46" s="1" t="s">
        <v>156</v>
      </c>
      <c r="W46" s="1">
        <v>0</v>
      </c>
      <c r="X46" s="4"/>
      <c r="Y46" s="4"/>
    </row>
    <row r="47" s="1" customFormat="1" customHeight="1" spans="1:25">
      <c r="A47" s="4"/>
      <c r="C47" s="1" t="s">
        <v>332</v>
      </c>
      <c r="D47" s="1" t="s">
        <v>333</v>
      </c>
      <c r="E47" s="1">
        <v>2</v>
      </c>
      <c r="F47" s="1" t="s">
        <v>334</v>
      </c>
      <c r="G47" s="1" t="s">
        <v>335</v>
      </c>
      <c r="H47" s="1" t="s">
        <v>336</v>
      </c>
      <c r="I47" s="1" t="s">
        <v>337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7">
        <v>0</v>
      </c>
      <c r="Q47" s="7">
        <v>0</v>
      </c>
      <c r="R47" s="7">
        <v>0</v>
      </c>
      <c r="S47" s="1" t="s">
        <v>338</v>
      </c>
      <c r="T47" s="1" t="s">
        <v>338</v>
      </c>
      <c r="V47" s="1" t="s">
        <v>156</v>
      </c>
      <c r="W47" s="1">
        <v>0</v>
      </c>
      <c r="X47" s="4"/>
      <c r="Y47" s="4"/>
    </row>
    <row r="48" s="1" customFormat="1" customHeight="1" spans="1:25">
      <c r="A48" s="4"/>
      <c r="C48" s="1" t="s">
        <v>339</v>
      </c>
      <c r="D48" s="1" t="s">
        <v>340</v>
      </c>
      <c r="E48" s="1">
        <v>2</v>
      </c>
      <c r="F48" s="1" t="s">
        <v>341</v>
      </c>
      <c r="G48" s="1" t="s">
        <v>342</v>
      </c>
      <c r="H48" s="1" t="s">
        <v>343</v>
      </c>
      <c r="I48" s="1" t="s">
        <v>344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7">
        <v>0</v>
      </c>
      <c r="Q48" s="7">
        <v>0</v>
      </c>
      <c r="R48" s="7">
        <v>0</v>
      </c>
      <c r="S48" s="1" t="s">
        <v>345</v>
      </c>
      <c r="T48" s="1" t="s">
        <v>345</v>
      </c>
      <c r="V48" s="1" t="s">
        <v>156</v>
      </c>
      <c r="W48" s="1">
        <v>0</v>
      </c>
      <c r="X48" s="4"/>
      <c r="Y48" s="4"/>
    </row>
    <row r="49" s="1" customFormat="1" customHeight="1" spans="1:25">
      <c r="A49" s="4"/>
      <c r="C49" s="1" t="s">
        <v>346</v>
      </c>
      <c r="D49" s="1" t="s">
        <v>347</v>
      </c>
      <c r="E49" s="1">
        <v>2</v>
      </c>
      <c r="F49" s="1" t="s">
        <v>348</v>
      </c>
      <c r="G49" s="1" t="s">
        <v>349</v>
      </c>
      <c r="H49" s="1" t="s">
        <v>350</v>
      </c>
      <c r="I49" s="1" t="s">
        <v>351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7">
        <v>0</v>
      </c>
      <c r="Q49" s="7">
        <v>0</v>
      </c>
      <c r="R49" s="7">
        <v>0</v>
      </c>
      <c r="S49" s="1" t="s">
        <v>352</v>
      </c>
      <c r="T49" s="1" t="s">
        <v>352</v>
      </c>
      <c r="V49" s="1" t="s">
        <v>156</v>
      </c>
      <c r="W49" s="1">
        <v>0</v>
      </c>
      <c r="X49" s="4"/>
      <c r="Y49" s="4"/>
    </row>
    <row r="50" s="1" customFormat="1" customHeight="1" spans="1:25">
      <c r="A50" s="4"/>
      <c r="C50" s="1" t="s">
        <v>353</v>
      </c>
      <c r="D50" s="1" t="s">
        <v>354</v>
      </c>
      <c r="E50" s="1">
        <v>2</v>
      </c>
      <c r="F50" s="1" t="s">
        <v>355</v>
      </c>
      <c r="G50" s="1" t="s">
        <v>356</v>
      </c>
      <c r="H50" s="1" t="s">
        <v>357</v>
      </c>
      <c r="I50" s="1" t="s">
        <v>358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7">
        <v>0</v>
      </c>
      <c r="Q50" s="7">
        <v>0</v>
      </c>
      <c r="R50" s="7">
        <v>0</v>
      </c>
      <c r="S50" s="1" t="s">
        <v>359</v>
      </c>
      <c r="T50" s="1" t="s">
        <v>359</v>
      </c>
      <c r="V50" s="1" t="s">
        <v>156</v>
      </c>
      <c r="W50" s="1">
        <v>0</v>
      </c>
      <c r="X50" s="4"/>
      <c r="Y50" s="4"/>
    </row>
    <row r="51" s="1" customFormat="1" customHeight="1" spans="1:25">
      <c r="A51" s="4"/>
      <c r="C51" s="1" t="s">
        <v>360</v>
      </c>
      <c r="D51" s="1" t="s">
        <v>361</v>
      </c>
      <c r="E51" s="1">
        <v>2</v>
      </c>
      <c r="F51" s="1" t="s">
        <v>362</v>
      </c>
      <c r="G51" s="1" t="s">
        <v>363</v>
      </c>
      <c r="H51" s="1" t="s">
        <v>364</v>
      </c>
      <c r="I51" s="1" t="s">
        <v>365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7">
        <v>0</v>
      </c>
      <c r="Q51" s="7">
        <v>0</v>
      </c>
      <c r="R51" s="7">
        <v>0</v>
      </c>
      <c r="S51" s="1" t="s">
        <v>366</v>
      </c>
      <c r="T51" s="1" t="s">
        <v>366</v>
      </c>
      <c r="V51" s="1" t="s">
        <v>156</v>
      </c>
      <c r="W51" s="1">
        <v>0</v>
      </c>
      <c r="X51" s="4"/>
      <c r="Y51" s="4"/>
    </row>
    <row r="52" s="1" customFormat="1" customHeight="1" spans="1:25">
      <c r="A52" s="4"/>
      <c r="C52" s="1" t="s">
        <v>367</v>
      </c>
      <c r="D52" s="1" t="s">
        <v>368</v>
      </c>
      <c r="E52" s="1">
        <v>2</v>
      </c>
      <c r="F52" s="1" t="s">
        <v>369</v>
      </c>
      <c r="G52" s="1" t="s">
        <v>370</v>
      </c>
      <c r="H52" s="1" t="s">
        <v>371</v>
      </c>
      <c r="I52" s="1" t="s">
        <v>372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7">
        <v>0</v>
      </c>
      <c r="Q52" s="7">
        <v>0</v>
      </c>
      <c r="R52" s="7">
        <v>0</v>
      </c>
      <c r="S52" s="1" t="s">
        <v>373</v>
      </c>
      <c r="T52" s="1" t="s">
        <v>373</v>
      </c>
      <c r="V52" s="1" t="s">
        <v>156</v>
      </c>
      <c r="W52" s="1">
        <v>0</v>
      </c>
      <c r="X52" s="4"/>
      <c r="Y52" s="4"/>
    </row>
    <row r="53" s="1" customFormat="1" customHeight="1" spans="1:25">
      <c r="A53" s="4"/>
      <c r="C53" s="1" t="s">
        <v>374</v>
      </c>
      <c r="D53" s="1" t="s">
        <v>375</v>
      </c>
      <c r="E53" s="1">
        <v>2</v>
      </c>
      <c r="F53" s="1" t="s">
        <v>376</v>
      </c>
      <c r="G53" s="1" t="s">
        <v>377</v>
      </c>
      <c r="H53" s="1" t="s">
        <v>378</v>
      </c>
      <c r="I53" s="1" t="s">
        <v>379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7">
        <v>0</v>
      </c>
      <c r="Q53" s="7">
        <v>0</v>
      </c>
      <c r="R53" s="7">
        <v>0</v>
      </c>
      <c r="S53" s="1" t="s">
        <v>380</v>
      </c>
      <c r="T53" s="1" t="s">
        <v>380</v>
      </c>
      <c r="V53" s="1" t="s">
        <v>156</v>
      </c>
      <c r="W53" s="1">
        <v>0</v>
      </c>
      <c r="X53" s="4"/>
      <c r="Y53" s="4"/>
    </row>
    <row r="54" s="1" customFormat="1" customHeight="1" spans="1:25">
      <c r="A54" s="4"/>
      <c r="C54" s="1" t="s">
        <v>381</v>
      </c>
      <c r="D54" s="1" t="s">
        <v>382</v>
      </c>
      <c r="E54" s="1">
        <v>2</v>
      </c>
      <c r="F54" s="1" t="s">
        <v>383</v>
      </c>
      <c r="G54" s="1" t="s">
        <v>384</v>
      </c>
      <c r="H54" s="1" t="s">
        <v>385</v>
      </c>
      <c r="I54" s="1" t="s">
        <v>386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7">
        <v>0</v>
      </c>
      <c r="Q54" s="7">
        <v>0</v>
      </c>
      <c r="R54" s="7">
        <v>0</v>
      </c>
      <c r="S54" s="1" t="s">
        <v>387</v>
      </c>
      <c r="T54" s="1" t="s">
        <v>387</v>
      </c>
      <c r="V54" s="1" t="s">
        <v>156</v>
      </c>
      <c r="W54" s="1">
        <v>0</v>
      </c>
      <c r="X54" s="4"/>
      <c r="Y54" s="4"/>
    </row>
    <row r="55" s="1" customFormat="1" customHeight="1" spans="1:25">
      <c r="A55" s="4"/>
      <c r="C55" s="1" t="s">
        <v>388</v>
      </c>
      <c r="D55" s="1" t="s">
        <v>389</v>
      </c>
      <c r="E55" s="1">
        <v>2</v>
      </c>
      <c r="F55" s="1" t="s">
        <v>390</v>
      </c>
      <c r="G55" s="1" t="s">
        <v>391</v>
      </c>
      <c r="H55" s="1" t="s">
        <v>392</v>
      </c>
      <c r="I55" s="1" t="s">
        <v>393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7">
        <v>0</v>
      </c>
      <c r="Q55" s="7">
        <v>0</v>
      </c>
      <c r="R55" s="7">
        <v>0</v>
      </c>
      <c r="S55" s="1" t="s">
        <v>394</v>
      </c>
      <c r="T55" s="1" t="s">
        <v>394</v>
      </c>
      <c r="V55" s="1" t="s">
        <v>156</v>
      </c>
      <c r="W55" s="1">
        <v>0</v>
      </c>
      <c r="X55" s="4"/>
      <c r="Y55" s="4"/>
    </row>
    <row r="56" s="1" customFormat="1" customHeight="1" spans="1:25">
      <c r="A56" s="4"/>
      <c r="C56" s="1" t="s">
        <v>395</v>
      </c>
      <c r="D56" s="1" t="s">
        <v>396</v>
      </c>
      <c r="E56" s="1">
        <v>2</v>
      </c>
      <c r="F56" s="1" t="s">
        <v>397</v>
      </c>
      <c r="G56" s="1" t="s">
        <v>398</v>
      </c>
      <c r="H56" s="1" t="s">
        <v>399</v>
      </c>
      <c r="I56" s="1" t="s">
        <v>400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7">
        <v>0</v>
      </c>
      <c r="Q56" s="7">
        <v>0</v>
      </c>
      <c r="R56" s="7">
        <v>0</v>
      </c>
      <c r="S56" s="1" t="s">
        <v>401</v>
      </c>
      <c r="T56" s="1" t="s">
        <v>401</v>
      </c>
      <c r="V56" s="1" t="s">
        <v>156</v>
      </c>
      <c r="W56" s="1">
        <v>0</v>
      </c>
      <c r="X56" s="4"/>
      <c r="Y56" s="4"/>
    </row>
    <row r="57" s="1" customFormat="1" customHeight="1" spans="1:25">
      <c r="A57" s="4"/>
      <c r="C57" s="1" t="s">
        <v>402</v>
      </c>
      <c r="D57" s="1" t="s">
        <v>403</v>
      </c>
      <c r="E57" s="1">
        <v>2</v>
      </c>
      <c r="F57" s="1" t="s">
        <v>404</v>
      </c>
      <c r="G57" s="1" t="s">
        <v>405</v>
      </c>
      <c r="H57" s="1" t="s">
        <v>406</v>
      </c>
      <c r="I57" s="1" t="s">
        <v>407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7">
        <v>0</v>
      </c>
      <c r="Q57" s="7">
        <v>0</v>
      </c>
      <c r="R57" s="7">
        <v>0</v>
      </c>
      <c r="S57" s="1" t="s">
        <v>408</v>
      </c>
      <c r="T57" s="1" t="s">
        <v>408</v>
      </c>
      <c r="V57" s="1" t="s">
        <v>156</v>
      </c>
      <c r="W57" s="1">
        <v>0</v>
      </c>
      <c r="X57" s="4"/>
      <c r="Y57" s="4"/>
    </row>
    <row r="58" s="1" customFormat="1" customHeight="1" spans="1:25">
      <c r="A58" s="4"/>
      <c r="C58" s="1" t="s">
        <v>409</v>
      </c>
      <c r="D58" s="1" t="s">
        <v>410</v>
      </c>
      <c r="E58" s="1">
        <v>2</v>
      </c>
      <c r="F58" s="1" t="s">
        <v>411</v>
      </c>
      <c r="G58" s="1" t="s">
        <v>412</v>
      </c>
      <c r="H58" s="1" t="s">
        <v>413</v>
      </c>
      <c r="I58" s="1" t="s">
        <v>414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7">
        <v>0</v>
      </c>
      <c r="Q58" s="7">
        <v>0</v>
      </c>
      <c r="R58" s="7">
        <v>0</v>
      </c>
      <c r="S58" s="1" t="s">
        <v>415</v>
      </c>
      <c r="T58" s="1" t="s">
        <v>415</v>
      </c>
      <c r="V58" s="1" t="s">
        <v>156</v>
      </c>
      <c r="W58" s="1">
        <v>0</v>
      </c>
      <c r="X58" s="4"/>
      <c r="Y58" s="4"/>
    </row>
    <row r="59" s="1" customFormat="1" customHeight="1" spans="1:25">
      <c r="A59" s="4"/>
      <c r="C59" s="1" t="s">
        <v>416</v>
      </c>
      <c r="D59" s="1" t="s">
        <v>417</v>
      </c>
      <c r="E59" s="1">
        <v>2</v>
      </c>
      <c r="F59" s="1" t="s">
        <v>418</v>
      </c>
      <c r="G59" s="1" t="s">
        <v>419</v>
      </c>
      <c r="H59" s="1" t="s">
        <v>420</v>
      </c>
      <c r="I59" s="1" t="s">
        <v>421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7">
        <v>0</v>
      </c>
      <c r="Q59" s="7">
        <v>0</v>
      </c>
      <c r="R59" s="7">
        <v>0</v>
      </c>
      <c r="S59" s="1" t="s">
        <v>422</v>
      </c>
      <c r="T59" s="1" t="s">
        <v>422</v>
      </c>
      <c r="V59" s="1" t="s">
        <v>156</v>
      </c>
      <c r="W59" s="1">
        <v>0</v>
      </c>
      <c r="X59" s="4"/>
      <c r="Y59" s="4"/>
    </row>
    <row r="60" s="1" customFormat="1" customHeight="1" spans="1:25">
      <c r="A60" s="4"/>
      <c r="C60" s="1" t="s">
        <v>423</v>
      </c>
      <c r="D60" s="1" t="s">
        <v>424</v>
      </c>
      <c r="E60" s="1">
        <v>2</v>
      </c>
      <c r="F60" s="1" t="s">
        <v>425</v>
      </c>
      <c r="G60" s="1" t="s">
        <v>426</v>
      </c>
      <c r="H60" s="1" t="s">
        <v>427</v>
      </c>
      <c r="I60" s="1" t="s">
        <v>428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7">
        <v>0</v>
      </c>
      <c r="Q60" s="7">
        <v>0</v>
      </c>
      <c r="R60" s="7">
        <v>0</v>
      </c>
      <c r="S60" s="1" t="s">
        <v>429</v>
      </c>
      <c r="T60" s="1" t="s">
        <v>429</v>
      </c>
      <c r="V60" s="1" t="s">
        <v>156</v>
      </c>
      <c r="W60" s="1">
        <v>0</v>
      </c>
      <c r="X60" s="4"/>
      <c r="Y60" s="4"/>
    </row>
    <row r="61" s="1" customFormat="1" customHeight="1" spans="1:25">
      <c r="A61" s="4"/>
      <c r="C61" s="1" t="s">
        <v>430</v>
      </c>
      <c r="D61" s="1" t="s">
        <v>431</v>
      </c>
      <c r="E61" s="1">
        <v>2</v>
      </c>
      <c r="F61" s="1" t="s">
        <v>432</v>
      </c>
      <c r="G61" s="1" t="s">
        <v>433</v>
      </c>
      <c r="H61" s="1" t="s">
        <v>434</v>
      </c>
      <c r="I61" s="1" t="s">
        <v>435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7">
        <v>0</v>
      </c>
      <c r="Q61" s="7">
        <v>0</v>
      </c>
      <c r="R61" s="7">
        <v>0</v>
      </c>
      <c r="S61" s="1" t="s">
        <v>436</v>
      </c>
      <c r="T61" s="1" t="s">
        <v>436</v>
      </c>
      <c r="V61" s="1" t="s">
        <v>156</v>
      </c>
      <c r="W61" s="1">
        <v>0</v>
      </c>
      <c r="X61" s="4"/>
      <c r="Y61" s="4"/>
    </row>
    <row r="62" s="1" customFormat="1" customHeight="1" spans="1:25">
      <c r="A62" s="4"/>
      <c r="C62" s="1" t="s">
        <v>437</v>
      </c>
      <c r="D62" s="1" t="s">
        <v>438</v>
      </c>
      <c r="E62" s="1">
        <v>2</v>
      </c>
      <c r="F62" s="1" t="s">
        <v>439</v>
      </c>
      <c r="G62" s="1" t="s">
        <v>440</v>
      </c>
      <c r="H62" s="1" t="s">
        <v>441</v>
      </c>
      <c r="I62" s="1" t="s">
        <v>442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7">
        <v>0</v>
      </c>
      <c r="Q62" s="7">
        <v>0</v>
      </c>
      <c r="R62" s="7">
        <v>0</v>
      </c>
      <c r="S62" s="1" t="s">
        <v>443</v>
      </c>
      <c r="T62" s="1" t="s">
        <v>443</v>
      </c>
      <c r="V62" s="1" t="s">
        <v>156</v>
      </c>
      <c r="W62" s="1">
        <v>0</v>
      </c>
      <c r="X62" s="4"/>
      <c r="Y62" s="4"/>
    </row>
    <row r="63" s="1" customFormat="1" customHeight="1" spans="1:25">
      <c r="A63" s="4"/>
      <c r="C63" s="1" t="s">
        <v>444</v>
      </c>
      <c r="D63" s="1" t="s">
        <v>445</v>
      </c>
      <c r="E63" s="1">
        <v>2</v>
      </c>
      <c r="F63" s="1" t="s">
        <v>446</v>
      </c>
      <c r="G63" s="1" t="s">
        <v>447</v>
      </c>
      <c r="H63" s="1" t="s">
        <v>448</v>
      </c>
      <c r="I63" s="1" t="s">
        <v>449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7">
        <v>0</v>
      </c>
      <c r="Q63" s="7">
        <v>0</v>
      </c>
      <c r="R63" s="7">
        <v>0</v>
      </c>
      <c r="S63" s="1" t="s">
        <v>450</v>
      </c>
      <c r="T63" s="1" t="s">
        <v>450</v>
      </c>
      <c r="V63" s="1" t="s">
        <v>156</v>
      </c>
      <c r="W63" s="1">
        <v>0</v>
      </c>
      <c r="X63" s="4"/>
      <c r="Y63" s="4"/>
    </row>
    <row r="64" s="1" customFormat="1" customHeight="1" spans="1:25">
      <c r="A64" s="4"/>
      <c r="C64" s="1" t="s">
        <v>451</v>
      </c>
      <c r="D64" s="1" t="s">
        <v>452</v>
      </c>
      <c r="E64" s="1">
        <v>2</v>
      </c>
      <c r="F64" s="1" t="s">
        <v>453</v>
      </c>
      <c r="G64" s="1" t="s">
        <v>454</v>
      </c>
      <c r="H64" s="1" t="s">
        <v>455</v>
      </c>
      <c r="I64" s="1" t="s">
        <v>456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7">
        <v>0</v>
      </c>
      <c r="Q64" s="7">
        <v>0</v>
      </c>
      <c r="R64" s="7">
        <v>0</v>
      </c>
      <c r="S64" s="1" t="s">
        <v>457</v>
      </c>
      <c r="T64" s="1" t="s">
        <v>457</v>
      </c>
      <c r="V64" s="1" t="s">
        <v>156</v>
      </c>
      <c r="W64" s="1">
        <v>0</v>
      </c>
      <c r="X64" s="4"/>
      <c r="Y64" s="4"/>
    </row>
    <row r="65" s="1" customFormat="1" customHeight="1" spans="1:25">
      <c r="A65" s="4"/>
      <c r="C65" s="1" t="s">
        <v>458</v>
      </c>
      <c r="D65" s="1" t="s">
        <v>459</v>
      </c>
      <c r="E65" s="1">
        <v>2</v>
      </c>
      <c r="F65" s="1" t="s">
        <v>460</v>
      </c>
      <c r="G65" s="1" t="s">
        <v>461</v>
      </c>
      <c r="H65" s="1" t="s">
        <v>462</v>
      </c>
      <c r="I65" s="15" t="s">
        <v>463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7">
        <v>0</v>
      </c>
      <c r="Q65" s="7">
        <v>0</v>
      </c>
      <c r="R65" s="7">
        <v>0</v>
      </c>
      <c r="S65" s="1" t="s">
        <v>464</v>
      </c>
      <c r="T65" s="1" t="s">
        <v>464</v>
      </c>
      <c r="V65" s="1" t="s">
        <v>156</v>
      </c>
      <c r="W65" s="1">
        <v>0</v>
      </c>
      <c r="X65" s="4"/>
      <c r="Y65" s="4"/>
    </row>
    <row r="66" s="1" customFormat="1" customHeight="1" spans="1:25">
      <c r="A66" s="4"/>
      <c r="C66" s="1" t="s">
        <v>465</v>
      </c>
      <c r="D66" s="1" t="s">
        <v>466</v>
      </c>
      <c r="E66" s="1">
        <v>2</v>
      </c>
      <c r="F66" s="1" t="s">
        <v>467</v>
      </c>
      <c r="G66" s="1" t="s">
        <v>468</v>
      </c>
      <c r="H66" s="1" t="s">
        <v>469</v>
      </c>
      <c r="I66" s="15" t="s">
        <v>470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7">
        <v>0</v>
      </c>
      <c r="Q66" s="7">
        <v>0</v>
      </c>
      <c r="R66" s="7">
        <v>0</v>
      </c>
      <c r="S66" s="1" t="s">
        <v>471</v>
      </c>
      <c r="T66" s="1" t="s">
        <v>471</v>
      </c>
      <c r="V66" s="1" t="s">
        <v>156</v>
      </c>
      <c r="W66" s="1">
        <v>0</v>
      </c>
      <c r="X66" s="4"/>
      <c r="Y66" s="4"/>
    </row>
    <row r="67" s="1" customFormat="1" customHeight="1" spans="1:25">
      <c r="A67" s="4"/>
      <c r="C67" s="1" t="s">
        <v>472</v>
      </c>
      <c r="D67" s="1" t="s">
        <v>473</v>
      </c>
      <c r="E67" s="1">
        <v>2</v>
      </c>
      <c r="F67" s="1" t="s">
        <v>474</v>
      </c>
      <c r="G67" s="1" t="s">
        <v>475</v>
      </c>
      <c r="H67" s="1" t="s">
        <v>476</v>
      </c>
      <c r="I67" s="15" t="s">
        <v>477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7">
        <v>0</v>
      </c>
      <c r="Q67" s="7">
        <v>0</v>
      </c>
      <c r="R67" s="7">
        <v>0</v>
      </c>
      <c r="S67" s="1" t="s">
        <v>478</v>
      </c>
      <c r="T67" s="1" t="s">
        <v>478</v>
      </c>
      <c r="V67" s="1" t="s">
        <v>156</v>
      </c>
      <c r="W67" s="1">
        <v>0</v>
      </c>
      <c r="X67" s="4"/>
      <c r="Y67" s="4"/>
    </row>
    <row r="68" s="1" customFormat="1" customHeight="1" spans="1:25">
      <c r="A68" s="4"/>
      <c r="C68" s="1" t="s">
        <v>479</v>
      </c>
      <c r="D68" s="1" t="s">
        <v>480</v>
      </c>
      <c r="E68" s="1">
        <v>2</v>
      </c>
      <c r="F68" s="1" t="s">
        <v>481</v>
      </c>
      <c r="G68" s="1" t="s">
        <v>482</v>
      </c>
      <c r="H68" s="1" t="s">
        <v>483</v>
      </c>
      <c r="I68" s="15" t="s">
        <v>484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7">
        <v>0</v>
      </c>
      <c r="Q68" s="7">
        <v>0</v>
      </c>
      <c r="R68" s="7">
        <v>0</v>
      </c>
      <c r="S68" s="1" t="s">
        <v>485</v>
      </c>
      <c r="T68" s="1" t="s">
        <v>485</v>
      </c>
      <c r="V68" s="1" t="s">
        <v>156</v>
      </c>
      <c r="W68" s="1">
        <v>0</v>
      </c>
      <c r="X68" s="4"/>
      <c r="Y68" s="4"/>
    </row>
    <row r="69" s="1" customFormat="1" customHeight="1" spans="1:25">
      <c r="A69" s="4"/>
      <c r="C69" s="1" t="s">
        <v>486</v>
      </c>
      <c r="D69" s="1" t="s">
        <v>487</v>
      </c>
      <c r="E69" s="1">
        <v>2</v>
      </c>
      <c r="F69" s="1" t="s">
        <v>488</v>
      </c>
      <c r="G69" s="1" t="s">
        <v>489</v>
      </c>
      <c r="H69" s="1" t="s">
        <v>490</v>
      </c>
      <c r="I69" s="15" t="s">
        <v>491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7">
        <v>0</v>
      </c>
      <c r="Q69" s="7">
        <v>0</v>
      </c>
      <c r="R69" s="7">
        <v>0</v>
      </c>
      <c r="S69" s="1" t="s">
        <v>492</v>
      </c>
      <c r="T69" s="1" t="s">
        <v>492</v>
      </c>
      <c r="V69" s="1" t="s">
        <v>156</v>
      </c>
      <c r="W69" s="1">
        <v>0</v>
      </c>
      <c r="X69" s="4"/>
      <c r="Y69" s="4"/>
    </row>
    <row r="70" s="1" customFormat="1" customHeight="1" spans="1:25">
      <c r="A70" s="4"/>
      <c r="C70" s="1" t="s">
        <v>493</v>
      </c>
      <c r="D70" s="1" t="s">
        <v>494</v>
      </c>
      <c r="E70" s="1">
        <v>2</v>
      </c>
      <c r="F70" s="1" t="s">
        <v>495</v>
      </c>
      <c r="G70" s="1" t="s">
        <v>496</v>
      </c>
      <c r="H70" s="1" t="s">
        <v>497</v>
      </c>
      <c r="I70" s="15" t="s">
        <v>498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7">
        <v>0</v>
      </c>
      <c r="Q70" s="7">
        <v>0</v>
      </c>
      <c r="R70" s="7">
        <v>0</v>
      </c>
      <c r="S70" s="1" t="s">
        <v>499</v>
      </c>
      <c r="T70" s="1" t="s">
        <v>499</v>
      </c>
      <c r="V70" s="1" t="s">
        <v>156</v>
      </c>
      <c r="W70" s="1">
        <v>0</v>
      </c>
      <c r="X70" s="4"/>
      <c r="Y70" s="4"/>
    </row>
    <row r="71" s="1" customFormat="1" customHeight="1" spans="1:25">
      <c r="A71" s="4"/>
      <c r="C71" s="1" t="s">
        <v>500</v>
      </c>
      <c r="D71" s="1" t="s">
        <v>501</v>
      </c>
      <c r="E71" s="1">
        <v>2</v>
      </c>
      <c r="F71" s="1" t="s">
        <v>502</v>
      </c>
      <c r="G71" s="16" t="s">
        <v>503</v>
      </c>
      <c r="H71" s="15" t="s">
        <v>504</v>
      </c>
      <c r="I71" s="16" t="s">
        <v>505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7">
        <v>0</v>
      </c>
      <c r="Q71" s="7">
        <v>0</v>
      </c>
      <c r="R71" s="7">
        <v>0</v>
      </c>
      <c r="S71" s="1" t="s">
        <v>506</v>
      </c>
      <c r="T71" s="1" t="s">
        <v>506</v>
      </c>
      <c r="V71" s="1" t="s">
        <v>156</v>
      </c>
      <c r="W71" s="1">
        <v>0</v>
      </c>
      <c r="X71" s="4"/>
      <c r="Y71" s="4"/>
    </row>
    <row r="72" s="1" customFormat="1" customHeight="1" spans="1:25">
      <c r="A72" s="4"/>
      <c r="C72" s="1" t="s">
        <v>507</v>
      </c>
      <c r="D72" s="1" t="s">
        <v>508</v>
      </c>
      <c r="E72" s="1">
        <v>2</v>
      </c>
      <c r="F72" s="1" t="s">
        <v>509</v>
      </c>
      <c r="G72" s="16" t="s">
        <v>510</v>
      </c>
      <c r="H72" s="15" t="s">
        <v>511</v>
      </c>
      <c r="I72" s="17" t="s">
        <v>512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7">
        <v>0</v>
      </c>
      <c r="Q72" s="7">
        <v>0</v>
      </c>
      <c r="R72" s="7">
        <v>0</v>
      </c>
      <c r="S72" s="1" t="s">
        <v>513</v>
      </c>
      <c r="T72" s="1" t="s">
        <v>513</v>
      </c>
      <c r="V72" s="1" t="s">
        <v>156</v>
      </c>
      <c r="W72" s="1">
        <v>0</v>
      </c>
      <c r="X72" s="4"/>
      <c r="Y72" s="4"/>
    </row>
    <row r="73" s="1" customFormat="1" customHeight="1" spans="1:25">
      <c r="A73" s="4"/>
      <c r="C73" s="1" t="s">
        <v>514</v>
      </c>
      <c r="D73" s="1" t="s">
        <v>515</v>
      </c>
      <c r="E73" s="1">
        <v>2</v>
      </c>
      <c r="F73" s="1" t="s">
        <v>516</v>
      </c>
      <c r="G73" s="16" t="s">
        <v>517</v>
      </c>
      <c r="H73" s="15" t="s">
        <v>518</v>
      </c>
      <c r="I73" s="17" t="s">
        <v>519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7">
        <v>0</v>
      </c>
      <c r="Q73" s="7">
        <v>0</v>
      </c>
      <c r="R73" s="7">
        <v>0</v>
      </c>
      <c r="S73" s="1" t="s">
        <v>520</v>
      </c>
      <c r="T73" s="1" t="s">
        <v>520</v>
      </c>
      <c r="V73" s="1" t="s">
        <v>156</v>
      </c>
      <c r="W73" s="1">
        <v>0</v>
      </c>
      <c r="X73" s="4"/>
      <c r="Y73" s="4"/>
    </row>
    <row r="74" s="1" customFormat="1" customHeight="1" spans="1:25">
      <c r="A74" s="4"/>
      <c r="C74" s="1" t="s">
        <v>521</v>
      </c>
      <c r="D74" s="1" t="s">
        <v>522</v>
      </c>
      <c r="E74" s="1">
        <v>2</v>
      </c>
      <c r="F74" s="1" t="s">
        <v>523</v>
      </c>
      <c r="G74" s="16" t="s">
        <v>524</v>
      </c>
      <c r="H74" s="15" t="s">
        <v>525</v>
      </c>
      <c r="I74" s="17" t="s">
        <v>526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7">
        <v>0</v>
      </c>
      <c r="Q74" s="7">
        <v>0</v>
      </c>
      <c r="R74" s="7">
        <v>0</v>
      </c>
      <c r="S74" s="1" t="s">
        <v>527</v>
      </c>
      <c r="T74" s="1" t="s">
        <v>527</v>
      </c>
      <c r="V74" s="1" t="s">
        <v>156</v>
      </c>
      <c r="W74" s="1">
        <v>0</v>
      </c>
      <c r="X74" s="4"/>
      <c r="Y74" s="4"/>
    </row>
    <row r="75" s="1" customFormat="1" customHeight="1" spans="1:25">
      <c r="A75" s="4"/>
      <c r="C75" s="1" t="s">
        <v>528</v>
      </c>
      <c r="D75" s="1" t="s">
        <v>529</v>
      </c>
      <c r="E75" s="1">
        <v>2</v>
      </c>
      <c r="F75" s="1" t="s">
        <v>530</v>
      </c>
      <c r="G75" s="16" t="s">
        <v>531</v>
      </c>
      <c r="H75" s="15" t="s">
        <v>532</v>
      </c>
      <c r="I75" s="17" t="s">
        <v>533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7">
        <v>0</v>
      </c>
      <c r="Q75" s="7">
        <v>0</v>
      </c>
      <c r="R75" s="7">
        <v>0</v>
      </c>
      <c r="S75" s="1" t="s">
        <v>534</v>
      </c>
      <c r="T75" s="15" t="s">
        <v>534</v>
      </c>
      <c r="V75" s="1" t="s">
        <v>156</v>
      </c>
      <c r="W75" s="1">
        <v>0</v>
      </c>
      <c r="X75" s="4"/>
      <c r="Y75" s="4"/>
    </row>
    <row r="76" s="1" customFormat="1" customHeight="1" spans="1:23">
      <c r="A76" s="4"/>
      <c r="B76" s="4"/>
      <c r="C76" s="1" t="s">
        <v>535</v>
      </c>
      <c r="D76" s="1" t="s">
        <v>536</v>
      </c>
      <c r="E76" s="1">
        <v>3</v>
      </c>
      <c r="F76" s="1" t="s">
        <v>537</v>
      </c>
      <c r="G76" s="16" t="s">
        <v>538</v>
      </c>
      <c r="H76" s="15" t="s">
        <v>539</v>
      </c>
      <c r="I76" s="17" t="s">
        <v>540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7">
        <v>0</v>
      </c>
      <c r="Q76" s="7">
        <v>0</v>
      </c>
      <c r="R76" s="7">
        <v>0</v>
      </c>
      <c r="S76" s="1">
        <v>22938500000</v>
      </c>
      <c r="T76" s="1">
        <v>22938500000</v>
      </c>
      <c r="V76" s="1" t="s">
        <v>156</v>
      </c>
      <c r="W76" s="1">
        <v>0</v>
      </c>
    </row>
    <row r="77" s="1" customFormat="1" customHeight="1" spans="1:23">
      <c r="A77" s="4"/>
      <c r="B77" s="4"/>
      <c r="C77" s="1" t="s">
        <v>541</v>
      </c>
      <c r="D77" s="1" t="s">
        <v>542</v>
      </c>
      <c r="E77" s="1">
        <v>3</v>
      </c>
      <c r="F77" s="1" t="s">
        <v>543</v>
      </c>
      <c r="G77" s="16" t="s">
        <v>544</v>
      </c>
      <c r="H77" s="15" t="s">
        <v>545</v>
      </c>
      <c r="I77" s="17" t="s">
        <v>546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7">
        <v>0</v>
      </c>
      <c r="Q77" s="7">
        <v>0</v>
      </c>
      <c r="R77" s="7">
        <v>0</v>
      </c>
      <c r="S77" s="1">
        <v>23938500000</v>
      </c>
      <c r="T77" s="1">
        <v>23938500000</v>
      </c>
      <c r="V77" s="1" t="s">
        <v>156</v>
      </c>
      <c r="W77" s="1">
        <v>0</v>
      </c>
    </row>
    <row r="78" s="1" customFormat="1" customHeight="1" spans="1:23">
      <c r="A78" s="4"/>
      <c r="B78" s="4"/>
      <c r="C78" s="1" t="s">
        <v>547</v>
      </c>
      <c r="D78" s="1" t="s">
        <v>548</v>
      </c>
      <c r="E78" s="1">
        <v>3</v>
      </c>
      <c r="F78" s="1" t="s">
        <v>549</v>
      </c>
      <c r="G78" s="16" t="s">
        <v>550</v>
      </c>
      <c r="H78" s="15" t="s">
        <v>551</v>
      </c>
      <c r="I78" s="17" t="s">
        <v>552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7">
        <v>0</v>
      </c>
      <c r="Q78" s="7">
        <v>0</v>
      </c>
      <c r="R78" s="7">
        <v>0</v>
      </c>
      <c r="S78" s="1">
        <v>24938500000</v>
      </c>
      <c r="T78" s="1">
        <v>24938500000</v>
      </c>
      <c r="V78" s="1" t="s">
        <v>156</v>
      </c>
      <c r="W78" s="1">
        <v>0</v>
      </c>
    </row>
    <row r="79" s="1" customFormat="1" customHeight="1" spans="1:23">
      <c r="A79" s="4"/>
      <c r="B79" s="4"/>
      <c r="C79" s="1" t="s">
        <v>553</v>
      </c>
      <c r="D79" s="1" t="s">
        <v>554</v>
      </c>
      <c r="E79" s="1">
        <v>3</v>
      </c>
      <c r="F79" s="1" t="s">
        <v>555</v>
      </c>
      <c r="G79" s="16" t="s">
        <v>556</v>
      </c>
      <c r="H79" s="15" t="s">
        <v>557</v>
      </c>
      <c r="I79" s="17" t="s">
        <v>558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7">
        <v>0</v>
      </c>
      <c r="Q79" s="7">
        <v>0</v>
      </c>
      <c r="R79" s="7">
        <v>0</v>
      </c>
      <c r="S79" s="1">
        <v>25938500000</v>
      </c>
      <c r="T79" s="1">
        <v>25938500000</v>
      </c>
      <c r="V79" s="1" t="s">
        <v>156</v>
      </c>
      <c r="W79" s="1">
        <v>0</v>
      </c>
    </row>
    <row r="80" s="1" customFormat="1" customHeight="1" spans="1:23">
      <c r="A80" s="4"/>
      <c r="B80" s="4"/>
      <c r="C80" s="1" t="s">
        <v>559</v>
      </c>
      <c r="D80" s="1" t="s">
        <v>560</v>
      </c>
      <c r="E80" s="1">
        <v>3</v>
      </c>
      <c r="F80" s="1" t="s">
        <v>561</v>
      </c>
      <c r="G80" s="16" t="s">
        <v>562</v>
      </c>
      <c r="H80" s="15" t="s">
        <v>563</v>
      </c>
      <c r="I80" s="17" t="s">
        <v>564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7">
        <v>0</v>
      </c>
      <c r="Q80" s="7">
        <v>0</v>
      </c>
      <c r="R80" s="7">
        <v>0</v>
      </c>
      <c r="S80" s="1">
        <v>26938500000</v>
      </c>
      <c r="T80" s="1">
        <v>26938500000</v>
      </c>
      <c r="V80" s="1" t="s">
        <v>156</v>
      </c>
      <c r="W80" s="1">
        <v>0</v>
      </c>
    </row>
    <row r="81" s="1" customFormat="1" customHeight="1" spans="1:25">
      <c r="A81" s="4"/>
      <c r="B81" s="4"/>
      <c r="C81" s="1" t="s">
        <v>565</v>
      </c>
      <c r="D81" s="1" t="s">
        <v>566</v>
      </c>
      <c r="E81" s="1">
        <v>3</v>
      </c>
      <c r="F81" s="1" t="s">
        <v>567</v>
      </c>
      <c r="G81" s="16" t="s">
        <v>568</v>
      </c>
      <c r="H81" s="15" t="s">
        <v>569</v>
      </c>
      <c r="I81" s="17" t="s">
        <v>570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7">
        <v>0</v>
      </c>
      <c r="Q81" s="7">
        <v>0</v>
      </c>
      <c r="R81" s="7">
        <v>0</v>
      </c>
      <c r="S81" s="1">
        <v>30000000000</v>
      </c>
      <c r="T81" s="1">
        <v>30000000000</v>
      </c>
      <c r="V81" s="1" t="s">
        <v>156</v>
      </c>
      <c r="W81" s="1">
        <v>0</v>
      </c>
      <c r="X81" s="4"/>
      <c r="Y81" s="4"/>
    </row>
    <row r="82" s="1" customFormat="1" customHeight="1" spans="1:25">
      <c r="A82" s="4"/>
      <c r="B82" s="4"/>
      <c r="C82" s="1" t="s">
        <v>571</v>
      </c>
      <c r="D82" s="1" t="s">
        <v>572</v>
      </c>
      <c r="E82" s="1">
        <v>3</v>
      </c>
      <c r="F82" s="1" t="s">
        <v>573</v>
      </c>
      <c r="G82" s="16" t="s">
        <v>574</v>
      </c>
      <c r="H82" s="15" t="s">
        <v>575</v>
      </c>
      <c r="I82" s="17" t="s">
        <v>576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7">
        <v>0</v>
      </c>
      <c r="Q82" s="7">
        <v>0</v>
      </c>
      <c r="R82" s="7">
        <v>0</v>
      </c>
      <c r="S82" s="1">
        <v>32000000000</v>
      </c>
      <c r="T82" s="1">
        <v>32000000000</v>
      </c>
      <c r="V82" s="1" t="s">
        <v>156</v>
      </c>
      <c r="W82" s="1">
        <v>0</v>
      </c>
      <c r="X82" s="4"/>
      <c r="Y82" s="4"/>
    </row>
    <row r="83" s="1" customFormat="1" customHeight="1" spans="1:25">
      <c r="A83" s="4"/>
      <c r="B83" s="4"/>
      <c r="C83" s="1" t="s">
        <v>577</v>
      </c>
      <c r="D83" s="1" t="s">
        <v>578</v>
      </c>
      <c r="E83" s="1">
        <v>3</v>
      </c>
      <c r="F83" s="1" t="s">
        <v>579</v>
      </c>
      <c r="G83" s="16" t="s">
        <v>580</v>
      </c>
      <c r="H83" s="15" t="s">
        <v>531</v>
      </c>
      <c r="I83" s="17" t="s">
        <v>581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7">
        <v>0</v>
      </c>
      <c r="Q83" s="7">
        <v>0</v>
      </c>
      <c r="R83" s="7">
        <v>0</v>
      </c>
      <c r="S83" s="1">
        <v>34000000000</v>
      </c>
      <c r="T83" s="1">
        <v>34000000000</v>
      </c>
      <c r="V83" s="1" t="s">
        <v>156</v>
      </c>
      <c r="W83" s="1">
        <v>0</v>
      </c>
      <c r="X83" s="4"/>
      <c r="Y83" s="4"/>
    </row>
    <row r="84" s="1" customFormat="1" customHeight="1" spans="1:25">
      <c r="A84" s="4"/>
      <c r="B84" s="4"/>
      <c r="C84" s="1" t="s">
        <v>582</v>
      </c>
      <c r="D84" s="1" t="s">
        <v>583</v>
      </c>
      <c r="E84" s="1">
        <v>3</v>
      </c>
      <c r="F84" s="1" t="s">
        <v>584</v>
      </c>
      <c r="G84" s="16" t="s">
        <v>585</v>
      </c>
      <c r="H84" s="15" t="s">
        <v>586</v>
      </c>
      <c r="I84" s="17" t="s">
        <v>587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7">
        <v>0</v>
      </c>
      <c r="Q84" s="7">
        <v>0</v>
      </c>
      <c r="R84" s="7">
        <v>0</v>
      </c>
      <c r="S84" s="1">
        <v>37000000000</v>
      </c>
      <c r="T84" s="1">
        <v>37000000000</v>
      </c>
      <c r="V84" s="1" t="s">
        <v>156</v>
      </c>
      <c r="W84" s="1">
        <v>0</v>
      </c>
      <c r="X84" s="4"/>
      <c r="Y84" s="4"/>
    </row>
    <row r="85" s="1" customFormat="1" customHeight="1" spans="1:25">
      <c r="A85" s="4"/>
      <c r="B85" s="4"/>
      <c r="C85" s="1" t="s">
        <v>588</v>
      </c>
      <c r="D85" s="1" t="s">
        <v>589</v>
      </c>
      <c r="E85" s="1">
        <v>3</v>
      </c>
      <c r="F85" s="1" t="s">
        <v>590</v>
      </c>
      <c r="G85" s="16" t="s">
        <v>463</v>
      </c>
      <c r="H85" s="15" t="s">
        <v>591</v>
      </c>
      <c r="I85" s="17" t="s">
        <v>592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7">
        <v>0</v>
      </c>
      <c r="Q85" s="7">
        <v>0</v>
      </c>
      <c r="R85" s="7">
        <v>0</v>
      </c>
      <c r="S85" s="1">
        <v>40000000000</v>
      </c>
      <c r="T85" s="1">
        <v>40000000000</v>
      </c>
      <c r="V85" s="1" t="s">
        <v>156</v>
      </c>
      <c r="W85" s="1">
        <v>0</v>
      </c>
      <c r="X85" s="4"/>
      <c r="Y85" s="4"/>
    </row>
    <row r="86" s="1" customFormat="1" customHeight="1" spans="1:25">
      <c r="A86" s="4"/>
      <c r="B86" s="4"/>
      <c r="C86" s="1" t="s">
        <v>593</v>
      </c>
      <c r="D86" s="1" t="s">
        <v>594</v>
      </c>
      <c r="E86" s="1">
        <v>3</v>
      </c>
      <c r="F86" s="1" t="s">
        <v>595</v>
      </c>
      <c r="G86" s="16" t="s">
        <v>596</v>
      </c>
      <c r="H86" s="15" t="s">
        <v>597</v>
      </c>
      <c r="I86" s="17" t="s">
        <v>598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7">
        <v>0</v>
      </c>
      <c r="Q86" s="7">
        <v>0</v>
      </c>
      <c r="R86" s="7">
        <v>0</v>
      </c>
      <c r="S86" s="1">
        <v>50000000000</v>
      </c>
      <c r="T86" s="1">
        <v>50000000000</v>
      </c>
      <c r="V86" s="1" t="s">
        <v>156</v>
      </c>
      <c r="W86" s="1">
        <v>0</v>
      </c>
      <c r="X86" s="4"/>
      <c r="Y86" s="4"/>
    </row>
    <row r="87" s="1" customFormat="1" customHeight="1" spans="1:25">
      <c r="A87" s="4"/>
      <c r="B87" s="4"/>
      <c r="C87" s="1" t="s">
        <v>599</v>
      </c>
      <c r="D87" s="1" t="s">
        <v>600</v>
      </c>
      <c r="E87" s="1">
        <v>3</v>
      </c>
      <c r="F87" s="1" t="s">
        <v>601</v>
      </c>
      <c r="G87" s="16" t="s">
        <v>602</v>
      </c>
      <c r="H87" s="15" t="s">
        <v>603</v>
      </c>
      <c r="I87" s="17" t="s">
        <v>604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7">
        <v>0</v>
      </c>
      <c r="Q87" s="7">
        <v>0</v>
      </c>
      <c r="R87" s="7">
        <v>0</v>
      </c>
      <c r="S87" s="1">
        <v>60000000000</v>
      </c>
      <c r="T87" s="1">
        <v>60000000000</v>
      </c>
      <c r="V87" s="1" t="s">
        <v>156</v>
      </c>
      <c r="W87" s="1">
        <v>0</v>
      </c>
      <c r="X87" s="4"/>
      <c r="Y87" s="4"/>
    </row>
    <row r="88" s="1" customFormat="1" customHeight="1" spans="1:25">
      <c r="A88" s="4"/>
      <c r="B88" s="4"/>
      <c r="C88" s="1" t="s">
        <v>605</v>
      </c>
      <c r="D88" s="1" t="s">
        <v>606</v>
      </c>
      <c r="E88" s="1">
        <v>3</v>
      </c>
      <c r="F88" s="1" t="s">
        <v>607</v>
      </c>
      <c r="G88" s="16" t="s">
        <v>608</v>
      </c>
      <c r="H88" s="15" t="s">
        <v>609</v>
      </c>
      <c r="I88" s="17" t="s">
        <v>610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7">
        <v>0</v>
      </c>
      <c r="Q88" s="7">
        <v>0</v>
      </c>
      <c r="R88" s="7">
        <v>0</v>
      </c>
      <c r="S88" s="1">
        <v>70000000000</v>
      </c>
      <c r="T88" s="1">
        <v>70000000000</v>
      </c>
      <c r="V88" s="1" t="s">
        <v>156</v>
      </c>
      <c r="W88" s="1">
        <v>0</v>
      </c>
      <c r="X88" s="4"/>
      <c r="Y88" s="4"/>
    </row>
    <row r="89" s="1" customFormat="1" customHeight="1" spans="1:25">
      <c r="A89" s="4"/>
      <c r="B89" s="4"/>
      <c r="C89" s="1" t="s">
        <v>611</v>
      </c>
      <c r="D89" s="1" t="s">
        <v>612</v>
      </c>
      <c r="E89" s="1">
        <v>3</v>
      </c>
      <c r="F89" s="1" t="s">
        <v>613</v>
      </c>
      <c r="G89" s="16" t="s">
        <v>614</v>
      </c>
      <c r="H89" s="15" t="s">
        <v>463</v>
      </c>
      <c r="I89" s="17" t="s">
        <v>615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7">
        <v>0</v>
      </c>
      <c r="Q89" s="7">
        <v>0</v>
      </c>
      <c r="R89" s="7">
        <v>0</v>
      </c>
      <c r="S89" s="1">
        <v>80000000000</v>
      </c>
      <c r="T89" s="1">
        <v>80000000000</v>
      </c>
      <c r="V89" s="1" t="s">
        <v>156</v>
      </c>
      <c r="W89" s="1">
        <v>0</v>
      </c>
      <c r="X89" s="4"/>
      <c r="Y89" s="4"/>
    </row>
    <row r="90" s="1" customFormat="1" customHeight="1" spans="1:25">
      <c r="A90" s="4"/>
      <c r="B90" s="4"/>
      <c r="C90" s="1" t="s">
        <v>616</v>
      </c>
      <c r="D90" s="1" t="s">
        <v>617</v>
      </c>
      <c r="E90" s="1">
        <v>3</v>
      </c>
      <c r="F90" s="1" t="s">
        <v>618</v>
      </c>
      <c r="G90" s="16" t="s">
        <v>619</v>
      </c>
      <c r="H90" s="15" t="s">
        <v>620</v>
      </c>
      <c r="I90" s="17" t="s">
        <v>621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7">
        <v>0</v>
      </c>
      <c r="Q90" s="7">
        <v>0</v>
      </c>
      <c r="R90" s="7">
        <v>0</v>
      </c>
      <c r="S90" s="15" t="s">
        <v>622</v>
      </c>
      <c r="T90" s="15" t="s">
        <v>622</v>
      </c>
      <c r="V90" s="1" t="s">
        <v>156</v>
      </c>
      <c r="W90" s="1">
        <v>0</v>
      </c>
      <c r="X90" s="4"/>
      <c r="Y90" s="4"/>
    </row>
    <row r="91" s="1" customFormat="1" customHeight="1" spans="1:25">
      <c r="A91" s="4"/>
      <c r="B91" s="4"/>
      <c r="C91" s="1" t="s">
        <v>623</v>
      </c>
      <c r="D91" s="1" t="s">
        <v>624</v>
      </c>
      <c r="E91" s="1">
        <v>3</v>
      </c>
      <c r="F91" s="1" t="s">
        <v>625</v>
      </c>
      <c r="G91" s="16" t="s">
        <v>512</v>
      </c>
      <c r="H91" s="15" t="s">
        <v>626</v>
      </c>
      <c r="I91" s="17" t="s">
        <v>627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7">
        <v>0</v>
      </c>
      <c r="Q91" s="7">
        <v>0</v>
      </c>
      <c r="R91" s="7">
        <v>0</v>
      </c>
      <c r="S91" s="15" t="s">
        <v>628</v>
      </c>
      <c r="T91" s="15" t="s">
        <v>628</v>
      </c>
      <c r="V91" s="1" t="s">
        <v>156</v>
      </c>
      <c r="W91" s="1">
        <v>0</v>
      </c>
      <c r="X91" s="4"/>
      <c r="Y91" s="4"/>
    </row>
    <row r="92" s="1" customFormat="1" customHeight="1" spans="1:25">
      <c r="A92" s="4"/>
      <c r="B92" s="4"/>
      <c r="C92" s="1" t="s">
        <v>629</v>
      </c>
      <c r="D92" s="1" t="s">
        <v>630</v>
      </c>
      <c r="E92" s="1">
        <v>3</v>
      </c>
      <c r="F92" s="1" t="s">
        <v>631</v>
      </c>
      <c r="G92" s="16" t="s">
        <v>632</v>
      </c>
      <c r="H92" s="15" t="s">
        <v>633</v>
      </c>
      <c r="I92" s="17" t="s">
        <v>634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7">
        <v>0</v>
      </c>
      <c r="Q92" s="7">
        <v>0</v>
      </c>
      <c r="R92" s="7">
        <v>0</v>
      </c>
      <c r="S92" s="15" t="s">
        <v>635</v>
      </c>
      <c r="T92" s="15" t="s">
        <v>635</v>
      </c>
      <c r="V92" s="1" t="s">
        <v>156</v>
      </c>
      <c r="W92" s="1">
        <v>0</v>
      </c>
      <c r="X92" s="4"/>
      <c r="Y92" s="4"/>
    </row>
    <row r="93" s="1" customFormat="1" customHeight="1" spans="1:25">
      <c r="A93" s="4"/>
      <c r="B93" s="4"/>
      <c r="C93" s="1" t="s">
        <v>636</v>
      </c>
      <c r="D93" s="1" t="s">
        <v>637</v>
      </c>
      <c r="E93" s="1">
        <v>3</v>
      </c>
      <c r="F93" s="1" t="s">
        <v>638</v>
      </c>
      <c r="G93" s="16" t="s">
        <v>639</v>
      </c>
      <c r="H93" s="15" t="s">
        <v>640</v>
      </c>
      <c r="I93" s="17" t="s">
        <v>641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7">
        <v>0</v>
      </c>
      <c r="Q93" s="7">
        <v>0</v>
      </c>
      <c r="R93" s="7">
        <v>0</v>
      </c>
      <c r="S93" s="15" t="s">
        <v>642</v>
      </c>
      <c r="T93" s="15" t="s">
        <v>642</v>
      </c>
      <c r="V93" s="1" t="s">
        <v>156</v>
      </c>
      <c r="W93" s="1">
        <v>0</v>
      </c>
      <c r="X93" s="4"/>
      <c r="Y93" s="4"/>
    </row>
    <row r="94" s="1" customFormat="1" customHeight="1" spans="1:25">
      <c r="A94" s="4"/>
      <c r="B94" s="4"/>
      <c r="C94" s="1" t="s">
        <v>643</v>
      </c>
      <c r="D94" s="1" t="s">
        <v>644</v>
      </c>
      <c r="E94" s="1">
        <v>3</v>
      </c>
      <c r="F94" s="1" t="s">
        <v>645</v>
      </c>
      <c r="G94" s="16" t="s">
        <v>646</v>
      </c>
      <c r="H94" s="15" t="s">
        <v>647</v>
      </c>
      <c r="I94" s="17" t="s">
        <v>648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7">
        <v>0</v>
      </c>
      <c r="Q94" s="7">
        <v>0</v>
      </c>
      <c r="R94" s="7">
        <v>0</v>
      </c>
      <c r="S94" s="15" t="s">
        <v>649</v>
      </c>
      <c r="T94" s="15" t="s">
        <v>649</v>
      </c>
      <c r="V94" s="1" t="s">
        <v>156</v>
      </c>
      <c r="W94" s="1">
        <v>0</v>
      </c>
      <c r="X94" s="4"/>
      <c r="Y94" s="4"/>
    </row>
    <row r="95" s="1" customFormat="1" customHeight="1" spans="1:25">
      <c r="A95" s="4"/>
      <c r="B95" s="4"/>
      <c r="C95" s="1" t="s">
        <v>650</v>
      </c>
      <c r="D95" s="1" t="s">
        <v>651</v>
      </c>
      <c r="E95" s="1">
        <v>3</v>
      </c>
      <c r="F95" s="1" t="s">
        <v>652</v>
      </c>
      <c r="G95" s="16" t="s">
        <v>653</v>
      </c>
      <c r="H95" s="15" t="s">
        <v>654</v>
      </c>
      <c r="I95" s="17" t="s">
        <v>655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7">
        <v>0</v>
      </c>
      <c r="Q95" s="7">
        <v>0</v>
      </c>
      <c r="R95" s="7">
        <v>0</v>
      </c>
      <c r="S95" s="15" t="s">
        <v>656</v>
      </c>
      <c r="T95" s="15" t="s">
        <v>656</v>
      </c>
      <c r="V95" s="1" t="s">
        <v>156</v>
      </c>
      <c r="W95" s="1">
        <v>0</v>
      </c>
      <c r="X95" s="4"/>
      <c r="Y95" s="4"/>
    </row>
    <row r="96" customHeight="1" spans="3:23">
      <c r="C96" s="1" t="s">
        <v>657</v>
      </c>
      <c r="D96" s="1" t="s">
        <v>658</v>
      </c>
      <c r="E96" s="1">
        <v>3</v>
      </c>
      <c r="F96" s="1" t="s">
        <v>659</v>
      </c>
      <c r="G96" s="16" t="s">
        <v>660</v>
      </c>
      <c r="H96" s="15" t="s">
        <v>661</v>
      </c>
      <c r="I96" s="17" t="s">
        <v>662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7">
        <v>0</v>
      </c>
      <c r="Q96" s="7">
        <v>0</v>
      </c>
      <c r="R96" s="7">
        <v>0</v>
      </c>
      <c r="S96" s="15" t="s">
        <v>663</v>
      </c>
      <c r="T96" s="15" t="s">
        <v>663</v>
      </c>
      <c r="V96" s="1" t="s">
        <v>156</v>
      </c>
      <c r="W96" s="1">
        <v>0</v>
      </c>
    </row>
    <row r="97" customHeight="1" spans="3:23">
      <c r="C97" s="1" t="s">
        <v>664</v>
      </c>
      <c r="D97" s="1" t="s">
        <v>665</v>
      </c>
      <c r="E97" s="1">
        <v>3</v>
      </c>
      <c r="F97" s="1" t="s">
        <v>666</v>
      </c>
      <c r="G97" s="16" t="s">
        <v>667</v>
      </c>
      <c r="H97" s="15" t="s">
        <v>668</v>
      </c>
      <c r="I97" s="17" t="s">
        <v>669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7">
        <v>0</v>
      </c>
      <c r="Q97" s="7">
        <v>0</v>
      </c>
      <c r="R97" s="7">
        <v>0</v>
      </c>
      <c r="S97" s="15" t="s">
        <v>670</v>
      </c>
      <c r="T97" s="15" t="s">
        <v>670</v>
      </c>
      <c r="V97" s="1" t="s">
        <v>156</v>
      </c>
      <c r="W97" s="1">
        <v>0</v>
      </c>
    </row>
    <row r="98" customHeight="1" spans="3:23">
      <c r="C98" s="1" t="s">
        <v>671</v>
      </c>
      <c r="D98" s="1" t="s">
        <v>672</v>
      </c>
      <c r="E98" s="1">
        <v>3</v>
      </c>
      <c r="F98" s="1" t="s">
        <v>673</v>
      </c>
      <c r="G98" s="16" t="s">
        <v>674</v>
      </c>
      <c r="H98" s="15" t="s">
        <v>675</v>
      </c>
      <c r="I98" s="17" t="s">
        <v>676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7">
        <v>0</v>
      </c>
      <c r="Q98" s="7">
        <v>0</v>
      </c>
      <c r="R98" s="7">
        <v>0</v>
      </c>
      <c r="S98" s="15" t="s">
        <v>677</v>
      </c>
      <c r="T98" s="15" t="s">
        <v>677</v>
      </c>
      <c r="V98" s="1" t="s">
        <v>156</v>
      </c>
      <c r="W98" s="1">
        <v>0</v>
      </c>
    </row>
    <row r="99" customHeight="1" spans="3:23">
      <c r="C99" s="1" t="s">
        <v>678</v>
      </c>
      <c r="D99" s="1" t="s">
        <v>679</v>
      </c>
      <c r="E99" s="1">
        <v>3</v>
      </c>
      <c r="F99" s="1" t="s">
        <v>680</v>
      </c>
      <c r="G99" s="16" t="s">
        <v>681</v>
      </c>
      <c r="H99" s="15" t="s">
        <v>682</v>
      </c>
      <c r="I99" s="17" t="s">
        <v>683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4">
        <v>0</v>
      </c>
      <c r="Q99" s="4">
        <v>0</v>
      </c>
      <c r="R99" s="7">
        <v>0</v>
      </c>
      <c r="S99" s="15" t="s">
        <v>684</v>
      </c>
      <c r="T99" s="15" t="s">
        <v>684</v>
      </c>
      <c r="V99" s="1" t="s">
        <v>156</v>
      </c>
      <c r="W99" s="1">
        <v>0</v>
      </c>
    </row>
    <row r="100" customHeight="1" spans="3:23">
      <c r="C100" s="1" t="s">
        <v>685</v>
      </c>
      <c r="D100" s="1" t="s">
        <v>686</v>
      </c>
      <c r="E100" s="1">
        <v>3</v>
      </c>
      <c r="F100" s="1" t="s">
        <v>460</v>
      </c>
      <c r="G100" s="16" t="s">
        <v>687</v>
      </c>
      <c r="H100" s="15" t="s">
        <v>688</v>
      </c>
      <c r="I100" s="17" t="s">
        <v>689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4">
        <v>0</v>
      </c>
      <c r="Q100" s="4">
        <v>0</v>
      </c>
      <c r="R100" s="7">
        <v>0</v>
      </c>
      <c r="S100" s="15" t="s">
        <v>690</v>
      </c>
      <c r="T100" s="15" t="s">
        <v>690</v>
      </c>
      <c r="V100" s="1" t="s">
        <v>156</v>
      </c>
      <c r="W100" s="1">
        <v>0</v>
      </c>
    </row>
    <row r="101" s="1" customFormat="1" customHeight="1" spans="1:25">
      <c r="A101" s="4"/>
      <c r="B101" s="4"/>
      <c r="C101" s="1" t="s">
        <v>691</v>
      </c>
      <c r="D101" s="1" t="s">
        <v>692</v>
      </c>
      <c r="E101" s="1">
        <v>3</v>
      </c>
      <c r="F101" s="1" t="s">
        <v>693</v>
      </c>
      <c r="G101" s="16" t="s">
        <v>694</v>
      </c>
      <c r="H101" s="15" t="s">
        <v>695</v>
      </c>
      <c r="I101" s="17" t="s">
        <v>696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4">
        <v>0</v>
      </c>
      <c r="Q101" s="4">
        <v>0</v>
      </c>
      <c r="R101" s="7">
        <v>0</v>
      </c>
      <c r="S101" s="15" t="s">
        <v>697</v>
      </c>
      <c r="T101" s="15" t="s">
        <v>697</v>
      </c>
      <c r="V101" s="1" t="s">
        <v>156</v>
      </c>
      <c r="W101" s="1">
        <v>0</v>
      </c>
      <c r="X101" s="4"/>
      <c r="Y101" s="4"/>
    </row>
    <row r="102" s="1" customFormat="1" customHeight="1" spans="1:25">
      <c r="A102" s="4"/>
      <c r="B102" s="4"/>
      <c r="C102" s="1" t="s">
        <v>698</v>
      </c>
      <c r="D102" s="1" t="s">
        <v>699</v>
      </c>
      <c r="E102" s="1">
        <v>3</v>
      </c>
      <c r="F102" s="1" t="s">
        <v>700</v>
      </c>
      <c r="G102" s="16" t="s">
        <v>701</v>
      </c>
      <c r="H102" s="15" t="s">
        <v>610</v>
      </c>
      <c r="I102" s="17" t="s">
        <v>702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4">
        <v>0</v>
      </c>
      <c r="Q102" s="4">
        <v>0</v>
      </c>
      <c r="R102" s="7">
        <v>0</v>
      </c>
      <c r="S102" s="15" t="s">
        <v>703</v>
      </c>
      <c r="T102" s="15" t="s">
        <v>703</v>
      </c>
      <c r="V102" s="1" t="s">
        <v>156</v>
      </c>
      <c r="W102" s="1">
        <v>0</v>
      </c>
      <c r="X102" s="4"/>
      <c r="Y102" s="4"/>
    </row>
    <row r="103" s="1" customFormat="1" customHeight="1" spans="1:25">
      <c r="A103" s="4"/>
      <c r="B103" s="4"/>
      <c r="C103" s="1" t="s">
        <v>704</v>
      </c>
      <c r="D103" s="1" t="s">
        <v>705</v>
      </c>
      <c r="E103" s="1">
        <v>3</v>
      </c>
      <c r="F103" s="1" t="s">
        <v>706</v>
      </c>
      <c r="G103" s="16" t="s">
        <v>707</v>
      </c>
      <c r="H103" s="15" t="s">
        <v>615</v>
      </c>
      <c r="I103" s="17" t="s">
        <v>708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4">
        <v>0</v>
      </c>
      <c r="Q103" s="4">
        <v>0</v>
      </c>
      <c r="R103" s="7">
        <v>0</v>
      </c>
      <c r="S103" s="15" t="s">
        <v>709</v>
      </c>
      <c r="T103" s="15" t="s">
        <v>709</v>
      </c>
      <c r="V103" s="1" t="s">
        <v>156</v>
      </c>
      <c r="W103" s="1">
        <v>0</v>
      </c>
      <c r="X103" s="4"/>
      <c r="Y103" s="4"/>
    </row>
    <row r="104" s="1" customFormat="1" customHeight="1" spans="1:25">
      <c r="A104" s="4"/>
      <c r="B104" s="4"/>
      <c r="C104" s="1" t="s">
        <v>710</v>
      </c>
      <c r="D104" s="1" t="s">
        <v>711</v>
      </c>
      <c r="E104" s="1">
        <v>3</v>
      </c>
      <c r="F104" s="1" t="s">
        <v>712</v>
      </c>
      <c r="G104" s="16" t="s">
        <v>713</v>
      </c>
      <c r="H104" s="15" t="s">
        <v>714</v>
      </c>
      <c r="I104" s="17" t="s">
        <v>715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4">
        <v>0</v>
      </c>
      <c r="Q104" s="4">
        <v>0</v>
      </c>
      <c r="R104" s="7">
        <v>0</v>
      </c>
      <c r="S104" s="15" t="s">
        <v>716</v>
      </c>
      <c r="T104" s="15" t="s">
        <v>716</v>
      </c>
      <c r="V104" s="1" t="s">
        <v>156</v>
      </c>
      <c r="W104" s="1">
        <v>0</v>
      </c>
      <c r="X104" s="4"/>
      <c r="Y104" s="4"/>
    </row>
    <row r="105" s="1" customFormat="1" customHeight="1" spans="1:25">
      <c r="A105" s="4"/>
      <c r="B105" s="4"/>
      <c r="C105" s="1" t="s">
        <v>717</v>
      </c>
      <c r="D105" s="1" t="s">
        <v>718</v>
      </c>
      <c r="E105" s="1">
        <v>3</v>
      </c>
      <c r="F105" s="1" t="s">
        <v>719</v>
      </c>
      <c r="G105" s="16" t="s">
        <v>720</v>
      </c>
      <c r="H105" s="15" t="s">
        <v>721</v>
      </c>
      <c r="I105" s="17" t="s">
        <v>722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4">
        <v>0</v>
      </c>
      <c r="Q105" s="4">
        <v>0</v>
      </c>
      <c r="R105" s="7">
        <v>0</v>
      </c>
      <c r="S105" s="15" t="s">
        <v>723</v>
      </c>
      <c r="T105" s="15" t="s">
        <v>723</v>
      </c>
      <c r="V105" s="1" t="s">
        <v>156</v>
      </c>
      <c r="W105" s="1">
        <v>0</v>
      </c>
      <c r="X105" s="4"/>
      <c r="Y105" s="4"/>
    </row>
    <row r="106" s="1" customFormat="1" customHeight="1" spans="1:25">
      <c r="A106" s="4"/>
      <c r="B106" s="4"/>
      <c r="C106" s="1" t="s">
        <v>724</v>
      </c>
      <c r="D106" s="1" t="s">
        <v>725</v>
      </c>
      <c r="E106" s="1">
        <v>3</v>
      </c>
      <c r="F106" s="1" t="s">
        <v>726</v>
      </c>
      <c r="G106" s="16" t="s">
        <v>727</v>
      </c>
      <c r="H106" s="15" t="s">
        <v>728</v>
      </c>
      <c r="I106" s="17" t="s">
        <v>729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4">
        <v>0</v>
      </c>
      <c r="Q106" s="4">
        <v>0</v>
      </c>
      <c r="R106" s="7">
        <v>0</v>
      </c>
      <c r="S106" s="15" t="s">
        <v>730</v>
      </c>
      <c r="T106" s="15" t="s">
        <v>730</v>
      </c>
      <c r="V106" s="1" t="s">
        <v>156</v>
      </c>
      <c r="W106" s="1">
        <v>0</v>
      </c>
      <c r="X106" s="4"/>
      <c r="Y106" s="4"/>
    </row>
    <row r="107" s="1" customFormat="1" customHeight="1" spans="1:25">
      <c r="A107" s="4"/>
      <c r="B107" s="4"/>
      <c r="C107" s="1" t="s">
        <v>731</v>
      </c>
      <c r="D107" s="1" t="s">
        <v>732</v>
      </c>
      <c r="E107" s="1">
        <v>3</v>
      </c>
      <c r="F107" s="1" t="s">
        <v>733</v>
      </c>
      <c r="G107" s="16" t="s">
        <v>734</v>
      </c>
      <c r="H107" s="15" t="s">
        <v>735</v>
      </c>
      <c r="I107" s="17" t="s">
        <v>736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4">
        <v>0</v>
      </c>
      <c r="Q107" s="4">
        <v>0</v>
      </c>
      <c r="R107" s="7">
        <v>0</v>
      </c>
      <c r="S107" s="15" t="s">
        <v>737</v>
      </c>
      <c r="T107" s="15" t="s">
        <v>737</v>
      </c>
      <c r="V107" s="1" t="s">
        <v>156</v>
      </c>
      <c r="W107" s="1">
        <v>0</v>
      </c>
      <c r="X107" s="4"/>
      <c r="Y107" s="4"/>
    </row>
    <row r="108" s="1" customFormat="1" customHeight="1" spans="1:25">
      <c r="A108" s="4"/>
      <c r="B108" s="4"/>
      <c r="C108" s="1" t="s">
        <v>738</v>
      </c>
      <c r="D108" s="1" t="s">
        <v>739</v>
      </c>
      <c r="E108" s="1">
        <v>3</v>
      </c>
      <c r="F108" s="1" t="s">
        <v>740</v>
      </c>
      <c r="G108" s="16" t="s">
        <v>741</v>
      </c>
      <c r="H108" s="15" t="s">
        <v>742</v>
      </c>
      <c r="I108" s="17" t="s">
        <v>743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4">
        <v>0</v>
      </c>
      <c r="Q108" s="4">
        <v>0</v>
      </c>
      <c r="R108" s="7">
        <v>0</v>
      </c>
      <c r="S108" s="15" t="s">
        <v>744</v>
      </c>
      <c r="T108" s="15" t="s">
        <v>744</v>
      </c>
      <c r="V108" s="1" t="s">
        <v>156</v>
      </c>
      <c r="W108" s="1">
        <v>0</v>
      </c>
      <c r="X108" s="4"/>
      <c r="Y108" s="4"/>
    </row>
    <row r="109" s="1" customFormat="1" customHeight="1" spans="1:25">
      <c r="A109" s="4"/>
      <c r="B109" s="4"/>
      <c r="C109" s="1" t="s">
        <v>745</v>
      </c>
      <c r="D109" s="1" t="s">
        <v>746</v>
      </c>
      <c r="E109" s="1">
        <v>3</v>
      </c>
      <c r="F109" s="1" t="s">
        <v>747</v>
      </c>
      <c r="G109" s="16" t="s">
        <v>748</v>
      </c>
      <c r="H109" s="15" t="s">
        <v>749</v>
      </c>
      <c r="I109" s="17" t="s">
        <v>750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4">
        <v>0</v>
      </c>
      <c r="Q109" s="4">
        <v>0</v>
      </c>
      <c r="R109" s="7">
        <v>0</v>
      </c>
      <c r="S109" s="15" t="s">
        <v>751</v>
      </c>
      <c r="T109" s="15" t="s">
        <v>751</v>
      </c>
      <c r="V109" s="1" t="s">
        <v>156</v>
      </c>
      <c r="W109" s="1">
        <v>0</v>
      </c>
      <c r="X109" s="4"/>
      <c r="Y109" s="4"/>
    </row>
    <row r="110" s="1" customFormat="1" customHeight="1" spans="1:25">
      <c r="A110" s="4"/>
      <c r="B110" s="4"/>
      <c r="C110" s="1" t="s">
        <v>752</v>
      </c>
      <c r="D110" s="1" t="s">
        <v>753</v>
      </c>
      <c r="E110" s="1">
        <v>3</v>
      </c>
      <c r="F110" s="1" t="s">
        <v>754</v>
      </c>
      <c r="G110" s="16" t="s">
        <v>676</v>
      </c>
      <c r="H110" s="15" t="s">
        <v>755</v>
      </c>
      <c r="I110" s="17" t="s">
        <v>756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4">
        <v>0</v>
      </c>
      <c r="Q110" s="4">
        <v>0</v>
      </c>
      <c r="R110" s="7">
        <v>0</v>
      </c>
      <c r="S110" s="15" t="s">
        <v>757</v>
      </c>
      <c r="T110" s="15" t="s">
        <v>757</v>
      </c>
      <c r="V110" s="1" t="s">
        <v>156</v>
      </c>
      <c r="W110" s="1">
        <v>0</v>
      </c>
      <c r="X110" s="4"/>
      <c r="Y110" s="4"/>
    </row>
    <row r="111" s="2" customFormat="1" customHeight="1" spans="1:23">
      <c r="A111" s="4"/>
      <c r="B111" s="4"/>
      <c r="C111" s="2" t="s">
        <v>758</v>
      </c>
      <c r="D111" s="2" t="s">
        <v>759</v>
      </c>
      <c r="E111" s="2">
        <v>4</v>
      </c>
      <c r="F111" s="1" t="s">
        <v>760</v>
      </c>
      <c r="G111" s="18" t="s">
        <v>761</v>
      </c>
      <c r="H111" s="19" t="s">
        <v>761</v>
      </c>
      <c r="I111" s="20" t="s">
        <v>762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4">
        <v>35</v>
      </c>
      <c r="Q111" s="7">
        <v>0</v>
      </c>
      <c r="R111" s="4">
        <v>90</v>
      </c>
      <c r="S111" s="19" t="s">
        <v>763</v>
      </c>
      <c r="T111" s="19" t="s">
        <v>763</v>
      </c>
      <c r="V111" s="2" t="s">
        <v>156</v>
      </c>
      <c r="W111" s="2">
        <v>0</v>
      </c>
    </row>
    <row r="112" s="1" customFormat="1" customHeight="1" spans="1:23">
      <c r="A112" s="4"/>
      <c r="B112" s="4"/>
      <c r="C112" s="1" t="s">
        <v>764</v>
      </c>
      <c r="D112" s="1" t="s">
        <v>765</v>
      </c>
      <c r="E112" s="1">
        <v>4</v>
      </c>
      <c r="F112" s="1" t="s">
        <v>766</v>
      </c>
      <c r="G112" s="16" t="s">
        <v>767</v>
      </c>
      <c r="H112" s="15" t="s">
        <v>767</v>
      </c>
      <c r="I112" s="17" t="s">
        <v>768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4">
        <f t="shared" ref="P112:P145" si="36">P111+1</f>
        <v>36</v>
      </c>
      <c r="Q112" s="7">
        <v>0</v>
      </c>
      <c r="R112" s="4">
        <v>90</v>
      </c>
      <c r="S112" s="15" t="s">
        <v>769</v>
      </c>
      <c r="T112" s="15" t="s">
        <v>769</v>
      </c>
      <c r="V112" s="1" t="s">
        <v>156</v>
      </c>
      <c r="W112" s="1">
        <v>0</v>
      </c>
    </row>
    <row r="113" s="1" customFormat="1" customHeight="1" spans="1:23">
      <c r="A113" s="4"/>
      <c r="B113" s="4"/>
      <c r="C113" s="1" t="s">
        <v>770</v>
      </c>
      <c r="D113" s="1" t="s">
        <v>771</v>
      </c>
      <c r="E113" s="1">
        <v>4</v>
      </c>
      <c r="F113" s="1" t="s">
        <v>772</v>
      </c>
      <c r="G113" s="16" t="s">
        <v>773</v>
      </c>
      <c r="H113" s="15" t="s">
        <v>773</v>
      </c>
      <c r="I113" s="17" t="s">
        <v>774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4">
        <f t="shared" si="36"/>
        <v>37</v>
      </c>
      <c r="Q113" s="7">
        <v>0</v>
      </c>
      <c r="R113" s="4">
        <v>90</v>
      </c>
      <c r="S113" s="15" t="s">
        <v>775</v>
      </c>
      <c r="T113" s="15" t="s">
        <v>775</v>
      </c>
      <c r="V113" s="1" t="s">
        <v>156</v>
      </c>
      <c r="W113" s="1">
        <v>0</v>
      </c>
    </row>
    <row r="114" s="1" customFormat="1" customHeight="1" spans="1:23">
      <c r="A114" s="4"/>
      <c r="B114" s="4"/>
      <c r="C114" s="1" t="s">
        <v>776</v>
      </c>
      <c r="D114" s="1" t="s">
        <v>777</v>
      </c>
      <c r="E114" s="1">
        <v>4</v>
      </c>
      <c r="F114" s="1" t="s">
        <v>778</v>
      </c>
      <c r="G114" s="16" t="s">
        <v>779</v>
      </c>
      <c r="H114" s="15" t="s">
        <v>779</v>
      </c>
      <c r="I114" s="17" t="s">
        <v>780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4">
        <f t="shared" si="36"/>
        <v>38</v>
      </c>
      <c r="Q114" s="7">
        <v>0</v>
      </c>
      <c r="R114" s="4">
        <v>90</v>
      </c>
      <c r="S114" s="15" t="s">
        <v>781</v>
      </c>
      <c r="T114" s="15" t="s">
        <v>781</v>
      </c>
      <c r="V114" s="1" t="s">
        <v>156</v>
      </c>
      <c r="W114" s="1">
        <v>0</v>
      </c>
    </row>
    <row r="115" s="1" customFormat="1" customHeight="1" spans="1:23">
      <c r="A115" s="4"/>
      <c r="B115" s="4"/>
      <c r="C115" s="1" t="s">
        <v>782</v>
      </c>
      <c r="D115" s="1" t="s">
        <v>783</v>
      </c>
      <c r="E115" s="1">
        <v>4</v>
      </c>
      <c r="F115" s="1" t="s">
        <v>784</v>
      </c>
      <c r="G115" s="16" t="s">
        <v>785</v>
      </c>
      <c r="H115" s="15" t="s">
        <v>785</v>
      </c>
      <c r="I115" s="17" t="s">
        <v>786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4">
        <f t="shared" si="36"/>
        <v>39</v>
      </c>
      <c r="Q115" s="7">
        <v>0</v>
      </c>
      <c r="R115" s="4">
        <v>90</v>
      </c>
      <c r="S115" s="15" t="s">
        <v>787</v>
      </c>
      <c r="T115" s="15" t="s">
        <v>787</v>
      </c>
      <c r="V115" s="1" t="s">
        <v>156</v>
      </c>
      <c r="W115" s="1">
        <v>0</v>
      </c>
    </row>
    <row r="116" s="1" customFormat="1" customHeight="1" spans="1:25">
      <c r="A116" s="4"/>
      <c r="B116" s="4"/>
      <c r="C116" s="1" t="s">
        <v>788</v>
      </c>
      <c r="D116" s="1" t="s">
        <v>789</v>
      </c>
      <c r="E116" s="1">
        <v>4</v>
      </c>
      <c r="F116" s="1" t="s">
        <v>790</v>
      </c>
      <c r="G116" s="16" t="s">
        <v>791</v>
      </c>
      <c r="H116" s="15" t="s">
        <v>791</v>
      </c>
      <c r="I116" s="17" t="s">
        <v>792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4">
        <f t="shared" si="36"/>
        <v>40</v>
      </c>
      <c r="Q116" s="7">
        <v>0</v>
      </c>
      <c r="R116" s="4">
        <v>90</v>
      </c>
      <c r="S116" s="15" t="s">
        <v>793</v>
      </c>
      <c r="T116" s="15" t="s">
        <v>793</v>
      </c>
      <c r="V116" s="1" t="s">
        <v>156</v>
      </c>
      <c r="W116" s="1">
        <v>0</v>
      </c>
      <c r="X116" s="4"/>
      <c r="Y116" s="4"/>
    </row>
    <row r="117" s="1" customFormat="1" customHeight="1" spans="1:25">
      <c r="A117" s="4"/>
      <c r="B117" s="4"/>
      <c r="C117" s="1" t="s">
        <v>794</v>
      </c>
      <c r="D117" s="1" t="s">
        <v>795</v>
      </c>
      <c r="E117" s="1">
        <v>4</v>
      </c>
      <c r="F117" s="1" t="s">
        <v>796</v>
      </c>
      <c r="G117" s="16" t="s">
        <v>797</v>
      </c>
      <c r="H117" s="15" t="s">
        <v>797</v>
      </c>
      <c r="I117" s="17" t="s">
        <v>798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4">
        <f t="shared" si="36"/>
        <v>41</v>
      </c>
      <c r="Q117" s="7">
        <v>0</v>
      </c>
      <c r="R117" s="4">
        <v>90</v>
      </c>
      <c r="S117" s="15" t="s">
        <v>799</v>
      </c>
      <c r="T117" s="15" t="s">
        <v>799</v>
      </c>
      <c r="V117" s="1" t="s">
        <v>156</v>
      </c>
      <c r="W117" s="1">
        <v>0</v>
      </c>
      <c r="X117" s="4"/>
      <c r="Y117" s="4"/>
    </row>
    <row r="118" s="1" customFormat="1" customHeight="1" spans="1:25">
      <c r="A118" s="4"/>
      <c r="B118" s="4"/>
      <c r="C118" s="1" t="s">
        <v>800</v>
      </c>
      <c r="D118" s="1" t="s">
        <v>801</v>
      </c>
      <c r="E118" s="1">
        <v>4</v>
      </c>
      <c r="F118" s="1" t="s">
        <v>802</v>
      </c>
      <c r="G118" s="16" t="s">
        <v>803</v>
      </c>
      <c r="H118" s="15" t="s">
        <v>803</v>
      </c>
      <c r="I118" s="17" t="s">
        <v>804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4">
        <f t="shared" si="36"/>
        <v>42</v>
      </c>
      <c r="Q118" s="7">
        <v>0</v>
      </c>
      <c r="R118" s="4">
        <v>90</v>
      </c>
      <c r="S118" s="15" t="s">
        <v>805</v>
      </c>
      <c r="T118" s="15" t="s">
        <v>805</v>
      </c>
      <c r="V118" s="1" t="s">
        <v>156</v>
      </c>
      <c r="W118" s="1">
        <v>0</v>
      </c>
      <c r="X118" s="4"/>
      <c r="Y118" s="4"/>
    </row>
    <row r="119" s="1" customFormat="1" customHeight="1" spans="1:25">
      <c r="A119" s="4"/>
      <c r="B119" s="4"/>
      <c r="C119" s="1" t="s">
        <v>806</v>
      </c>
      <c r="D119" s="1" t="s">
        <v>807</v>
      </c>
      <c r="E119" s="1">
        <v>4</v>
      </c>
      <c r="F119" s="1" t="s">
        <v>808</v>
      </c>
      <c r="G119" s="16" t="s">
        <v>809</v>
      </c>
      <c r="H119" s="15" t="s">
        <v>809</v>
      </c>
      <c r="I119" s="17" t="s">
        <v>810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4">
        <f t="shared" si="36"/>
        <v>43</v>
      </c>
      <c r="Q119" s="7">
        <v>0</v>
      </c>
      <c r="R119" s="4">
        <v>90</v>
      </c>
      <c r="S119" s="15" t="s">
        <v>811</v>
      </c>
      <c r="T119" s="15" t="s">
        <v>811</v>
      </c>
      <c r="V119" s="1" t="s">
        <v>156</v>
      </c>
      <c r="W119" s="1">
        <v>0</v>
      </c>
      <c r="X119" s="4"/>
      <c r="Y119" s="4"/>
    </row>
    <row r="120" s="1" customFormat="1" customHeight="1" spans="1:25">
      <c r="A120" s="4"/>
      <c r="B120" s="4"/>
      <c r="C120" s="1" t="s">
        <v>812</v>
      </c>
      <c r="D120" s="1" t="s">
        <v>813</v>
      </c>
      <c r="E120" s="1">
        <v>4</v>
      </c>
      <c r="F120" s="1" t="s">
        <v>814</v>
      </c>
      <c r="G120" s="16" t="s">
        <v>815</v>
      </c>
      <c r="H120" s="15" t="s">
        <v>815</v>
      </c>
      <c r="I120" s="17" t="s">
        <v>816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4">
        <f t="shared" si="36"/>
        <v>44</v>
      </c>
      <c r="Q120" s="7">
        <v>0</v>
      </c>
      <c r="R120" s="4">
        <v>90</v>
      </c>
      <c r="S120" s="15" t="s">
        <v>817</v>
      </c>
      <c r="T120" s="15" t="s">
        <v>817</v>
      </c>
      <c r="V120" s="1" t="s">
        <v>156</v>
      </c>
      <c r="W120" s="1">
        <v>0</v>
      </c>
      <c r="X120" s="4"/>
      <c r="Y120" s="4"/>
    </row>
    <row r="121" s="1" customFormat="1" customHeight="1" spans="3:25">
      <c r="C121" s="1" t="s">
        <v>818</v>
      </c>
      <c r="D121" s="1" t="s">
        <v>819</v>
      </c>
      <c r="E121" s="1">
        <v>4</v>
      </c>
      <c r="F121" s="1" t="s">
        <v>820</v>
      </c>
      <c r="G121" s="16" t="s">
        <v>762</v>
      </c>
      <c r="H121" s="15" t="s">
        <v>762</v>
      </c>
      <c r="I121" s="17" t="s">
        <v>821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4">
        <f t="shared" si="36"/>
        <v>45</v>
      </c>
      <c r="Q121" s="4">
        <f t="shared" ref="Q121:Q130" si="39">Q120+3</f>
        <v>3</v>
      </c>
      <c r="R121" s="4">
        <v>90</v>
      </c>
      <c r="S121" s="15" t="s">
        <v>822</v>
      </c>
      <c r="T121" s="15" t="s">
        <v>822</v>
      </c>
      <c r="V121" s="1" t="s">
        <v>156</v>
      </c>
      <c r="W121" s="1">
        <v>0</v>
      </c>
      <c r="X121" s="4"/>
      <c r="Y121" s="4"/>
    </row>
    <row r="122" s="1" customFormat="1" customHeight="1" spans="3:25">
      <c r="C122" s="1" t="s">
        <v>823</v>
      </c>
      <c r="D122" s="1" t="s">
        <v>824</v>
      </c>
      <c r="E122" s="1">
        <v>4</v>
      </c>
      <c r="F122" s="1" t="s">
        <v>825</v>
      </c>
      <c r="G122" s="16" t="s">
        <v>826</v>
      </c>
      <c r="H122" s="15" t="s">
        <v>826</v>
      </c>
      <c r="I122" s="17" t="s">
        <v>827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4">
        <f t="shared" si="36"/>
        <v>46</v>
      </c>
      <c r="Q122" s="4">
        <f t="shared" si="39"/>
        <v>6</v>
      </c>
      <c r="R122" s="4">
        <v>90</v>
      </c>
      <c r="S122" s="15" t="s">
        <v>828</v>
      </c>
      <c r="T122" s="15" t="s">
        <v>828</v>
      </c>
      <c r="V122" s="1" t="s">
        <v>156</v>
      </c>
      <c r="W122" s="1">
        <v>0</v>
      </c>
      <c r="X122" s="4"/>
      <c r="Y122" s="4"/>
    </row>
    <row r="123" s="1" customFormat="1" customHeight="1" spans="3:25">
      <c r="C123" s="1" t="s">
        <v>829</v>
      </c>
      <c r="D123" s="1" t="s">
        <v>830</v>
      </c>
      <c r="E123" s="1">
        <v>4</v>
      </c>
      <c r="F123" s="1" t="s">
        <v>831</v>
      </c>
      <c r="G123" s="16" t="s">
        <v>832</v>
      </c>
      <c r="H123" s="15" t="s">
        <v>832</v>
      </c>
      <c r="I123" s="17" t="s">
        <v>833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4">
        <f t="shared" si="36"/>
        <v>47</v>
      </c>
      <c r="Q123" s="4">
        <f t="shared" si="39"/>
        <v>9</v>
      </c>
      <c r="R123" s="4">
        <v>90</v>
      </c>
      <c r="S123" s="15" t="s">
        <v>834</v>
      </c>
      <c r="T123" s="15" t="s">
        <v>834</v>
      </c>
      <c r="V123" s="1" t="s">
        <v>156</v>
      </c>
      <c r="W123" s="1">
        <v>0</v>
      </c>
      <c r="X123" s="4"/>
      <c r="Y123" s="4"/>
    </row>
    <row r="124" s="1" customFormat="1" customHeight="1" spans="3:25">
      <c r="C124" s="1" t="s">
        <v>835</v>
      </c>
      <c r="D124" s="1" t="s">
        <v>836</v>
      </c>
      <c r="E124" s="1">
        <v>4</v>
      </c>
      <c r="F124" s="1" t="s">
        <v>837</v>
      </c>
      <c r="G124" s="16" t="s">
        <v>838</v>
      </c>
      <c r="H124" s="15" t="s">
        <v>838</v>
      </c>
      <c r="I124" s="17" t="s">
        <v>839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4">
        <f t="shared" si="36"/>
        <v>48</v>
      </c>
      <c r="Q124" s="4">
        <f t="shared" si="39"/>
        <v>12</v>
      </c>
      <c r="R124" s="4">
        <v>90</v>
      </c>
      <c r="S124" s="15" t="s">
        <v>840</v>
      </c>
      <c r="T124" s="15" t="s">
        <v>840</v>
      </c>
      <c r="V124" s="1" t="s">
        <v>156</v>
      </c>
      <c r="W124" s="1">
        <v>0</v>
      </c>
      <c r="X124" s="4"/>
      <c r="Y124" s="4"/>
    </row>
    <row r="125" s="1" customFormat="1" customHeight="1" spans="3:25">
      <c r="C125" s="1" t="s">
        <v>841</v>
      </c>
      <c r="D125" s="1" t="s">
        <v>842</v>
      </c>
      <c r="E125" s="1">
        <v>4</v>
      </c>
      <c r="F125" s="1" t="s">
        <v>843</v>
      </c>
      <c r="G125" s="16" t="s">
        <v>844</v>
      </c>
      <c r="H125" s="15" t="s">
        <v>844</v>
      </c>
      <c r="I125" s="17" t="s">
        <v>845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4">
        <f t="shared" si="36"/>
        <v>49</v>
      </c>
      <c r="Q125" s="4">
        <f t="shared" si="39"/>
        <v>15</v>
      </c>
      <c r="R125" s="4">
        <v>90</v>
      </c>
      <c r="S125" s="15" t="s">
        <v>846</v>
      </c>
      <c r="T125" s="15" t="s">
        <v>846</v>
      </c>
      <c r="V125" s="1" t="s">
        <v>156</v>
      </c>
      <c r="W125" s="1">
        <v>0</v>
      </c>
      <c r="X125" s="4"/>
      <c r="Y125" s="4"/>
    </row>
    <row r="126" s="1" customFormat="1" customHeight="1" spans="1:25">
      <c r="A126" s="4"/>
      <c r="B126" s="4"/>
      <c r="C126" s="1" t="s">
        <v>847</v>
      </c>
      <c r="D126" s="1" t="s">
        <v>848</v>
      </c>
      <c r="E126" s="1">
        <v>4</v>
      </c>
      <c r="F126" s="1" t="s">
        <v>849</v>
      </c>
      <c r="G126" s="16" t="s">
        <v>850</v>
      </c>
      <c r="H126" s="15" t="s">
        <v>850</v>
      </c>
      <c r="I126" s="17" t="s">
        <v>851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4">
        <f t="shared" si="36"/>
        <v>50</v>
      </c>
      <c r="Q126" s="4">
        <f t="shared" si="39"/>
        <v>18</v>
      </c>
      <c r="R126" s="4">
        <v>90</v>
      </c>
      <c r="S126" s="15" t="s">
        <v>852</v>
      </c>
      <c r="T126" s="15" t="s">
        <v>852</v>
      </c>
      <c r="V126" s="1" t="s">
        <v>156</v>
      </c>
      <c r="W126" s="1">
        <v>0</v>
      </c>
      <c r="X126" s="4"/>
      <c r="Y126" s="4"/>
    </row>
    <row r="127" s="1" customFormat="1" customHeight="1" spans="1:25">
      <c r="A127" s="4"/>
      <c r="B127" s="4"/>
      <c r="C127" s="1" t="s">
        <v>853</v>
      </c>
      <c r="D127" s="1" t="s">
        <v>854</v>
      </c>
      <c r="E127" s="1">
        <v>4</v>
      </c>
      <c r="F127" s="1" t="s">
        <v>855</v>
      </c>
      <c r="G127" s="16" t="s">
        <v>856</v>
      </c>
      <c r="H127" s="15" t="s">
        <v>856</v>
      </c>
      <c r="I127" s="17" t="s">
        <v>857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4">
        <f t="shared" si="36"/>
        <v>51</v>
      </c>
      <c r="Q127" s="4">
        <f t="shared" si="39"/>
        <v>21</v>
      </c>
      <c r="R127" s="4">
        <v>90</v>
      </c>
      <c r="S127" s="15" t="s">
        <v>858</v>
      </c>
      <c r="T127" s="15" t="s">
        <v>858</v>
      </c>
      <c r="V127" s="1" t="s">
        <v>156</v>
      </c>
      <c r="W127" s="1">
        <v>0</v>
      </c>
      <c r="X127" s="4"/>
      <c r="Y127" s="4"/>
    </row>
    <row r="128" s="1" customFormat="1" customHeight="1" spans="1:25">
      <c r="A128" s="4"/>
      <c r="B128" s="4"/>
      <c r="C128" s="1" t="s">
        <v>859</v>
      </c>
      <c r="D128" s="1" t="s">
        <v>860</v>
      </c>
      <c r="E128" s="1">
        <v>4</v>
      </c>
      <c r="F128" s="1" t="s">
        <v>861</v>
      </c>
      <c r="G128" s="16" t="s">
        <v>862</v>
      </c>
      <c r="H128" s="15" t="s">
        <v>862</v>
      </c>
      <c r="I128" s="17" t="s">
        <v>863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4">
        <f t="shared" si="36"/>
        <v>52</v>
      </c>
      <c r="Q128" s="4">
        <f t="shared" si="39"/>
        <v>24</v>
      </c>
      <c r="R128" s="4">
        <v>90</v>
      </c>
      <c r="S128" s="15" t="s">
        <v>864</v>
      </c>
      <c r="T128" s="15" t="s">
        <v>864</v>
      </c>
      <c r="V128" s="1" t="s">
        <v>156</v>
      </c>
      <c r="W128" s="1">
        <v>0</v>
      </c>
      <c r="X128" s="4"/>
      <c r="Y128" s="4"/>
    </row>
    <row r="129" s="1" customFormat="1" customHeight="1" spans="1:25">
      <c r="A129" s="4"/>
      <c r="B129" s="4"/>
      <c r="C129" s="1" t="s">
        <v>865</v>
      </c>
      <c r="D129" s="1" t="s">
        <v>866</v>
      </c>
      <c r="E129" s="1">
        <v>4</v>
      </c>
      <c r="F129" s="1" t="s">
        <v>867</v>
      </c>
      <c r="G129" s="16" t="s">
        <v>868</v>
      </c>
      <c r="H129" s="15" t="s">
        <v>868</v>
      </c>
      <c r="I129" s="17" t="s">
        <v>869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4">
        <f t="shared" si="36"/>
        <v>53</v>
      </c>
      <c r="Q129" s="4">
        <f t="shared" si="39"/>
        <v>27</v>
      </c>
      <c r="R129" s="4">
        <v>90</v>
      </c>
      <c r="S129" s="15" t="s">
        <v>870</v>
      </c>
      <c r="T129" s="15" t="s">
        <v>870</v>
      </c>
      <c r="V129" s="1" t="s">
        <v>156</v>
      </c>
      <c r="W129" s="1">
        <v>0</v>
      </c>
      <c r="X129" s="4"/>
      <c r="Y129" s="4"/>
    </row>
    <row r="130" s="1" customFormat="1" customHeight="1" spans="1:25">
      <c r="A130" s="4"/>
      <c r="B130" s="4"/>
      <c r="C130" s="1" t="s">
        <v>871</v>
      </c>
      <c r="D130" s="1" t="s">
        <v>872</v>
      </c>
      <c r="E130" s="1">
        <v>4</v>
      </c>
      <c r="F130" s="1" t="s">
        <v>873</v>
      </c>
      <c r="G130" s="16" t="s">
        <v>874</v>
      </c>
      <c r="H130" s="15" t="s">
        <v>874</v>
      </c>
      <c r="I130" s="17" t="s">
        <v>875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4">
        <f t="shared" si="36"/>
        <v>54</v>
      </c>
      <c r="Q130" s="4">
        <f t="shared" si="39"/>
        <v>30</v>
      </c>
      <c r="R130" s="4">
        <v>90</v>
      </c>
      <c r="S130" s="15" t="s">
        <v>876</v>
      </c>
      <c r="T130" s="15" t="s">
        <v>876</v>
      </c>
      <c r="V130" s="1" t="s">
        <v>156</v>
      </c>
      <c r="W130" s="1">
        <v>0</v>
      </c>
      <c r="X130" s="4"/>
      <c r="Y130" s="4"/>
    </row>
    <row r="131" customHeight="1" spans="3:23">
      <c r="C131" s="1" t="s">
        <v>877</v>
      </c>
      <c r="D131" s="1" t="s">
        <v>878</v>
      </c>
      <c r="E131" s="1">
        <v>4</v>
      </c>
      <c r="F131" s="1" t="s">
        <v>879</v>
      </c>
      <c r="G131" s="16" t="s">
        <v>880</v>
      </c>
      <c r="H131" s="15" t="s">
        <v>880</v>
      </c>
      <c r="I131" s="17" t="s">
        <v>881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4">
        <f t="shared" ref="P131:P146" si="44">P130+2</f>
        <v>56</v>
      </c>
      <c r="Q131" s="4">
        <f t="shared" ref="Q131:Q180" si="45">Q130+4</f>
        <v>34</v>
      </c>
      <c r="R131" s="4">
        <v>92</v>
      </c>
      <c r="S131" s="15" t="s">
        <v>882</v>
      </c>
      <c r="T131" s="15" t="s">
        <v>882</v>
      </c>
      <c r="V131" s="1" t="s">
        <v>156</v>
      </c>
      <c r="W131" s="1">
        <v>0</v>
      </c>
    </row>
    <row r="132" customHeight="1" spans="3:23">
      <c r="C132" s="1" t="s">
        <v>883</v>
      </c>
      <c r="D132" s="1" t="s">
        <v>884</v>
      </c>
      <c r="E132" s="1">
        <v>4</v>
      </c>
      <c r="F132" s="1" t="s">
        <v>885</v>
      </c>
      <c r="G132" s="16" t="s">
        <v>886</v>
      </c>
      <c r="H132" s="15" t="s">
        <v>886</v>
      </c>
      <c r="I132" s="17" t="s">
        <v>887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4">
        <f t="shared" si="44"/>
        <v>58</v>
      </c>
      <c r="Q132" s="4">
        <f t="shared" si="45"/>
        <v>38</v>
      </c>
      <c r="R132" s="4">
        <v>94</v>
      </c>
      <c r="S132" s="15" t="s">
        <v>888</v>
      </c>
      <c r="T132" s="15" t="s">
        <v>888</v>
      </c>
      <c r="V132" s="1" t="s">
        <v>156</v>
      </c>
      <c r="W132" s="1">
        <v>0</v>
      </c>
    </row>
    <row r="133" customHeight="1" spans="3:23">
      <c r="C133" s="1" t="s">
        <v>889</v>
      </c>
      <c r="D133" s="1" t="s">
        <v>890</v>
      </c>
      <c r="E133" s="1">
        <v>4</v>
      </c>
      <c r="F133" s="1" t="s">
        <v>891</v>
      </c>
      <c r="G133" s="16" t="s">
        <v>892</v>
      </c>
      <c r="H133" s="15" t="s">
        <v>892</v>
      </c>
      <c r="I133" s="17" t="s">
        <v>893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4">
        <f t="shared" si="44"/>
        <v>60</v>
      </c>
      <c r="Q133" s="4">
        <f t="shared" si="45"/>
        <v>42</v>
      </c>
      <c r="R133" s="4">
        <v>96</v>
      </c>
      <c r="S133" s="15" t="s">
        <v>894</v>
      </c>
      <c r="T133" s="15" t="s">
        <v>894</v>
      </c>
      <c r="V133" s="1" t="s">
        <v>156</v>
      </c>
      <c r="W133" s="1">
        <v>0</v>
      </c>
    </row>
    <row r="134" customHeight="1" spans="3:23">
      <c r="C134" s="1" t="s">
        <v>895</v>
      </c>
      <c r="D134" s="1" t="s">
        <v>896</v>
      </c>
      <c r="E134" s="1">
        <v>4</v>
      </c>
      <c r="F134" s="1" t="s">
        <v>897</v>
      </c>
      <c r="G134" s="16" t="s">
        <v>898</v>
      </c>
      <c r="H134" s="15" t="s">
        <v>898</v>
      </c>
      <c r="I134" s="17" t="s">
        <v>899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4">
        <f t="shared" si="44"/>
        <v>62</v>
      </c>
      <c r="Q134" s="4">
        <f t="shared" si="45"/>
        <v>46</v>
      </c>
      <c r="R134" s="4">
        <v>98</v>
      </c>
      <c r="S134" s="15" t="s">
        <v>900</v>
      </c>
      <c r="T134" s="15" t="s">
        <v>900</v>
      </c>
      <c r="V134" s="1" t="s">
        <v>156</v>
      </c>
      <c r="W134" s="1">
        <v>0</v>
      </c>
    </row>
    <row r="135" customHeight="1" spans="3:23">
      <c r="C135" s="1" t="s">
        <v>901</v>
      </c>
      <c r="D135" s="1" t="s">
        <v>902</v>
      </c>
      <c r="E135" s="1">
        <v>4</v>
      </c>
      <c r="F135" s="1" t="s">
        <v>460</v>
      </c>
      <c r="G135" s="16" t="s">
        <v>903</v>
      </c>
      <c r="H135" s="15" t="s">
        <v>903</v>
      </c>
      <c r="I135" s="17" t="s">
        <v>904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4">
        <f t="shared" si="44"/>
        <v>64</v>
      </c>
      <c r="Q135" s="4">
        <f t="shared" si="45"/>
        <v>50</v>
      </c>
      <c r="R135" s="4">
        <v>99</v>
      </c>
      <c r="S135" s="15" t="s">
        <v>455</v>
      </c>
      <c r="T135" s="15" t="s">
        <v>455</v>
      </c>
      <c r="V135" s="1" t="s">
        <v>156</v>
      </c>
      <c r="W135" s="1">
        <v>0</v>
      </c>
    </row>
    <row r="136" s="1" customFormat="1" customHeight="1" spans="1:25">
      <c r="A136" s="4"/>
      <c r="B136" s="4"/>
      <c r="C136" s="1" t="s">
        <v>905</v>
      </c>
      <c r="D136" s="1" t="s">
        <v>906</v>
      </c>
      <c r="E136" s="1">
        <v>4</v>
      </c>
      <c r="F136" s="1" t="s">
        <v>907</v>
      </c>
      <c r="G136" s="16" t="s">
        <v>908</v>
      </c>
      <c r="H136" s="15" t="s">
        <v>908</v>
      </c>
      <c r="I136" s="17" t="s">
        <v>909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4">
        <f t="shared" si="44"/>
        <v>66</v>
      </c>
      <c r="Q136" s="4">
        <f t="shared" si="45"/>
        <v>54</v>
      </c>
      <c r="R136" s="4">
        <v>99.2</v>
      </c>
      <c r="S136" s="15" t="s">
        <v>910</v>
      </c>
      <c r="T136" s="15" t="s">
        <v>910</v>
      </c>
      <c r="V136" s="1" t="s">
        <v>156</v>
      </c>
      <c r="W136" s="1">
        <v>0</v>
      </c>
      <c r="X136" s="4"/>
      <c r="Y136" s="4"/>
    </row>
    <row r="137" s="1" customFormat="1" customHeight="1" spans="1:25">
      <c r="A137" s="4"/>
      <c r="B137" s="4"/>
      <c r="C137" s="1" t="s">
        <v>911</v>
      </c>
      <c r="D137" s="1" t="s">
        <v>912</v>
      </c>
      <c r="E137" s="1">
        <v>4</v>
      </c>
      <c r="F137" s="1" t="s">
        <v>913</v>
      </c>
      <c r="G137" s="16" t="s">
        <v>914</v>
      </c>
      <c r="H137" s="15" t="s">
        <v>914</v>
      </c>
      <c r="I137" s="17" t="s">
        <v>915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4">
        <f t="shared" si="44"/>
        <v>68</v>
      </c>
      <c r="Q137" s="4">
        <f t="shared" si="45"/>
        <v>58</v>
      </c>
      <c r="R137" s="4">
        <v>99.4</v>
      </c>
      <c r="S137" s="15" t="s">
        <v>916</v>
      </c>
      <c r="T137" s="15" t="s">
        <v>916</v>
      </c>
      <c r="V137" s="1" t="s">
        <v>156</v>
      </c>
      <c r="W137" s="1">
        <v>0</v>
      </c>
      <c r="X137" s="4"/>
      <c r="Y137" s="4"/>
    </row>
    <row r="138" s="1" customFormat="1" customHeight="1" spans="1:25">
      <c r="A138" s="4"/>
      <c r="B138" s="4"/>
      <c r="C138" s="1" t="s">
        <v>917</v>
      </c>
      <c r="D138" s="1" t="s">
        <v>918</v>
      </c>
      <c r="E138" s="1">
        <v>4</v>
      </c>
      <c r="F138" s="1" t="s">
        <v>919</v>
      </c>
      <c r="G138" s="16" t="s">
        <v>920</v>
      </c>
      <c r="H138" s="15" t="s">
        <v>920</v>
      </c>
      <c r="I138" s="17" t="s">
        <v>921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4">
        <f t="shared" si="44"/>
        <v>70</v>
      </c>
      <c r="Q138" s="4">
        <f t="shared" si="45"/>
        <v>62</v>
      </c>
      <c r="R138" s="4">
        <v>99.6</v>
      </c>
      <c r="S138" s="15" t="s">
        <v>922</v>
      </c>
      <c r="T138" s="15" t="s">
        <v>922</v>
      </c>
      <c r="V138" s="1" t="s">
        <v>156</v>
      </c>
      <c r="W138" s="1">
        <v>0</v>
      </c>
      <c r="X138" s="4"/>
      <c r="Y138" s="4"/>
    </row>
    <row r="139" s="1" customFormat="1" customHeight="1" spans="1:25">
      <c r="A139" s="4"/>
      <c r="B139" s="4"/>
      <c r="C139" s="1" t="s">
        <v>923</v>
      </c>
      <c r="D139" s="1" t="s">
        <v>924</v>
      </c>
      <c r="E139" s="1">
        <v>4</v>
      </c>
      <c r="F139" s="1" t="s">
        <v>925</v>
      </c>
      <c r="G139" s="16" t="s">
        <v>926</v>
      </c>
      <c r="H139" s="15" t="s">
        <v>926</v>
      </c>
      <c r="I139" s="17" t="s">
        <v>927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4">
        <f t="shared" si="44"/>
        <v>72</v>
      </c>
      <c r="Q139" s="4">
        <f t="shared" si="45"/>
        <v>66</v>
      </c>
      <c r="R139" s="4">
        <v>99.8</v>
      </c>
      <c r="S139" s="15" t="s">
        <v>928</v>
      </c>
      <c r="T139" s="15" t="s">
        <v>928</v>
      </c>
      <c r="V139" s="1" t="s">
        <v>156</v>
      </c>
      <c r="W139" s="1">
        <v>0</v>
      </c>
      <c r="X139" s="4"/>
      <c r="Y139" s="4"/>
    </row>
    <row r="140" s="1" customFormat="1" customHeight="1" spans="1:25">
      <c r="A140" s="4"/>
      <c r="B140" s="4"/>
      <c r="C140" s="1" t="s">
        <v>929</v>
      </c>
      <c r="D140" s="1" t="s">
        <v>930</v>
      </c>
      <c r="E140" s="1">
        <v>4</v>
      </c>
      <c r="F140" s="1" t="s">
        <v>931</v>
      </c>
      <c r="G140" s="16" t="s">
        <v>932</v>
      </c>
      <c r="H140" s="15" t="s">
        <v>932</v>
      </c>
      <c r="I140" s="17" t="s">
        <v>933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4">
        <f t="shared" si="44"/>
        <v>74</v>
      </c>
      <c r="Q140" s="4">
        <f t="shared" si="45"/>
        <v>70</v>
      </c>
      <c r="R140" s="4">
        <v>99.9</v>
      </c>
      <c r="S140" s="15" t="s">
        <v>934</v>
      </c>
      <c r="T140" s="15" t="s">
        <v>934</v>
      </c>
      <c r="V140" s="1" t="s">
        <v>156</v>
      </c>
      <c r="W140" s="1">
        <v>0</v>
      </c>
      <c r="X140" s="4"/>
      <c r="Y140" s="4"/>
    </row>
    <row r="141" s="1" customFormat="1" customHeight="1" spans="1:25">
      <c r="A141" s="4"/>
      <c r="B141" s="4"/>
      <c r="C141" s="1" t="s">
        <v>935</v>
      </c>
      <c r="D141" s="1" t="s">
        <v>936</v>
      </c>
      <c r="E141" s="1">
        <v>4</v>
      </c>
      <c r="F141" s="1" t="s">
        <v>937</v>
      </c>
      <c r="G141" s="16" t="s">
        <v>938</v>
      </c>
      <c r="H141" s="15" t="s">
        <v>938</v>
      </c>
      <c r="I141" s="17" t="s">
        <v>939</v>
      </c>
      <c r="J141" s="1">
        <v>0</v>
      </c>
      <c r="K141" s="1">
        <v>0</v>
      </c>
      <c r="L141" s="1">
        <f t="shared" ref="L141:L180" si="50">L140+600</f>
        <v>9700</v>
      </c>
      <c r="M141" s="1">
        <f t="shared" ref="M141:M180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4">
        <f t="shared" si="44"/>
        <v>76</v>
      </c>
      <c r="Q141" s="4">
        <f t="shared" si="45"/>
        <v>74</v>
      </c>
      <c r="R141" s="4">
        <v>99.92</v>
      </c>
      <c r="S141" s="15" t="s">
        <v>940</v>
      </c>
      <c r="T141" s="15" t="s">
        <v>940</v>
      </c>
      <c r="V141" s="1" t="s">
        <v>156</v>
      </c>
      <c r="W141" s="1">
        <v>0</v>
      </c>
      <c r="X141" s="4"/>
      <c r="Y141" s="4"/>
    </row>
    <row r="142" s="1" customFormat="1" customHeight="1" spans="1:25">
      <c r="A142" s="4"/>
      <c r="B142" s="4"/>
      <c r="C142" s="1" t="s">
        <v>941</v>
      </c>
      <c r="D142" s="1" t="s">
        <v>942</v>
      </c>
      <c r="E142" s="1">
        <v>4</v>
      </c>
      <c r="F142" s="1" t="s">
        <v>943</v>
      </c>
      <c r="G142" s="16" t="s">
        <v>944</v>
      </c>
      <c r="H142" s="15" t="s">
        <v>944</v>
      </c>
      <c r="I142" s="17" t="s">
        <v>945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4">
        <f t="shared" si="44"/>
        <v>78</v>
      </c>
      <c r="Q142" s="4">
        <f t="shared" si="45"/>
        <v>78</v>
      </c>
      <c r="R142" s="4">
        <v>99.94</v>
      </c>
      <c r="S142" s="15" t="s">
        <v>946</v>
      </c>
      <c r="T142" s="15" t="s">
        <v>946</v>
      </c>
      <c r="V142" s="1" t="s">
        <v>156</v>
      </c>
      <c r="W142" s="1">
        <v>0</v>
      </c>
      <c r="X142" s="4"/>
      <c r="Y142" s="4"/>
    </row>
    <row r="143" s="1" customFormat="1" customHeight="1" spans="1:25">
      <c r="A143" s="4"/>
      <c r="B143" s="4"/>
      <c r="C143" s="1" t="s">
        <v>947</v>
      </c>
      <c r="D143" s="1" t="s">
        <v>948</v>
      </c>
      <c r="E143" s="1">
        <v>4</v>
      </c>
      <c r="F143" s="1" t="s">
        <v>949</v>
      </c>
      <c r="G143" s="16" t="s">
        <v>950</v>
      </c>
      <c r="H143" s="15" t="s">
        <v>950</v>
      </c>
      <c r="I143" s="17" t="s">
        <v>951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4">
        <f t="shared" si="44"/>
        <v>80</v>
      </c>
      <c r="Q143" s="4">
        <f t="shared" si="45"/>
        <v>82</v>
      </c>
      <c r="R143" s="4">
        <v>99.96</v>
      </c>
      <c r="S143" s="15" t="s">
        <v>952</v>
      </c>
      <c r="T143" s="15" t="s">
        <v>952</v>
      </c>
      <c r="V143" s="1" t="s">
        <v>156</v>
      </c>
      <c r="W143" s="1">
        <v>0</v>
      </c>
      <c r="X143" s="4"/>
      <c r="Y143" s="4"/>
    </row>
    <row r="144" s="1" customFormat="1" customHeight="1" spans="1:25">
      <c r="A144" s="4"/>
      <c r="B144" s="4"/>
      <c r="C144" s="1" t="s">
        <v>953</v>
      </c>
      <c r="D144" s="1" t="s">
        <v>954</v>
      </c>
      <c r="E144" s="1">
        <v>4</v>
      </c>
      <c r="F144" s="1" t="s">
        <v>955</v>
      </c>
      <c r="G144" s="16" t="s">
        <v>956</v>
      </c>
      <c r="H144" s="15" t="s">
        <v>956</v>
      </c>
      <c r="I144" s="17" t="s">
        <v>957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4">
        <f t="shared" si="44"/>
        <v>82</v>
      </c>
      <c r="Q144" s="4">
        <f t="shared" si="45"/>
        <v>86</v>
      </c>
      <c r="R144" s="4">
        <v>99.98</v>
      </c>
      <c r="S144" s="15" t="s">
        <v>958</v>
      </c>
      <c r="T144" s="15" t="s">
        <v>958</v>
      </c>
      <c r="V144" s="1" t="s">
        <v>156</v>
      </c>
      <c r="W144" s="1">
        <v>0</v>
      </c>
      <c r="X144" s="4"/>
      <c r="Y144" s="4"/>
    </row>
    <row r="145" s="1" customFormat="1" customHeight="1" spans="1:25">
      <c r="A145" s="4"/>
      <c r="B145" s="4"/>
      <c r="C145" s="1" t="s">
        <v>959</v>
      </c>
      <c r="D145" s="1" t="s">
        <v>960</v>
      </c>
      <c r="E145" s="1">
        <v>4</v>
      </c>
      <c r="F145" s="1" t="s">
        <v>961</v>
      </c>
      <c r="G145" s="5" t="s">
        <v>962</v>
      </c>
      <c r="H145" s="1" t="s">
        <v>962</v>
      </c>
      <c r="I145" s="10" t="s">
        <v>963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4">
        <f t="shared" si="44"/>
        <v>84</v>
      </c>
      <c r="Q145" s="4">
        <f t="shared" si="45"/>
        <v>90</v>
      </c>
      <c r="R145" s="4">
        <v>99.99</v>
      </c>
      <c r="S145" s="15" t="s">
        <v>964</v>
      </c>
      <c r="T145" s="15" t="s">
        <v>964</v>
      </c>
      <c r="V145" s="1" t="s">
        <v>156</v>
      </c>
      <c r="W145" s="1">
        <v>0</v>
      </c>
      <c r="X145" s="4"/>
      <c r="Y145" s="4"/>
    </row>
    <row r="146" s="3" customFormat="1" customHeight="1" spans="1:23">
      <c r="A146" s="12"/>
      <c r="B146" s="12"/>
      <c r="C146" s="21" t="s">
        <v>965</v>
      </c>
      <c r="D146" s="21" t="s">
        <v>966</v>
      </c>
      <c r="E146" s="3">
        <v>5</v>
      </c>
      <c r="F146" s="3" t="s">
        <v>967</v>
      </c>
      <c r="G146" s="13" t="s">
        <v>968</v>
      </c>
      <c r="H146" s="3" t="s">
        <v>969</v>
      </c>
      <c r="I146" s="14" t="s">
        <v>970</v>
      </c>
      <c r="J146" s="3">
        <v>10</v>
      </c>
      <c r="K146" s="3" t="s">
        <v>971</v>
      </c>
      <c r="L146" s="3">
        <f t="shared" si="50"/>
        <v>12700</v>
      </c>
      <c r="M146" s="3">
        <f t="shared" si="51"/>
        <v>14300</v>
      </c>
      <c r="N146" s="3">
        <f t="shared" si="52"/>
        <v>4950</v>
      </c>
      <c r="O146" s="3">
        <f t="shared" si="53"/>
        <v>4950</v>
      </c>
      <c r="P146" s="12">
        <f>P145+3</f>
        <v>87</v>
      </c>
      <c r="Q146" s="12">
        <v>150</v>
      </c>
      <c r="R146" s="12">
        <v>99.99</v>
      </c>
      <c r="S146" s="21" t="s">
        <v>972</v>
      </c>
      <c r="T146" s="21" t="s">
        <v>972</v>
      </c>
      <c r="V146" s="3" t="s">
        <v>156</v>
      </c>
      <c r="W146" s="3">
        <v>0</v>
      </c>
    </row>
    <row r="147" s="1" customFormat="1" customHeight="1" spans="1:23">
      <c r="A147" s="4"/>
      <c r="B147" s="4"/>
      <c r="C147" s="15" t="s">
        <v>973</v>
      </c>
      <c r="D147" s="15" t="s">
        <v>974</v>
      </c>
      <c r="E147" s="1">
        <v>5</v>
      </c>
      <c r="F147" s="1" t="s">
        <v>975</v>
      </c>
      <c r="G147" s="5" t="s">
        <v>976</v>
      </c>
      <c r="H147" s="5" t="s">
        <v>977</v>
      </c>
      <c r="I147" s="10" t="s">
        <v>978</v>
      </c>
      <c r="J147" s="1">
        <f t="shared" ref="J147:J155" si="54">J146*5</f>
        <v>50</v>
      </c>
      <c r="K147" s="1" t="s">
        <v>979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4">
        <f>P146+3</f>
        <v>90</v>
      </c>
      <c r="Q147" s="4">
        <f t="shared" si="45"/>
        <v>154</v>
      </c>
      <c r="R147" s="4">
        <v>99.99</v>
      </c>
      <c r="S147" s="15" t="s">
        <v>980</v>
      </c>
      <c r="T147" s="15" t="s">
        <v>980</v>
      </c>
      <c r="V147" s="1" t="s">
        <v>156</v>
      </c>
      <c r="W147" s="1">
        <v>0</v>
      </c>
    </row>
    <row r="148" s="1" customFormat="1" customHeight="1" spans="1:23">
      <c r="A148" s="4"/>
      <c r="B148" s="4"/>
      <c r="C148" s="15" t="s">
        <v>981</v>
      </c>
      <c r="D148" s="15" t="s">
        <v>982</v>
      </c>
      <c r="E148" s="1">
        <v>5</v>
      </c>
      <c r="F148" s="1" t="s">
        <v>983</v>
      </c>
      <c r="G148" s="5" t="s">
        <v>984</v>
      </c>
      <c r="H148" s="5" t="s">
        <v>985</v>
      </c>
      <c r="I148" s="10" t="s">
        <v>986</v>
      </c>
      <c r="J148" s="1">
        <f t="shared" si="54"/>
        <v>250</v>
      </c>
      <c r="K148" s="1" t="s">
        <v>987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4">
        <f>P147+3</f>
        <v>93</v>
      </c>
      <c r="Q148" s="4">
        <f t="shared" si="45"/>
        <v>158</v>
      </c>
      <c r="R148" s="4">
        <v>99.99</v>
      </c>
      <c r="S148" s="15" t="s">
        <v>988</v>
      </c>
      <c r="T148" s="15" t="s">
        <v>988</v>
      </c>
      <c r="V148" s="1" t="s">
        <v>156</v>
      </c>
      <c r="W148" s="1">
        <v>0</v>
      </c>
    </row>
    <row r="149" s="1" customFormat="1" customHeight="1" spans="1:23">
      <c r="A149" s="4"/>
      <c r="B149" s="4"/>
      <c r="C149" s="15" t="s">
        <v>989</v>
      </c>
      <c r="D149" s="15" t="s">
        <v>990</v>
      </c>
      <c r="E149" s="1">
        <v>5</v>
      </c>
      <c r="F149" s="1" t="s">
        <v>991</v>
      </c>
      <c r="G149" s="5" t="s">
        <v>992</v>
      </c>
      <c r="H149" s="5" t="s">
        <v>993</v>
      </c>
      <c r="I149" s="10" t="s">
        <v>994</v>
      </c>
      <c r="J149" s="1">
        <f t="shared" si="54"/>
        <v>1250</v>
      </c>
      <c r="K149" s="1" t="s">
        <v>995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4">
        <f>P148+3</f>
        <v>96</v>
      </c>
      <c r="Q149" s="4">
        <f t="shared" si="45"/>
        <v>162</v>
      </c>
      <c r="R149" s="4">
        <v>99.99</v>
      </c>
      <c r="S149" s="15" t="s">
        <v>996</v>
      </c>
      <c r="T149" s="15" t="s">
        <v>996</v>
      </c>
      <c r="V149" s="1" t="s">
        <v>156</v>
      </c>
      <c r="W149" s="1">
        <v>0</v>
      </c>
    </row>
    <row r="150" s="1" customFormat="1" customHeight="1" spans="1:23">
      <c r="A150" s="4"/>
      <c r="B150" s="4"/>
      <c r="C150" s="15" t="s">
        <v>997</v>
      </c>
      <c r="D150" s="15" t="s">
        <v>998</v>
      </c>
      <c r="E150" s="1">
        <v>5</v>
      </c>
      <c r="F150" s="1" t="s">
        <v>999</v>
      </c>
      <c r="G150" s="5" t="s">
        <v>1000</v>
      </c>
      <c r="H150" s="5" t="s">
        <v>1001</v>
      </c>
      <c r="I150" s="10" t="s">
        <v>1002</v>
      </c>
      <c r="J150" s="1">
        <f t="shared" si="54"/>
        <v>6250</v>
      </c>
      <c r="K150" s="1" t="s">
        <v>1003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4">
        <f>P149+3</f>
        <v>99</v>
      </c>
      <c r="Q150" s="4">
        <f t="shared" si="45"/>
        <v>166</v>
      </c>
      <c r="R150" s="4">
        <v>99.99</v>
      </c>
      <c r="S150" s="15" t="s">
        <v>1004</v>
      </c>
      <c r="T150" s="15" t="s">
        <v>1004</v>
      </c>
      <c r="V150" s="1" t="s">
        <v>156</v>
      </c>
      <c r="W150" s="1">
        <v>0</v>
      </c>
    </row>
    <row r="151" s="1" customFormat="1" customHeight="1" spans="1:25">
      <c r="A151" s="4"/>
      <c r="B151" s="4"/>
      <c r="C151" s="15" t="s">
        <v>1005</v>
      </c>
      <c r="D151" s="15" t="s">
        <v>1006</v>
      </c>
      <c r="E151" s="1">
        <v>5</v>
      </c>
      <c r="F151" s="1" t="s">
        <v>1007</v>
      </c>
      <c r="G151" s="1" t="s">
        <v>1008</v>
      </c>
      <c r="H151" s="5" t="s">
        <v>1009</v>
      </c>
      <c r="I151" s="1" t="s">
        <v>1010</v>
      </c>
      <c r="J151" s="1" t="s">
        <v>1011</v>
      </c>
      <c r="K151" s="1" t="s">
        <v>1012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4">
        <f>P150+3</f>
        <v>102</v>
      </c>
      <c r="Q151" s="4">
        <f t="shared" si="45"/>
        <v>170</v>
      </c>
      <c r="R151" s="4">
        <v>99.99</v>
      </c>
      <c r="S151" s="15" t="s">
        <v>1013</v>
      </c>
      <c r="T151" s="15" t="s">
        <v>1013</v>
      </c>
      <c r="V151" s="1" t="s">
        <v>156</v>
      </c>
      <c r="W151" s="1">
        <v>0</v>
      </c>
      <c r="X151" s="4"/>
      <c r="Y151" s="4"/>
    </row>
    <row r="152" s="1" customFormat="1" customHeight="1" spans="1:25">
      <c r="A152" s="4"/>
      <c r="B152" s="4"/>
      <c r="C152" s="15" t="s">
        <v>1014</v>
      </c>
      <c r="D152" s="15" t="s">
        <v>1015</v>
      </c>
      <c r="E152" s="1">
        <v>5</v>
      </c>
      <c r="F152" s="1" t="s">
        <v>1016</v>
      </c>
      <c r="G152" s="1" t="s">
        <v>1017</v>
      </c>
      <c r="H152" s="5" t="s">
        <v>1018</v>
      </c>
      <c r="I152" s="1" t="s">
        <v>1019</v>
      </c>
      <c r="J152" s="1" t="s">
        <v>1020</v>
      </c>
      <c r="K152" s="1" t="s">
        <v>1021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4">
        <f>P151+3</f>
        <v>105</v>
      </c>
      <c r="Q152" s="4">
        <f t="shared" si="45"/>
        <v>174</v>
      </c>
      <c r="R152" s="4">
        <v>99.99</v>
      </c>
      <c r="S152" s="15" t="s">
        <v>1022</v>
      </c>
      <c r="T152" s="15" t="s">
        <v>1022</v>
      </c>
      <c r="V152" s="1" t="s">
        <v>156</v>
      </c>
      <c r="W152" s="1">
        <v>0</v>
      </c>
      <c r="X152" s="4"/>
      <c r="Y152" s="4"/>
    </row>
    <row r="153" s="1" customFormat="1" customHeight="1" spans="1:25">
      <c r="A153" s="4"/>
      <c r="B153" s="4"/>
      <c r="C153" s="15" t="s">
        <v>1023</v>
      </c>
      <c r="D153" s="15" t="s">
        <v>1024</v>
      </c>
      <c r="E153" s="1">
        <v>5</v>
      </c>
      <c r="F153" s="1" t="s">
        <v>1025</v>
      </c>
      <c r="G153" s="1" t="s">
        <v>1026</v>
      </c>
      <c r="H153" s="5" t="s">
        <v>1027</v>
      </c>
      <c r="I153" s="1" t="s">
        <v>1028</v>
      </c>
      <c r="J153" s="1" t="s">
        <v>1029</v>
      </c>
      <c r="K153" s="1" t="s">
        <v>1030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4">
        <f>P152+3</f>
        <v>108</v>
      </c>
      <c r="Q153" s="4">
        <f t="shared" si="45"/>
        <v>178</v>
      </c>
      <c r="R153" s="4">
        <v>99.99</v>
      </c>
      <c r="S153" s="15" t="s">
        <v>1031</v>
      </c>
      <c r="T153" s="15" t="s">
        <v>1031</v>
      </c>
      <c r="V153" s="1" t="s">
        <v>156</v>
      </c>
      <c r="W153" s="1">
        <v>0</v>
      </c>
      <c r="X153" s="4"/>
      <c r="Y153" s="4"/>
    </row>
    <row r="154" s="1" customFormat="1" customHeight="1" spans="1:25">
      <c r="A154" s="4"/>
      <c r="B154" s="4"/>
      <c r="C154" s="15" t="s">
        <v>1032</v>
      </c>
      <c r="D154" s="15" t="s">
        <v>1033</v>
      </c>
      <c r="E154" s="1">
        <v>5</v>
      </c>
      <c r="F154" s="1" t="s">
        <v>1034</v>
      </c>
      <c r="G154" s="1" t="s">
        <v>1035</v>
      </c>
      <c r="H154" s="5" t="s">
        <v>1036</v>
      </c>
      <c r="I154" s="1" t="s">
        <v>1037</v>
      </c>
      <c r="J154" s="1" t="s">
        <v>1038</v>
      </c>
      <c r="K154" s="1" t="s">
        <v>1039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4">
        <f>P153+3</f>
        <v>111</v>
      </c>
      <c r="Q154" s="4">
        <f t="shared" si="45"/>
        <v>182</v>
      </c>
      <c r="R154" s="4">
        <v>99.99</v>
      </c>
      <c r="S154" s="15" t="s">
        <v>1040</v>
      </c>
      <c r="T154" s="15" t="s">
        <v>1040</v>
      </c>
      <c r="V154" s="1" t="s">
        <v>156</v>
      </c>
      <c r="W154" s="1">
        <v>0</v>
      </c>
      <c r="X154" s="4"/>
      <c r="Y154" s="4"/>
    </row>
    <row r="155" s="1" customFormat="1" customHeight="1" spans="1:25">
      <c r="A155" s="4"/>
      <c r="B155" s="4"/>
      <c r="C155" s="15" t="s">
        <v>1041</v>
      </c>
      <c r="D155" s="15" t="s">
        <v>1042</v>
      </c>
      <c r="E155" s="1">
        <v>5</v>
      </c>
      <c r="F155" s="1" t="s">
        <v>1043</v>
      </c>
      <c r="G155" s="1" t="s">
        <v>1044</v>
      </c>
      <c r="H155" s="5" t="s">
        <v>1045</v>
      </c>
      <c r="I155" s="1" t="s">
        <v>1046</v>
      </c>
      <c r="J155" s="1" t="s">
        <v>1047</v>
      </c>
      <c r="K155" s="1" t="s">
        <v>1048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4">
        <f>P154+3</f>
        <v>114</v>
      </c>
      <c r="Q155" s="4">
        <f t="shared" si="45"/>
        <v>186</v>
      </c>
      <c r="R155" s="4">
        <v>99.99</v>
      </c>
      <c r="S155" s="15" t="s">
        <v>1049</v>
      </c>
      <c r="T155" s="15" t="s">
        <v>1049</v>
      </c>
      <c r="V155" s="1" t="s">
        <v>156</v>
      </c>
      <c r="W155" s="1">
        <v>0</v>
      </c>
      <c r="X155" s="4"/>
      <c r="Y155" s="4"/>
    </row>
    <row r="156" s="1" customFormat="1" customHeight="1" spans="1:25">
      <c r="A156" s="4"/>
      <c r="B156" s="4"/>
      <c r="C156" s="15" t="s">
        <v>1050</v>
      </c>
      <c r="D156" s="15" t="s">
        <v>1051</v>
      </c>
      <c r="E156" s="1">
        <v>5</v>
      </c>
      <c r="F156" s="1" t="s">
        <v>1052</v>
      </c>
      <c r="G156" s="1" t="s">
        <v>1053</v>
      </c>
      <c r="H156" s="5" t="s">
        <v>1054</v>
      </c>
      <c r="I156" s="1" t="s">
        <v>1055</v>
      </c>
      <c r="J156" s="1" t="s">
        <v>1056</v>
      </c>
      <c r="K156" s="1" t="s">
        <v>1057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4">
        <f>P155+3</f>
        <v>117</v>
      </c>
      <c r="Q156" s="4">
        <f t="shared" si="45"/>
        <v>190</v>
      </c>
      <c r="R156" s="4">
        <v>99.99</v>
      </c>
      <c r="S156" s="15" t="s">
        <v>1058</v>
      </c>
      <c r="T156" s="15" t="s">
        <v>1058</v>
      </c>
      <c r="V156" s="1" t="s">
        <v>156</v>
      </c>
      <c r="W156" s="1">
        <v>0</v>
      </c>
      <c r="X156" s="4"/>
      <c r="Y156" s="4"/>
    </row>
    <row r="157" s="1" customFormat="1" customHeight="1" spans="1:25">
      <c r="A157" s="4"/>
      <c r="B157" s="4"/>
      <c r="C157" s="15" t="s">
        <v>1059</v>
      </c>
      <c r="D157" s="15" t="s">
        <v>1060</v>
      </c>
      <c r="E157" s="1">
        <v>5</v>
      </c>
      <c r="F157" s="1" t="s">
        <v>1061</v>
      </c>
      <c r="G157" s="1" t="s">
        <v>1062</v>
      </c>
      <c r="H157" s="5" t="s">
        <v>1063</v>
      </c>
      <c r="I157" s="1" t="s">
        <v>1064</v>
      </c>
      <c r="J157" s="1" t="s">
        <v>1065</v>
      </c>
      <c r="K157" s="1" t="s">
        <v>1066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4">
        <f>P156+3</f>
        <v>120</v>
      </c>
      <c r="Q157" s="4">
        <f t="shared" si="45"/>
        <v>194</v>
      </c>
      <c r="R157" s="4">
        <v>99.99</v>
      </c>
      <c r="S157" s="15" t="s">
        <v>1067</v>
      </c>
      <c r="T157" s="15" t="s">
        <v>1067</v>
      </c>
      <c r="V157" s="1" t="s">
        <v>156</v>
      </c>
      <c r="W157" s="1">
        <v>0</v>
      </c>
      <c r="X157" s="4"/>
      <c r="Y157" s="4"/>
    </row>
    <row r="158" s="1" customFormat="1" customHeight="1" spans="1:25">
      <c r="A158" s="4"/>
      <c r="B158" s="4"/>
      <c r="C158" s="15" t="s">
        <v>1068</v>
      </c>
      <c r="D158" s="15" t="s">
        <v>1069</v>
      </c>
      <c r="E158" s="1">
        <v>5</v>
      </c>
      <c r="F158" s="1" t="s">
        <v>1070</v>
      </c>
      <c r="G158" s="1" t="s">
        <v>1071</v>
      </c>
      <c r="H158" s="5" t="s">
        <v>1072</v>
      </c>
      <c r="I158" s="1" t="s">
        <v>1073</v>
      </c>
      <c r="J158" s="1" t="s">
        <v>1074</v>
      </c>
      <c r="K158" s="1" t="s">
        <v>1075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4">
        <f>P157+3</f>
        <v>123</v>
      </c>
      <c r="Q158" s="4">
        <f t="shared" si="45"/>
        <v>198</v>
      </c>
      <c r="R158" s="4">
        <v>99.99</v>
      </c>
      <c r="S158" s="15" t="s">
        <v>1076</v>
      </c>
      <c r="T158" s="15" t="s">
        <v>1076</v>
      </c>
      <c r="V158" s="1" t="s">
        <v>156</v>
      </c>
      <c r="W158" s="1">
        <v>0</v>
      </c>
      <c r="X158" s="4"/>
      <c r="Y158" s="4"/>
    </row>
    <row r="159" s="1" customFormat="1" customHeight="1" spans="1:25">
      <c r="A159" s="4"/>
      <c r="B159" s="4"/>
      <c r="C159" s="15" t="s">
        <v>1077</v>
      </c>
      <c r="D159" s="15" t="s">
        <v>1078</v>
      </c>
      <c r="E159" s="1">
        <v>5</v>
      </c>
      <c r="F159" s="1" t="s">
        <v>1079</v>
      </c>
      <c r="G159" s="1" t="s">
        <v>1080</v>
      </c>
      <c r="H159" s="5" t="s">
        <v>1081</v>
      </c>
      <c r="I159" s="1" t="s">
        <v>1082</v>
      </c>
      <c r="J159" s="1" t="s">
        <v>1083</v>
      </c>
      <c r="K159" s="1" t="s">
        <v>1084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4">
        <f>P158+3</f>
        <v>126</v>
      </c>
      <c r="Q159" s="4">
        <f t="shared" si="45"/>
        <v>202</v>
      </c>
      <c r="R159" s="4">
        <v>99.99</v>
      </c>
      <c r="S159" s="15" t="s">
        <v>1085</v>
      </c>
      <c r="T159" s="15" t="s">
        <v>1085</v>
      </c>
      <c r="V159" s="1" t="s">
        <v>156</v>
      </c>
      <c r="W159" s="1">
        <v>0</v>
      </c>
      <c r="X159" s="4"/>
      <c r="Y159" s="4"/>
    </row>
    <row r="160" s="1" customFormat="1" customHeight="1" spans="1:25">
      <c r="A160" s="4"/>
      <c r="B160" s="4"/>
      <c r="C160" s="15" t="s">
        <v>1086</v>
      </c>
      <c r="D160" s="15" t="s">
        <v>1087</v>
      </c>
      <c r="E160" s="1">
        <v>5</v>
      </c>
      <c r="F160" s="1" t="s">
        <v>1088</v>
      </c>
      <c r="G160" s="1" t="s">
        <v>1089</v>
      </c>
      <c r="H160" s="5" t="s">
        <v>1090</v>
      </c>
      <c r="I160" s="1" t="s">
        <v>1091</v>
      </c>
      <c r="J160" s="1" t="s">
        <v>1092</v>
      </c>
      <c r="K160" s="1" t="s">
        <v>1093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4">
        <f>P159+3</f>
        <v>129</v>
      </c>
      <c r="Q160" s="4">
        <f t="shared" si="45"/>
        <v>206</v>
      </c>
      <c r="R160" s="4">
        <v>99.99</v>
      </c>
      <c r="S160" s="15" t="s">
        <v>1094</v>
      </c>
      <c r="T160" s="15" t="s">
        <v>1094</v>
      </c>
      <c r="V160" s="1" t="s">
        <v>156</v>
      </c>
      <c r="W160" s="1">
        <v>0</v>
      </c>
      <c r="X160" s="4"/>
      <c r="Y160" s="4"/>
    </row>
    <row r="161" s="1" customFormat="1" customHeight="1" spans="1:25">
      <c r="A161" s="4"/>
      <c r="B161" s="4"/>
      <c r="C161" s="15" t="s">
        <v>1095</v>
      </c>
      <c r="D161" s="15" t="s">
        <v>1096</v>
      </c>
      <c r="E161" s="1">
        <v>5</v>
      </c>
      <c r="F161" s="1" t="s">
        <v>1097</v>
      </c>
      <c r="G161" s="1" t="s">
        <v>1098</v>
      </c>
      <c r="H161" s="5" t="s">
        <v>1099</v>
      </c>
      <c r="I161" s="1" t="s">
        <v>1100</v>
      </c>
      <c r="J161" s="1" t="s">
        <v>1101</v>
      </c>
      <c r="K161" s="1" t="s">
        <v>1102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4">
        <f>P160+4</f>
        <v>133</v>
      </c>
      <c r="Q161" s="4">
        <f>Q160+5</f>
        <v>211</v>
      </c>
      <c r="R161" s="4">
        <v>99.99</v>
      </c>
      <c r="S161" s="15" t="s">
        <v>1103</v>
      </c>
      <c r="T161" s="15" t="s">
        <v>1103</v>
      </c>
      <c r="V161" s="1" t="s">
        <v>156</v>
      </c>
      <c r="W161" s="1">
        <v>0</v>
      </c>
      <c r="X161" s="4"/>
      <c r="Y161" s="4"/>
    </row>
    <row r="162" s="1" customFormat="1" customHeight="1" spans="1:25">
      <c r="A162" s="4"/>
      <c r="B162" s="4"/>
      <c r="C162" s="15" t="s">
        <v>1104</v>
      </c>
      <c r="D162" s="15" t="s">
        <v>1105</v>
      </c>
      <c r="E162" s="1">
        <v>5</v>
      </c>
      <c r="F162" s="1" t="s">
        <v>1106</v>
      </c>
      <c r="G162" s="1" t="s">
        <v>1107</v>
      </c>
      <c r="H162" s="5" t="s">
        <v>1108</v>
      </c>
      <c r="I162" s="1" t="s">
        <v>1109</v>
      </c>
      <c r="J162" s="1" t="s">
        <v>1110</v>
      </c>
      <c r="K162" s="1" t="s">
        <v>1111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4">
        <f>P161+4</f>
        <v>137</v>
      </c>
      <c r="Q162" s="4">
        <f>Q161+5</f>
        <v>216</v>
      </c>
      <c r="R162" s="4">
        <v>99.99</v>
      </c>
      <c r="S162" s="15" t="s">
        <v>1112</v>
      </c>
      <c r="T162" s="15" t="s">
        <v>1112</v>
      </c>
      <c r="V162" s="1" t="s">
        <v>156</v>
      </c>
      <c r="W162" s="1">
        <v>0</v>
      </c>
      <c r="X162" s="4"/>
      <c r="Y162" s="4"/>
    </row>
    <row r="163" s="1" customFormat="1" customHeight="1" spans="1:25">
      <c r="A163" s="4"/>
      <c r="B163" s="4"/>
      <c r="C163" s="15" t="s">
        <v>1113</v>
      </c>
      <c r="D163" s="15" t="s">
        <v>1114</v>
      </c>
      <c r="E163" s="1">
        <v>5</v>
      </c>
      <c r="F163" s="1" t="s">
        <v>1115</v>
      </c>
      <c r="G163" s="1" t="s">
        <v>1116</v>
      </c>
      <c r="H163" s="1" t="s">
        <v>1117</v>
      </c>
      <c r="I163" s="1" t="s">
        <v>1118</v>
      </c>
      <c r="J163" s="1" t="s">
        <v>1119</v>
      </c>
      <c r="K163" s="1" t="s">
        <v>1120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4">
        <f>P162+4</f>
        <v>141</v>
      </c>
      <c r="Q163" s="4">
        <f>Q162+5</f>
        <v>221</v>
      </c>
      <c r="R163" s="4">
        <v>99.99</v>
      </c>
      <c r="S163" s="15" t="s">
        <v>1121</v>
      </c>
      <c r="T163" s="15" t="s">
        <v>1121</v>
      </c>
      <c r="V163" s="1" t="s">
        <v>156</v>
      </c>
      <c r="W163" s="1">
        <v>0</v>
      </c>
      <c r="X163" s="4"/>
      <c r="Y163" s="4"/>
    </row>
    <row r="164" s="1" customFormat="1" customHeight="1" spans="1:25">
      <c r="A164" s="4"/>
      <c r="B164" s="4"/>
      <c r="C164" s="15" t="s">
        <v>1122</v>
      </c>
      <c r="D164" s="15" t="s">
        <v>1123</v>
      </c>
      <c r="E164" s="1">
        <v>5</v>
      </c>
      <c r="F164" s="1" t="s">
        <v>1124</v>
      </c>
      <c r="G164" s="1" t="s">
        <v>1125</v>
      </c>
      <c r="H164" s="1" t="s">
        <v>1126</v>
      </c>
      <c r="I164" s="1" t="s">
        <v>1127</v>
      </c>
      <c r="J164" s="1" t="s">
        <v>1128</v>
      </c>
      <c r="K164" s="1" t="s">
        <v>1129</v>
      </c>
      <c r="L164" s="1">
        <f t="shared" si="50"/>
        <v>23500</v>
      </c>
      <c r="M164" s="1">
        <f t="shared" si="51"/>
        <v>25100</v>
      </c>
      <c r="N164" s="1">
        <f t="shared" si="52"/>
        <v>9450</v>
      </c>
      <c r="O164" s="1">
        <f t="shared" si="53"/>
        <v>9450</v>
      </c>
      <c r="P164" s="4">
        <f>P163+4</f>
        <v>145</v>
      </c>
      <c r="Q164" s="4">
        <f>Q163+5</f>
        <v>226</v>
      </c>
      <c r="R164" s="4">
        <v>99.99</v>
      </c>
      <c r="S164" s="15" t="s">
        <v>1130</v>
      </c>
      <c r="T164" s="15" t="s">
        <v>1130</v>
      </c>
      <c r="V164" s="1" t="s">
        <v>156</v>
      </c>
      <c r="W164" s="1">
        <v>0</v>
      </c>
      <c r="X164" s="4"/>
      <c r="Y164" s="4"/>
    </row>
    <row r="165" s="1" customFormat="1" customHeight="1" spans="1:25">
      <c r="A165" s="4"/>
      <c r="B165" s="4"/>
      <c r="C165" s="15" t="s">
        <v>1131</v>
      </c>
      <c r="D165" s="15" t="s">
        <v>1132</v>
      </c>
      <c r="E165" s="1">
        <v>5</v>
      </c>
      <c r="F165" s="1" t="s">
        <v>1133</v>
      </c>
      <c r="G165" s="1" t="s">
        <v>1134</v>
      </c>
      <c r="H165" s="1" t="s">
        <v>1135</v>
      </c>
      <c r="I165" s="1" t="s">
        <v>1136</v>
      </c>
      <c r="J165" s="1" t="s">
        <v>1137</v>
      </c>
      <c r="K165" s="1" t="s">
        <v>1138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4">
        <f>P164+4</f>
        <v>149</v>
      </c>
      <c r="Q165" s="4">
        <f>Q164+5</f>
        <v>231</v>
      </c>
      <c r="R165" s="4">
        <v>99.99</v>
      </c>
      <c r="S165" s="15" t="s">
        <v>1139</v>
      </c>
      <c r="T165" s="15" t="s">
        <v>1139</v>
      </c>
      <c r="V165" s="1" t="s">
        <v>156</v>
      </c>
      <c r="W165" s="1">
        <v>0</v>
      </c>
      <c r="X165" s="4"/>
      <c r="Y165" s="4"/>
    </row>
    <row r="166" customHeight="1" spans="1:23">
      <c r="A166" s="4" t="s">
        <v>1140</v>
      </c>
      <c r="B166" s="4" t="s">
        <v>1140</v>
      </c>
      <c r="C166" s="15" t="s">
        <v>1141</v>
      </c>
      <c r="D166" s="15" t="s">
        <v>1142</v>
      </c>
      <c r="E166" s="1">
        <v>5</v>
      </c>
      <c r="F166" s="1" t="s">
        <v>1143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f t="shared" si="50"/>
        <v>24700</v>
      </c>
      <c r="M166" s="1">
        <f t="shared" si="51"/>
        <v>26300</v>
      </c>
      <c r="N166" s="1">
        <f t="shared" si="52"/>
        <v>9950</v>
      </c>
      <c r="O166" s="1">
        <f t="shared" si="53"/>
        <v>9950</v>
      </c>
      <c r="P166" s="4">
        <f t="shared" ref="P166:P180" si="55">P165+5</f>
        <v>154</v>
      </c>
      <c r="Q166" s="4">
        <f t="shared" ref="Q166:Q180" si="56">Q165+6</f>
        <v>237</v>
      </c>
      <c r="R166" s="4">
        <v>99.99</v>
      </c>
      <c r="S166" s="15" t="s">
        <v>882</v>
      </c>
      <c r="T166" s="15" t="s">
        <v>882</v>
      </c>
      <c r="V166" s="1" t="s">
        <v>156</v>
      </c>
      <c r="W166" s="1">
        <v>0</v>
      </c>
    </row>
    <row r="167" customHeight="1" spans="1:23">
      <c r="A167" s="4" t="s">
        <v>1140</v>
      </c>
      <c r="B167" s="4" t="s">
        <v>1140</v>
      </c>
      <c r="C167" s="15" t="s">
        <v>1144</v>
      </c>
      <c r="D167" s="15" t="s">
        <v>1145</v>
      </c>
      <c r="E167" s="1">
        <v>5</v>
      </c>
      <c r="F167" s="1" t="s">
        <v>1146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f t="shared" si="50"/>
        <v>25300</v>
      </c>
      <c r="M167" s="1">
        <f t="shared" si="51"/>
        <v>26900</v>
      </c>
      <c r="N167" s="1">
        <f t="shared" si="52"/>
        <v>10200</v>
      </c>
      <c r="O167" s="1">
        <f t="shared" si="53"/>
        <v>10200</v>
      </c>
      <c r="P167" s="4">
        <f t="shared" si="55"/>
        <v>159</v>
      </c>
      <c r="Q167" s="4">
        <f t="shared" si="56"/>
        <v>243</v>
      </c>
      <c r="R167" s="4">
        <v>99.99</v>
      </c>
      <c r="S167" s="15" t="s">
        <v>888</v>
      </c>
      <c r="T167" s="15" t="s">
        <v>888</v>
      </c>
      <c r="V167" s="1" t="s">
        <v>156</v>
      </c>
      <c r="W167" s="1">
        <v>0</v>
      </c>
    </row>
    <row r="168" customHeight="1" spans="1:23">
      <c r="A168" s="4" t="s">
        <v>1140</v>
      </c>
      <c r="B168" s="4" t="s">
        <v>1140</v>
      </c>
      <c r="C168" s="15" t="s">
        <v>1147</v>
      </c>
      <c r="D168" s="15" t="s">
        <v>1148</v>
      </c>
      <c r="E168" s="1">
        <v>5</v>
      </c>
      <c r="F168" s="1" t="s">
        <v>1149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f t="shared" si="50"/>
        <v>25900</v>
      </c>
      <c r="M168" s="1">
        <f t="shared" si="51"/>
        <v>27500</v>
      </c>
      <c r="N168" s="1">
        <f t="shared" si="52"/>
        <v>10450</v>
      </c>
      <c r="O168" s="1">
        <f t="shared" si="53"/>
        <v>10450</v>
      </c>
      <c r="P168" s="4">
        <f t="shared" si="55"/>
        <v>164</v>
      </c>
      <c r="Q168" s="4">
        <f t="shared" si="56"/>
        <v>249</v>
      </c>
      <c r="R168" s="4">
        <v>99.99</v>
      </c>
      <c r="S168" s="15" t="s">
        <v>894</v>
      </c>
      <c r="T168" s="15" t="s">
        <v>894</v>
      </c>
      <c r="V168" s="1" t="s">
        <v>156</v>
      </c>
      <c r="W168" s="1">
        <v>0</v>
      </c>
    </row>
    <row r="169" customHeight="1" spans="1:23">
      <c r="A169" s="4" t="s">
        <v>1140</v>
      </c>
      <c r="B169" s="4" t="s">
        <v>1140</v>
      </c>
      <c r="C169" s="15" t="s">
        <v>1150</v>
      </c>
      <c r="D169" s="15" t="s">
        <v>1151</v>
      </c>
      <c r="E169" s="1">
        <v>5</v>
      </c>
      <c r="F169" s="1" t="s">
        <v>1152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f t="shared" si="50"/>
        <v>26500</v>
      </c>
      <c r="M169" s="1">
        <f t="shared" si="51"/>
        <v>28100</v>
      </c>
      <c r="N169" s="1">
        <f t="shared" si="52"/>
        <v>10700</v>
      </c>
      <c r="O169" s="1">
        <f t="shared" si="53"/>
        <v>10700</v>
      </c>
      <c r="P169" s="4">
        <f t="shared" si="55"/>
        <v>169</v>
      </c>
      <c r="Q169" s="4">
        <f t="shared" si="56"/>
        <v>255</v>
      </c>
      <c r="R169" s="4">
        <v>99.99</v>
      </c>
      <c r="S169" s="15" t="s">
        <v>900</v>
      </c>
      <c r="T169" s="15" t="s">
        <v>900</v>
      </c>
      <c r="V169" s="1" t="s">
        <v>156</v>
      </c>
      <c r="W169" s="1">
        <v>0</v>
      </c>
    </row>
    <row r="170" customHeight="1" spans="1:23">
      <c r="A170" s="4" t="s">
        <v>1140</v>
      </c>
      <c r="B170" s="4" t="s">
        <v>1140</v>
      </c>
      <c r="C170" s="15" t="s">
        <v>1153</v>
      </c>
      <c r="D170" s="15" t="s">
        <v>1154</v>
      </c>
      <c r="E170" s="1">
        <v>5</v>
      </c>
      <c r="F170" s="1" t="s">
        <v>460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f t="shared" si="50"/>
        <v>27100</v>
      </c>
      <c r="M170" s="1">
        <f t="shared" si="51"/>
        <v>28700</v>
      </c>
      <c r="N170" s="1">
        <f t="shared" si="52"/>
        <v>10950</v>
      </c>
      <c r="O170" s="1">
        <f t="shared" si="53"/>
        <v>10950</v>
      </c>
      <c r="P170" s="4">
        <f t="shared" si="55"/>
        <v>174</v>
      </c>
      <c r="Q170" s="4">
        <f t="shared" si="56"/>
        <v>261</v>
      </c>
      <c r="R170" s="4">
        <v>99.99</v>
      </c>
      <c r="S170" s="15" t="s">
        <v>455</v>
      </c>
      <c r="T170" s="15" t="s">
        <v>455</v>
      </c>
      <c r="V170" s="1" t="s">
        <v>156</v>
      </c>
      <c r="W170" s="1">
        <v>0</v>
      </c>
    </row>
    <row r="171" s="1" customFormat="1" customHeight="1" spans="1:25">
      <c r="A171" s="4" t="s">
        <v>1140</v>
      </c>
      <c r="B171" s="4" t="s">
        <v>1140</v>
      </c>
      <c r="C171" s="15" t="s">
        <v>1155</v>
      </c>
      <c r="D171" s="15" t="s">
        <v>1156</v>
      </c>
      <c r="E171" s="1">
        <v>5</v>
      </c>
      <c r="F171" s="1" t="s">
        <v>1157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f t="shared" si="50"/>
        <v>27700</v>
      </c>
      <c r="M171" s="1">
        <f t="shared" si="51"/>
        <v>29300</v>
      </c>
      <c r="N171" s="1">
        <f t="shared" si="52"/>
        <v>11200</v>
      </c>
      <c r="O171" s="1">
        <f t="shared" si="53"/>
        <v>11200</v>
      </c>
      <c r="P171" s="4">
        <f t="shared" si="55"/>
        <v>179</v>
      </c>
      <c r="Q171" s="4">
        <f t="shared" si="56"/>
        <v>267</v>
      </c>
      <c r="R171" s="4">
        <v>99.99</v>
      </c>
      <c r="S171" s="15" t="s">
        <v>910</v>
      </c>
      <c r="T171" s="15" t="s">
        <v>910</v>
      </c>
      <c r="V171" s="1" t="s">
        <v>156</v>
      </c>
      <c r="W171" s="1">
        <v>0</v>
      </c>
      <c r="X171" s="4"/>
      <c r="Y171" s="4"/>
    </row>
    <row r="172" s="1" customFormat="1" customHeight="1" spans="1:25">
      <c r="A172" s="4" t="s">
        <v>1140</v>
      </c>
      <c r="B172" s="4" t="s">
        <v>1140</v>
      </c>
      <c r="C172" s="15" t="s">
        <v>1158</v>
      </c>
      <c r="D172" s="15" t="s">
        <v>1159</v>
      </c>
      <c r="E172" s="1">
        <v>5</v>
      </c>
      <c r="F172" s="1" t="s">
        <v>1160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f t="shared" si="50"/>
        <v>28300</v>
      </c>
      <c r="M172" s="1">
        <f t="shared" si="51"/>
        <v>29900</v>
      </c>
      <c r="N172" s="1">
        <f t="shared" si="52"/>
        <v>11450</v>
      </c>
      <c r="O172" s="1">
        <f t="shared" si="53"/>
        <v>11450</v>
      </c>
      <c r="P172" s="4">
        <f t="shared" si="55"/>
        <v>184</v>
      </c>
      <c r="Q172" s="4">
        <f t="shared" si="56"/>
        <v>273</v>
      </c>
      <c r="R172" s="4">
        <v>99.99</v>
      </c>
      <c r="S172" s="15" t="s">
        <v>916</v>
      </c>
      <c r="T172" s="15" t="s">
        <v>916</v>
      </c>
      <c r="V172" s="1" t="s">
        <v>156</v>
      </c>
      <c r="W172" s="1">
        <v>0</v>
      </c>
      <c r="X172" s="4"/>
      <c r="Y172" s="4"/>
    </row>
    <row r="173" s="1" customFormat="1" customHeight="1" spans="1:25">
      <c r="A173" s="4" t="s">
        <v>1140</v>
      </c>
      <c r="B173" s="4" t="s">
        <v>1140</v>
      </c>
      <c r="C173" s="15" t="s">
        <v>1161</v>
      </c>
      <c r="D173" s="15" t="s">
        <v>1162</v>
      </c>
      <c r="E173" s="1">
        <v>5</v>
      </c>
      <c r="F173" s="1" t="s">
        <v>1163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f t="shared" si="50"/>
        <v>28900</v>
      </c>
      <c r="M173" s="1">
        <f t="shared" si="51"/>
        <v>30500</v>
      </c>
      <c r="N173" s="1">
        <f t="shared" si="52"/>
        <v>11700</v>
      </c>
      <c r="O173" s="1">
        <f t="shared" si="53"/>
        <v>11700</v>
      </c>
      <c r="P173" s="4">
        <f t="shared" si="55"/>
        <v>189</v>
      </c>
      <c r="Q173" s="4">
        <f t="shared" si="56"/>
        <v>279</v>
      </c>
      <c r="R173" s="4">
        <v>99.99</v>
      </c>
      <c r="S173" s="15" t="s">
        <v>922</v>
      </c>
      <c r="T173" s="15" t="s">
        <v>922</v>
      </c>
      <c r="V173" s="1" t="s">
        <v>156</v>
      </c>
      <c r="W173" s="1">
        <v>0</v>
      </c>
      <c r="X173" s="4"/>
      <c r="Y173" s="4"/>
    </row>
    <row r="174" s="1" customFormat="1" customHeight="1" spans="1:25">
      <c r="A174" s="4" t="s">
        <v>1140</v>
      </c>
      <c r="B174" s="4" t="s">
        <v>1140</v>
      </c>
      <c r="C174" s="15" t="s">
        <v>1164</v>
      </c>
      <c r="D174" s="15" t="s">
        <v>1165</v>
      </c>
      <c r="E174" s="1">
        <v>5</v>
      </c>
      <c r="F174" s="1" t="s">
        <v>1166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f t="shared" si="50"/>
        <v>29500</v>
      </c>
      <c r="M174" s="1">
        <f t="shared" si="51"/>
        <v>31100</v>
      </c>
      <c r="N174" s="1">
        <f t="shared" si="52"/>
        <v>11950</v>
      </c>
      <c r="O174" s="1">
        <f t="shared" si="53"/>
        <v>11950</v>
      </c>
      <c r="P174" s="4">
        <f t="shared" si="55"/>
        <v>194</v>
      </c>
      <c r="Q174" s="4">
        <f t="shared" si="56"/>
        <v>285</v>
      </c>
      <c r="R174" s="4">
        <v>99.99</v>
      </c>
      <c r="S174" s="15" t="s">
        <v>928</v>
      </c>
      <c r="T174" s="15" t="s">
        <v>928</v>
      </c>
      <c r="V174" s="1" t="s">
        <v>156</v>
      </c>
      <c r="W174" s="1">
        <v>0</v>
      </c>
      <c r="X174" s="4"/>
      <c r="Y174" s="4"/>
    </row>
    <row r="175" s="1" customFormat="1" customHeight="1" spans="1:25">
      <c r="A175" s="4" t="s">
        <v>1140</v>
      </c>
      <c r="B175" s="4" t="s">
        <v>1140</v>
      </c>
      <c r="C175" s="15" t="s">
        <v>1167</v>
      </c>
      <c r="D175" s="15" t="s">
        <v>1168</v>
      </c>
      <c r="E175" s="1">
        <v>5</v>
      </c>
      <c r="F175" s="1" t="s">
        <v>1169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f t="shared" si="50"/>
        <v>30100</v>
      </c>
      <c r="M175" s="1">
        <f t="shared" si="51"/>
        <v>31700</v>
      </c>
      <c r="N175" s="1">
        <f t="shared" si="52"/>
        <v>12200</v>
      </c>
      <c r="O175" s="1">
        <f t="shared" si="53"/>
        <v>12200</v>
      </c>
      <c r="P175" s="4">
        <f t="shared" si="55"/>
        <v>199</v>
      </c>
      <c r="Q175" s="4">
        <f t="shared" si="56"/>
        <v>291</v>
      </c>
      <c r="R175" s="4">
        <v>99.99</v>
      </c>
      <c r="S175" s="15" t="s">
        <v>934</v>
      </c>
      <c r="T175" s="15" t="s">
        <v>934</v>
      </c>
      <c r="V175" s="1" t="s">
        <v>156</v>
      </c>
      <c r="W175" s="1">
        <v>0</v>
      </c>
      <c r="X175" s="4"/>
      <c r="Y175" s="4"/>
    </row>
    <row r="176" s="1" customFormat="1" customHeight="1" spans="1:25">
      <c r="A176" s="4" t="s">
        <v>1140</v>
      </c>
      <c r="B176" s="4" t="s">
        <v>1140</v>
      </c>
      <c r="C176" s="15" t="s">
        <v>1170</v>
      </c>
      <c r="D176" s="15" t="s">
        <v>1171</v>
      </c>
      <c r="E176" s="1">
        <v>5</v>
      </c>
      <c r="F176" s="1" t="s">
        <v>1172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f t="shared" si="50"/>
        <v>30700</v>
      </c>
      <c r="M176" s="1">
        <f t="shared" si="51"/>
        <v>32300</v>
      </c>
      <c r="N176" s="1">
        <f t="shared" si="52"/>
        <v>12450</v>
      </c>
      <c r="O176" s="1">
        <f t="shared" si="53"/>
        <v>12450</v>
      </c>
      <c r="P176" s="4">
        <f t="shared" si="55"/>
        <v>204</v>
      </c>
      <c r="Q176" s="4">
        <f t="shared" si="56"/>
        <v>297</v>
      </c>
      <c r="R176" s="4">
        <v>99.99</v>
      </c>
      <c r="S176" s="15" t="s">
        <v>940</v>
      </c>
      <c r="T176" s="15" t="s">
        <v>940</v>
      </c>
      <c r="V176" s="1" t="s">
        <v>156</v>
      </c>
      <c r="W176" s="1">
        <v>0</v>
      </c>
      <c r="X176" s="4"/>
      <c r="Y176" s="4"/>
    </row>
    <row r="177" s="1" customFormat="1" customHeight="1" spans="1:25">
      <c r="A177" s="4" t="s">
        <v>1140</v>
      </c>
      <c r="B177" s="4" t="s">
        <v>1140</v>
      </c>
      <c r="C177" s="15" t="s">
        <v>1173</v>
      </c>
      <c r="D177" s="15" t="s">
        <v>1174</v>
      </c>
      <c r="E177" s="1">
        <v>5</v>
      </c>
      <c r="F177" s="1" t="s">
        <v>1175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f t="shared" si="50"/>
        <v>31300</v>
      </c>
      <c r="M177" s="1">
        <f t="shared" si="51"/>
        <v>32900</v>
      </c>
      <c r="N177" s="1">
        <f t="shared" si="52"/>
        <v>12700</v>
      </c>
      <c r="O177" s="1">
        <f t="shared" si="53"/>
        <v>12700</v>
      </c>
      <c r="P177" s="4">
        <f t="shared" si="55"/>
        <v>209</v>
      </c>
      <c r="Q177" s="4">
        <f t="shared" si="56"/>
        <v>303</v>
      </c>
      <c r="R177" s="4">
        <v>99.99</v>
      </c>
      <c r="S177" s="15" t="s">
        <v>946</v>
      </c>
      <c r="T177" s="15" t="s">
        <v>946</v>
      </c>
      <c r="V177" s="1" t="s">
        <v>156</v>
      </c>
      <c r="W177" s="1">
        <v>0</v>
      </c>
      <c r="X177" s="4"/>
      <c r="Y177" s="4"/>
    </row>
    <row r="178" s="1" customFormat="1" customHeight="1" spans="1:25">
      <c r="A178" s="4" t="s">
        <v>1140</v>
      </c>
      <c r="B178" s="4" t="s">
        <v>1140</v>
      </c>
      <c r="C178" s="15" t="s">
        <v>1176</v>
      </c>
      <c r="D178" s="15" t="s">
        <v>1177</v>
      </c>
      <c r="E178" s="1">
        <v>5</v>
      </c>
      <c r="F178" s="1" t="s">
        <v>1178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f t="shared" si="50"/>
        <v>31900</v>
      </c>
      <c r="M178" s="1">
        <f t="shared" si="51"/>
        <v>33500</v>
      </c>
      <c r="N178" s="1">
        <f t="shared" si="52"/>
        <v>12950</v>
      </c>
      <c r="O178" s="1">
        <f t="shared" si="53"/>
        <v>12950</v>
      </c>
      <c r="P178" s="4">
        <f t="shared" si="55"/>
        <v>214</v>
      </c>
      <c r="Q178" s="4">
        <f t="shared" si="56"/>
        <v>309</v>
      </c>
      <c r="R178" s="4">
        <v>99.99</v>
      </c>
      <c r="S178" s="15" t="s">
        <v>952</v>
      </c>
      <c r="T178" s="15" t="s">
        <v>952</v>
      </c>
      <c r="V178" s="1" t="s">
        <v>156</v>
      </c>
      <c r="W178" s="1">
        <v>0</v>
      </c>
      <c r="X178" s="4"/>
      <c r="Y178" s="4"/>
    </row>
    <row r="179" s="1" customFormat="1" customHeight="1" spans="1:25">
      <c r="A179" s="4" t="s">
        <v>1140</v>
      </c>
      <c r="B179" s="4" t="s">
        <v>1140</v>
      </c>
      <c r="C179" s="15" t="s">
        <v>1179</v>
      </c>
      <c r="D179" s="15" t="s">
        <v>1180</v>
      </c>
      <c r="E179" s="1">
        <v>5</v>
      </c>
      <c r="F179" s="1" t="s">
        <v>1181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f t="shared" si="50"/>
        <v>32500</v>
      </c>
      <c r="M179" s="1">
        <f t="shared" si="51"/>
        <v>34100</v>
      </c>
      <c r="N179" s="1">
        <f t="shared" si="52"/>
        <v>13200</v>
      </c>
      <c r="O179" s="1">
        <f t="shared" si="53"/>
        <v>13200</v>
      </c>
      <c r="P179" s="4">
        <f t="shared" si="55"/>
        <v>219</v>
      </c>
      <c r="Q179" s="4">
        <f t="shared" si="56"/>
        <v>315</v>
      </c>
      <c r="R179" s="4">
        <v>99.99</v>
      </c>
      <c r="S179" s="15" t="s">
        <v>958</v>
      </c>
      <c r="T179" s="15" t="s">
        <v>958</v>
      </c>
      <c r="V179" s="1" t="s">
        <v>156</v>
      </c>
      <c r="W179" s="1">
        <v>0</v>
      </c>
      <c r="X179" s="4"/>
      <c r="Y179" s="4"/>
    </row>
    <row r="180" s="1" customFormat="1" customHeight="1" spans="1:25">
      <c r="A180" s="4" t="s">
        <v>1140</v>
      </c>
      <c r="B180" s="4" t="s">
        <v>1140</v>
      </c>
      <c r="C180" s="15" t="s">
        <v>1182</v>
      </c>
      <c r="D180" s="15" t="s">
        <v>1183</v>
      </c>
      <c r="E180" s="1">
        <v>5</v>
      </c>
      <c r="F180" s="1" t="s">
        <v>1184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f t="shared" si="50"/>
        <v>33100</v>
      </c>
      <c r="M180" s="1">
        <f t="shared" si="51"/>
        <v>34700</v>
      </c>
      <c r="N180" s="1">
        <f t="shared" si="52"/>
        <v>13450</v>
      </c>
      <c r="O180" s="1">
        <f t="shared" si="53"/>
        <v>13450</v>
      </c>
      <c r="P180" s="4">
        <f t="shared" si="55"/>
        <v>224</v>
      </c>
      <c r="Q180" s="4">
        <f t="shared" si="56"/>
        <v>321</v>
      </c>
      <c r="R180" s="4">
        <v>99.99</v>
      </c>
      <c r="S180" s="15" t="s">
        <v>964</v>
      </c>
      <c r="T180" s="15" t="s">
        <v>964</v>
      </c>
      <c r="V180" s="1" t="s">
        <v>156</v>
      </c>
      <c r="W180" s="1">
        <v>0</v>
      </c>
      <c r="X180" s="4"/>
      <c r="Y180" s="4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2025-05-07T06:54:38Z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
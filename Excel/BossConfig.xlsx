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<sst xmlns="http://schemas.openxmlformats.org/spreadsheetml/2006/main" count="2106" uniqueCount="1554">
  <si>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</si>
  <si>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</si>
  <si>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</si>
  <si>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</si>
  <si>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</si>
  <si>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</si>
  <si>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</si>
  <si>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</si>
  <si>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</si>
  <si>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</si>
  <si>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</si>
  <si>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</si>
  <si>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</si>
  <si>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</si>
  <si>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</si>
  <si>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</si>
  <si>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</si>
  <si>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</si>
  <si>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</si>
  <si>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</si>
  <si>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</si>
  <si>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</si>
  <si>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</si>
  <si>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</si>
  <si>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</si>
  <si>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</si>
  <si>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</si>
  <si>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</si>
  <si>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</si>
  <si>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</si>
  <si>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</si>
  <si>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</si>
  <si>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</si>
  <si>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</si>
  <si>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</si>
  <si>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</si>
  <si>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</si>
  <si>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</si>
  <si>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</si>
  <si>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</si>
  <si>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</si>
  <si>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</si>
  <si>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</si>
  <si>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</si>
  <si>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</si>
  <si>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</si>
  <si>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</si>
  <si>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</si>
  <si>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</si>
  <si>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</si>
  <si>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</si>
  <si>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</si>
  <si>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</si>
  <si>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</si>
  <si>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</si>
  <si>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</si>
  <si>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</si>
  <si>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</si>
  <si>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</si>
  <si>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</si>
  <si>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</si>
  <si>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</si>
  <si>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</si>
  <si>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</si>
  <si>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</si>
  <si>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</si>
  <si>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</si>
  <si>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</si>
  <si>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</si>
  <si>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</si>
  <si>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</si>
  <si>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</si>
  <si>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</si>
  <si>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</si>
  <si>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</si>
  <si>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</si>
  <si>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</si>
  <si>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</si>
  <si>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</si>
  <si>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</si>
  <si>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</si>
  <si>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</si>
  <si>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</si>
  <si>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</si>
  <si>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</si>
  <si>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</si>
  <si>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</si>
  <si>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</si>
  <si>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</si>
  <si>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</si>
  <si>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</si>
  <si>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</si>
  <si>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</si>
  <si>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</si>
  <si>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</si>
  <si>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</si>
  <si>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</si>
  <si>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</si>
  <si>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</si>
  <si>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</si>
  <si>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</si>
  <si>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</si>
  <si>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</si>
  <si>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</si>
  <si>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</si>
  <si>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</si>
  <si>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</si>
  <si>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</si>
  <si>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</si>
  <si>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</si>
  <si>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</si>
  <si>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</si>
  <si>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</si>
  <si>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</si>
  <si>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</si>
  <si>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</si>
  <si>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</si>
  <si>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</si>
  <si>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</si>
  <si>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</si>
  <si>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</si>
  <si>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</si>
  <si>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</si>
  <si>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</si>
  <si>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</si>
  <si>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</si>
  <si>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</si>
  <si>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</si>
  <si>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</si>
  <si>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</si>
  <si>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</si>
  <si>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</si>
  <si>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</si>
  <si>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</si>
  <si>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</si>
  <si>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</si>
  <si>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</si>
  <si>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</si>
  <si>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</si>
  <si>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</si>
  <si>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</si>
  <si>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</si>
  <si>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</si>
  <si>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</si>
  <si>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</si>
  <si>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</si>
  <si>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</si>
  <si>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</si>
  <si>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</si>
  <si>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</si>
  <si>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</si>
  <si>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</si>
  <si>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</si>
  <si>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</si>
  <si>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</si>
  <si>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</si>
  <si>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</si>
  <si>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</si>
  <si>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</si>
  <si>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</si>
  <si>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</si>
  <si>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</si>
  <si>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</si>
  <si>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</si>
  <si>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</si>
  <si>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</si>
  <si>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</si>
  <si>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</si>
  <si>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</si>
  <si>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</si>
  <si>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</si>
  <si>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</si>
  <si>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</si>
  <si>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</si>
  <si>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</si>
  <si>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</si>
  <si>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</si>
  <si>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</si>
  <si>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</si>
  <si>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</si>
  <si>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</si>
  <si>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</si>
  <si>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</si>
  <si>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</si>
  <si>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</si>
  <si>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</si>
  <si>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</si>
  <si>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</si>
  <si>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</si>
  <si>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</si>
  <si>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</si>
  <si>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</si>
  <si>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</si>
  <si>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</si>
  <si>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</si>
  <si>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</si>
  <si>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</si>
  <si>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</si>
  <si>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</si>
  <si>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</si>
  <si>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</si>
  <si>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</si>
  <si>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</si>
  <si>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</si>
  <si>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</si>
  <si>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</si>
  <si>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</si>
  <si>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</si>
  <si>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</si>
  <si>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</si>
  <si>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</si>
  <si>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</si>
  <si>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</si>
  <si>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</si>
  <si>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</si>
  <si>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</si>
  <si>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</si>
  <si>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</si>
  <si>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</si>
  <si>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</si>
  <si>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</si>
  <si>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</si>
  <si>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</si>
  <si>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</si>
  <si>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</si>
  <si>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</si>
  <si>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</si>
  <si>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</si>
  <si>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</si>
  <si>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</si>
  <si>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</si>
  <si>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</si>
  <si>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</si>
  <si>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</si>
  <si>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</si>
  <si>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</si>
  <si>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</si>
  <si>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</si>
  <si>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</si>
  <si>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</si>
  <si>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</si>
  <si>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</si>
  <si>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</si>
  <si>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</si>
  <si>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</si>
  <si>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</si>
  <si>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</si>
  <si>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</si>
  <si>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</si>
  <si>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</si>
  <si>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</si>
  <si>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</si>
  <si>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</si>
  <si>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</si>
  <si>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</si>
  <si>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</si>
  <si>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</si>
  <si>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</si>
  <si>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</si>
  <si>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</si>
  <si>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</si>
  <si>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</si>
  <si>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</si>
  <si>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</si>
  <si>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</si>
  <si>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</si>
  <si>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</si>
  <si>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</si>
  <si>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</si>
  <si>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</si>
  <si>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</si>
  <si>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</si>
  <si>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</si>
  <si>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</si>
  <si>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</si>
  <si>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</si>
  <si>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</si>
  <si>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</si>
  <si>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</si>
  <si>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</si>
  <si>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</si>
  <si>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</si>
  <si>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</si>
  <si>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</si>
  <si>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</si>
  <si>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</si>
  <si>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</si>
  <si>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</si>
  <si>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</si>
  <si>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</si>
  <si>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</si>
  <si>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</si>
  <si>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</si>
  <si>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</si>
  <si>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</si>
  <si>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</si>
  <si>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</si>
  <si>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</si>
  <si>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</si>
  <si>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</si>
  <si>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</si>
  <si>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</si>
  <si>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</si>
  <si>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</si>
  <si>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</si>
  <si>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</si>
  <si>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</si>
  <si>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</si>
  <si>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</si>
  <si>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</si>
  <si>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</si>
  <si>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</si>
  <si>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</si>
  <si>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</si>
  <si>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</si>
  <si>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</si>
  <si>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</si>
  <si>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</si>
  <si>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</si>
  <si>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</si>
  <si>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</si>
  <si>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</si>
  <si>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</si>
  <si>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</si>
  <si>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</si>
  <si>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</si>
  <si>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</si>
  <si>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</si>
  <si>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</si>
  <si>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</si>
  <si>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</si>
  <si>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</si>
  <si>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</si>
  <si>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</si>
  <si>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</si>
  <si>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</si>
  <si>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</si>
  <si>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</si>
  <si>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</si>
  <si>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</si>
  <si>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</si>
  <si>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</si>
  <si>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</si>
  <si>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</si>
  <si>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</si>
  <si>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</si>
  <si>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</si>
  <si>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</si>
  <si>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</si>
  <si>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</si>
  <si>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</si>
  <si>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</si>
  <si>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</si>
  <si>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</si>
  <si>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</si>
  <si>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</si>
  <si>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</si>
  <si>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</si>
  <si>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</si>
  <si>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</si>
  <si>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</si>
  <si>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</si>
  <si>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</si>
  <si>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</si>
  <si>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</si>
  <si>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</si>
  <si>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</si>
  <si>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</si>
  <si>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</si>
  <si>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</si>
  <si>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</si>
  <si>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</si>
  <si>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</si>
  <si>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</si>
  <si>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</si>
  <si>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</si>
  <si>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</si>
  <si>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</si>
  <si>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</si>
  <si>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</si>
  <si>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</si>
  <si>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</si>
  <si>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</si>
  <si>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</si>
  <si>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</si>
  <si>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</si>
  <si>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</si>
  <si>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</si>
  <si>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</si>
  <si>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</si>
  <si>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</si>
  <si>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</si>
  <si>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</si>
  <si>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</si>
  <si>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</si>
  <si>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</si>
  <si>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</si>
  <si>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</si>
  <si>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</si>
  <si>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</si>
  <si>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</si>
  <si>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</si>
  <si>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</si>
  <si>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</si>
  <si>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</si>
  <si>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</si>
  <si>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</si>
  <si>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</si>
  <si>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</si>
  <si>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</si>
  <si>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</si>
  <si>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</si>
  <si>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</si>
  <si>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</si>
  <si>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</si>
  <si>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</si>
  <si>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</si>
  <si>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</si>
  <si>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</si>
  <si>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</si>
  <si>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</si>
  <si>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</si>
  <si>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</si>
  <si>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</si>
  <si>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</si>
  <si>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</si>
  <si>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</si>
  <si>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</si>
  <si>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</si>
  <si>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</si>
  <si>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</si>
  <si>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</si>
  <si>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</si>
  <si>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</si>
  <si>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</si>
  <si>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</si>
  <si>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</si>
  <si>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</si>
  <si>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</si>
  <si>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</si>
  <si>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</si>
  <si>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</si>
  <si>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</si>
  <si>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</si>
  <si>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</si>
  <si>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</si>
  <si>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</si>
  <si>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</si>
  <si>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</si>
  <si>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</si>
  <si>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</si>
  <si>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</si>
  <si>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</si>
  <si>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</si>
  <si>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</si>
  <si>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</si>
  <si>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</si>
  <si>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</si>
  <si>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</si>
  <si>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</si>
  <si>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</si>
  <si>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</si>
  <si>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</si>
  <si>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</si>
  <si>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</si>
  <si>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</si>
  <si>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</si>
  <si>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</si>
  <si>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</si>
  <si>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</si>
  <si>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</si>
  <si>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</si>
  <si>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</si>
  <si>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</si>
  <si>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</si>
  <si>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</si>
  <si>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</si>
  <si>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</si>
  <si>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</si>
  <si>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</si>
  <si>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</si>
  <si>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</si>
  <si>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</si>
  <si>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</si>
  <si>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</si>
  <si>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</si>
  <si>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</si>
  <si>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</si>
  <si>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</si>
  <si>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</si>
  <si>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</si>
  <si>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</si>
  <si>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</si>
  <si>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</si>
  <si>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</si>
  <si>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</si>
  <si>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</si>
  <si>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</si>
  <si>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</si>
  <si>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</si>
  <si>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</si>
  <si>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</si>
  <si>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</si>
  <si>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</si>
  <si>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</si>
  <si>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</si>
  <si>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</si>
  <si>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</si>
  <si>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</si>
  <si>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</si>
  <si>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</si>
  <si>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</si>
  <si>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</si>
  <si>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</si>
  <si>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</si>
  <si>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</si>
  <si>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</si>
  <si>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</si>
  <si>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</si>
  <si>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</si>
  <si>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</si>
  <si>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</si>
  <si>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</si>
  <si>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</si>
  <si>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</si>
  <si>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</si>
  <si>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</si>
  <si>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</si>
  <si>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</si>
  <si>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</si>
  <si>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</si>
  <si>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</si>
  <si>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</si>
  <si>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</si>
  <si>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</si>
  <si>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</si>
  <si>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</si>
  <si>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</si>
  <si>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</si>
  <si>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</si>
  <si>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</si>
  <si>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</si>
  <si>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</si>
  <si>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</si>
  <si>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</si>
  <si>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</si>
  <si>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</si>
  <si>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</si>
  <si>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</si>
  <si>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</si>
  <si>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</si>
  <si>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</si>
  <si>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</si>
  <si>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</si>
  <si>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</si>
  <si>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</si>
  <si>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</si>
  <si>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</si>
  <si>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</si>
  <si>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</si>
  <si>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</si>
  <si>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</si>
  <si>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</si>
  <si>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</si>
  <si>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</si>
  <si>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</si>
  <si>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</si>
  <si>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</si>
  <si>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</si>
  <si>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</si>
  <si>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</si>
  <si>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</si>
  <si>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</si>
  <si>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</si>
  <si>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</si>
  <si>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</si>
  <si>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</si>
  <si>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</si>
  <si>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</si>
  <si>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</si>
  <si>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</si>
  <si>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</si>
  <si>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</si>
  <si>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</si>
  <si>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</si>
  <si>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</si>
  <si>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</si>
  <si>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</si>
  <si>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</si>
  <si>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</si>
  <si>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</si>
  <si>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</si>
  <si>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</si>
  <si>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</si>
  <si>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</si>
  <si>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</si>
  <si>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</si>
  <si>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</si>
  <si>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</si>
  <si>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</si>
  <si>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</si>
  <si>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</si>
  <si>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</si>
  <si>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</si>
  <si>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</si>
  <si>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</si>
  <si>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</si>
  <si>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</si>
  <si>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</si>
  <si>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</si>
  <si>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</si>
  <si>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</si>
  <si>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</si>
  <si>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</si>
  <si>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</si>
  <si>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</si>
  <si>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</si>
  <si>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</si>
  <si>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</si>
  <si>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</si>
  <si>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</si>
  <si>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</si>
  <si>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</si>
  <si>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</si>
  <si>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</si>
  <si>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</si>
  <si>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</si>
  <si>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</si>
  <si>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</si>
  <si>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</si>
  <si>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</si>
  <si>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</si>
  <si>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</si>
  <si>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</si>
  <si>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</si>
  <si>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</si>
  <si>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</si>
  <si>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</si>
  <si>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</si>
  <si>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</si>
  <si>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</si>
  <si>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</si>
  <si>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</si>
  <si>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</si>
  <si>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</si>
  <si>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</si>
  <si>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</si>
  <si>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</si>
  <si>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</si>
  <si>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</si>
  <si>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</si>
  <si>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</si>
  <si>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</si>
  <si>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</si>
  <si>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</si>
  <si>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</si>
  <si>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</si>
  <si>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</si>
  <si>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</si>
  <si>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</si>
  <si>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</si>
  <si>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</si>
  <si>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</si>
  <si>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</si>
  <si>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</si>
  <si>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</si>
  <si>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</si>
  <si>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</si>
  <si>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</si>
  <si>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</si>
  <si>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</si>
  <si>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</si>
  <si>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</si>
  <si>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</si>
  <si>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</si>
  <si>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</si>
  <si>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</si>
  <si>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</si>
  <si>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</si>
  <si>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</si>
  <si>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</si>
  <si>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</si>
  <si>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</si>
  <si>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</si>
  <si>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</si>
  <si>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</si>
  <si>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</si>
  <si>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</si>
  <si>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</si>
  <si>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</si>
  <si>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</si>
  <si>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</si>
  <si>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</si>
  <si>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</si>
  <si>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</si>
  <si>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</si>
  <si>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</si>
  <si>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</si>
  <si>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</si>
  <si>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</si>
  <si>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</si>
  <si>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</si>
  <si>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</si>
  <si>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</si>
  <si>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</si>
  <si>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</si>
  <si>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</si>
  <si>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</si>
  <si>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</si>
  <si>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</si>
  <si>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</si>
  <si>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</si>
  <si>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</si>
  <si>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</si>
  <si>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</si>
  <si>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</si>
  <si>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</si>
  <si>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</si>
  <si>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</si>
  <si>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</si>
  <si>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</si>
  <si>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</si>
  <si>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</si>
  <si>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</si>
  <si>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</si>
  <si>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</si>
  <si>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</si>
  <si>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</si>
  <si>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</si>
  <si>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</si>
  <si>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</si>
  <si>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</si>
  <si>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</si>
  <si>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</si>
  <si>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</si>
  <si>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</si>
  <si>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</si>
  <si>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</si>
  <si>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</si>
  <si>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</si>
  <si>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</si>
  <si>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</si>
  <si>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</si>
  <si>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</si>
  <si>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</si>
  <si>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</si>
  <si>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</si>
  <si>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</si>
  <si>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</si>
  <si>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</si>
  <si>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</si>
  <si>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</si>
  <si>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</si>
  <si>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</si>
  <si>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</si>
  <si>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</si>
  <si>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</si>
  <si>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</si>
  <si>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</si>
  <si>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</si>
  <si>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</si>
  <si>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</si>
  <si>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</si>
  <si>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</si>
  <si>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</si>
  <si>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</si>
  <si>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</si>
  <si>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</si>
  <si>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</si>
  <si>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</si>
  <si>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</si>
  <si>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</si>
  <si>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</si>
  <si>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</si>
  <si>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</si>
  <si>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</si>
  <si>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</si>
  <si>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</si>
  <si>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</si>
  <si>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</si>
  <si>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</si>
  <si>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</si>
  <si>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</si>
  <si>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</si>
  <si>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</si>
  <si>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</si>
  <si>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</si>
  <si>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</si>
  <si>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</si>
  <si>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</si>
  <si>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</si>
  <si>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</si>
  <si>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</si>
  <si>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</si>
  <si>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</si>
  <si>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</si>
  <si>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</si>
  <si>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</si>
  <si>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</si>
  <si>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</si>
  <si>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</si>
  <si>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</si>
  <si>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</si>
  <si>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</si>
  <si>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</si>
  <si>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</si>
  <si>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</si>
  <si>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</si>
  <si>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</si>
  <si>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</si>
  <si>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</si>
  <si>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</si>
  <si>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</si>
  <si>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</si>
  <si>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</si>
  <si>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</si>
  <si>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</si>
  <si>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</si>
  <si>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</si>
  <si>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</si>
  <si>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</si>
  <si>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</si>
  <si>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</si>
  <si>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</si>
  <si>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</si>
  <si>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</si>
  <si>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</si>
  <si>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</si>
  <si>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</si>
  <si>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</si>
  <si>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</si>
  <si>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</si>
  <si>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</si>
  <si>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</si>
  <si>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</si>
  <si>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</si>
  <si>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</si>
  <si>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</si>
  <si>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</si>
  <si>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</si>
  <si>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</si>
  <si>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</si>
  <si>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</si>
  <si>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</si>
  <si>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</si>
  <si>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</si>
  <si>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</si>
  <si>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</si>
  <si>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</si>
  <si>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</si>
  <si>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</si>
  <si>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</si>
  <si>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</si>
  <si>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</si>
  <si>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</si>
  <si>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</si>
  <si>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</si>
  <si>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</si>
  <si>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</si>
  <si>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</si>
  <si>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</si>
  <si>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</si>
  <si>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</si>
  <si>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</si>
  <si>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</si>
  <si>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</si>
  <si>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</si>
  <si>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</si>
  <si>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</si>
  <si>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</si>
  <si>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</si>
  <si>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</si>
  <si>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</si>
  <si>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</si>
  <si>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</si>
  <si>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</si>
  <si>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</si>
  <si>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</si>
  <si>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</si>
  <si>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</si>
  <si>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</si>
  <si>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</si>
  <si>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</si>
  <si>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</si>
  <si>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</si>
  <si>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</si>
  <si>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</si>
  <si>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</si>
  <si>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</si>
  <si>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</si>
  <si>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</si>
  <si>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</si>
  <si>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</si>
  <si>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</si>
  <si>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</si>
  <si>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</si>
  <si>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</si>
  <si>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</si>
  <si>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</si>
  <si>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</si>
  <si>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</si>
  <si>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</si>
  <si>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</si>
  <si>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</si>
  <si>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</si>
  <si>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</si>
  <si>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</si>
  <si>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</si>
  <si>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</si>
  <si>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</si>
  <si>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</si>
  <si>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</si>
  <si>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</si>
  <si>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</si>
  <si>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</si>
  <si>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</si>
  <si>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</si>
  <si>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</si>
  <si>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</si>
  <si>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</si>
  <si>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</si>
  <si>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</si>
  <si>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</si>
  <si>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</si>
  <si>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</si>
  <si>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</si>
  <si>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</si>
  <si>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</si>
  <si>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</si>
  <si>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</si>
  <si>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</si>
  <si>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</si>
  <si>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</si>
  <si>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</si>
  <si>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</si>
  <si>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</si>
  <si>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</si>
  <si>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</si>
  <si>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</si>
  <si>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</si>
  <si>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</si>
  <si>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</si>
  <si>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</si>
  <si>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</si>
  <si>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</si>
  <si>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</si>
  <si>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</si>
  <si>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</si>
  <si>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</si>
  <si>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</si>
  <si>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</si>
  <si>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</si>
  <si>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</si>
  <si>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</si>
  <si>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</si>
  <si>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</si>
  <si>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</si>
  <si>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</si>
  <si>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</si>
  <si>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</si>
  <si>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</si>
  <si>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</si>
  <si>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</si>
  <si>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</si>
  <si>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</si>
  <si>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</si>
  <si>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</si>
  <si>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</si>
  <si>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</si>
  <si>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</si>
  <si>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</si>
  <si>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</si>
  <si>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</si>
  <si>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</si>
  <si>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</si>
  <si>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</si>
  <si>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</si>
  <si>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</si>
  <si>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</si>
  <si>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</si>
  <si>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</si>
  <si>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</si>
  <si>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</si>
  <si>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</si>
  <si>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</si>
  <si>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</si>
  <si>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</si>
  <si>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</si>
  <si>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</si>
  <si>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</si>
  <si>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</si>
  <si>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</si>
  <si>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</si>
  <si>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</si>
  <si>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</si>
  <si>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</si>
  <si>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</si>
  <si>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</si>
  <si>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</si>
  <si>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</si>
  <si>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</si>
  <si>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</si>
  <si>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</si>
  <si>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</si>
  <si>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</si>
  <si>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</si>
  <si>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</si>
  <si>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</si>
  <si>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</si>
  <si>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</si>
  <si>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</si>
  <si>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</si>
  <si>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</si>
  <si>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</si>
  <si>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</si>
  <si>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</si>
  <si>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</si>
  <si>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</si>
  <si>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</si>
  <si>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</si>
  <si>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</si>
  <si>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</si>
  <si>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</si>
  <si>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</si>
  <si>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</si>
  <si>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</si>
  <si>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</si>
  <si>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</si>
  <si>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</si>
  <si>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</si>
  <si>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</si>
  <si>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</si>
  <si>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</si>
  <si>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</si>
  <si>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</si>
  <si>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</si>
  <si>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</si>
  <si>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</si>
  <si>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</si>
  <si>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</si>
  <si>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</si>
  <si>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</si>
  <si>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</si>
  <si>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</si>
  <si>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</si>
  <si>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</si>
  <si>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</si>
  <si>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</si>
  <si>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</si>
  <si>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</si>
  <si>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</si>
  <si>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</si>
  <si>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</si>
  <si>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</si>
  <si>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</si>
  <si>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</si>
  <si>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</si>
  <si>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</si>
  <si>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</si>
  <si>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</si>
  <si>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</si>
  <si>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</si>
  <si>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</si>
  <si>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</si>
  <si>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</si>
  <si>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</si>
  <si>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</si>
  <si>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</si>
  <si>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</si>
  <si>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</si>
  <si>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</si>
  <si>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</si>
  <si>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</si>
  <si>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</si>
  <si>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</si>
  <si>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</si>
  <si>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</si>
  <si>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</si>
  <si>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</si>
  <si>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</si>
  <si>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</si>
  <si>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</si>
  <si>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</si>
  <si>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</si>
  <si>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</si>
  <si>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</si>
  <si>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</si>
  <si>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</si>
  <si>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</si>
  <si>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</si>
  <si>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</si>
  <si>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</si>
  <si>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</si>
  <si>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</si>
  <si>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</si>
  <si>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</si>
  <si>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</si>
  <si>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</si>
  <si>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</si>
  <si>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</si>
  <si>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</si>
  <si>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</si>
  <si>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</si>
  <si>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</si>
  <si>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</si>
  <si>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</si>
  <si>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</si>
  <si>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</si>
  <si>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</si>
  <si>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</si>
  <si>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</si>
  <si>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</si>
  <si>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</si>
  <si>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</si>
  <si>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</si>
  <si>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</si>
  <si>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</si>
  <si>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</si>
  <si>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</si>
  <si>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</si>
  <si>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</si>
  <si>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</si>
  <si>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</si>
  <si>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</si>
  <si>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</si>
  <si>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</si>
  <si>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</si>
  <si>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</si>
  <si>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</si>
  <si>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</si>
  <si>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</si>
  <si>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</si>
  <si>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</si>
  <si>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</si>
  <si>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</si>
  <si>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</si>
  <si>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</si>
  <si>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</si>
  <si>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</si>
  <si>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</si>
  <si>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</si>
  <si>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</si>
  <si>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</si>
  <si>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</si>
  <si>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</si>
  <si>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</si>
  <si>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</si>
  <si>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</si>
  <si>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</si>
  <si>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</si>
  <si>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</si>
  <si>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</si>
  <si>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</si>
  <si>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</si>
  <si>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</si>
  <si>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</si>
  <si>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</si>
  <si>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</si>
  <si>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</si>
  <si>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</si>
  <si>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</si>
  <si>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</si>
  <si>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</si>
  <si>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</si>
  <si>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</si>
  <si>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</si>
  <si>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</si>
  <si>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</si>
  <si>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</si>
  <si>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</si>
  <si>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</si>
  <si>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</si>
  <si>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</si>
  <si>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</si>
  <si>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</si>
  <si>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</si>
  <si>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</si>
  <si>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</si>
  <si>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</si>
  <si>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</si>
  <si>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</si>
  <si>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</si>
  <si>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</si>
  <si>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</si>
  <si>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</si>
  <si>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</si>
  <si>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</si>
  <si>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</si>
  <si>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</si>
  <si>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</si>
  <si>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</si>
  <si>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</si>
  <si>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</si>
  <si>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</si>
  <si>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</si>
  <si>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</si>
  <si>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</si>
  <si>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</si>
  <si>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</si>
  <si>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</si>
  <si>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</si>
  <si>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</si>
  <si>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</si>
  <si>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</si>
  <si>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</si>
  <si>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</si>
  <si>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</si>
  <si>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</si>
  <si>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</si>
  <si>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</si>
  <si>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</si>
  <si>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</si>
  <si>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</si>
  <si>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</si>
  <si>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</si>
  <si>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</si>
  <si>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</si>
  <si>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</si>
  <si>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</si>
  <si>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</si>
  <si>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</si>
  <si>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</si>
  <si>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</si>
  <si>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</si>
  <si>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</si>
  <si>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</si>
  <si>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</si>
  <si>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</si>
  <si>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</si>
  <si>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</si>
  <si>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</si>
  <si>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</si>
  <si>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</si>
  <si>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</si>
  <si>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</si>
  <si>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</si>
  <si>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</si>
  <si>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</si>
  <si>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</si>
  <si>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</si>
  <si>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</si>
  <si>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</si>
  <si>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</si>
  <si>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</si>
  <si>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</si>
  <si>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</si>
  <si>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</si>
  <si>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</si>
  <si>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</si>
  <si>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</si>
  <si>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</si>
  <si>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</si>
  <si>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</si>
  <si>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</si>
  <si>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</si>
  <si>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</si>
  <si>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</si>
  <si>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</si>
  <si>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</si>
  <si>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</si>
  <si>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</si>
  <si>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</si>
  <si>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</si>
  <si>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</si>
  <si>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</si>
  <si>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</si>
  <si>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</si>
  <si>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</si>
  <si>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</si>
  <si>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</si>
  <si>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</si>
  <si>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</si>
  <si>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</si>
  <si>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</si>
  <si>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</si>
  <si>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</si>
  <si>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</si>
  <si>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</si>
  <si>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</si>
  <si>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</si>
  <si>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</si>
  <si>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</si>
  <si>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1E+41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</si>
  <si>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</si>
  <si>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</si>
  <si>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</si>
  <si>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</si>
  <si>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</si>
  <si>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</si>
  <si>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</si>
  <si>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</si>
  <si>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</si>
  <si>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1E+43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</si>
  <si>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</si>
  <si>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</si>
  <si>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</si>
  <si>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</si>
  <si>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</si>
  <si>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</si>
  <si>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</si>
  <si>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</si>
  <si>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</si>
  <si>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1E+45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</si>
  <si>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</si>
  <si>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</si>
  <si>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</si>
  <si>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</si>
  <si>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</si>
  <si>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</si>
  <si>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</si>
  <si>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</si>
  <si>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1E+47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</si>
  <si>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</si>
  <si>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</si>
  <si>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</si>
  <si>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</si>
  <si>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</si>
  <si>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</si>
  <si>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</si>
  <si>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</si>
  <si>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1E+49</t>
  </si>
  <si>
    <t>1E+5</t>
  </si>
  <si>
    <t>16000000000000</t>
  </si>
  <si>
    <t>10180</t>
  </si>
  <si>
    <t>1180</t>
  </si>
  <si>
    <t>混沌雪王</t>
  </si>
  <si>
    <t>1E+106</t>
  </si>
  <si>
    <t>1E+131</t>
  </si>
  <si>
    <t>1E+161</t>
  </si>
  <si>
    <t>1E+51</t>
  </si>
  <si>
    <t>1E+7</t>
  </si>
  <si>
    <t>1E+94</t>
  </si>
  <si>
    <t>16500000000000</t>
  </si>
  <si>
    <t>10181</t>
  </si>
  <si>
    <t>1181</t>
  </si>
  <si>
    <t>混沌蝠王</t>
  </si>
  <si>
    <t>1E+109</t>
  </si>
  <si>
    <t>1E+134</t>
  </si>
  <si>
    <t>1E+164</t>
  </si>
  <si>
    <t>1E+53</t>
  </si>
  <si>
    <t>1E+9</t>
  </si>
  <si>
    <t>1E+97</t>
  </si>
  <si>
    <t>17000000000000</t>
  </si>
  <si>
    <t>10182</t>
  </si>
  <si>
    <t>1182</t>
  </si>
  <si>
    <t>混沌骷髅王</t>
  </si>
  <si>
    <t>1E+112</t>
  </si>
  <si>
    <t>1E+137</t>
  </si>
  <si>
    <t>1E+167</t>
  </si>
  <si>
    <t>1E+55</t>
  </si>
  <si>
    <t>1E+11</t>
  </si>
  <si>
    <t>1E+100</t>
  </si>
  <si>
    <t>17500000000000</t>
  </si>
  <si>
    <t>10183</t>
  </si>
  <si>
    <t>1183</t>
  </si>
  <si>
    <t>混沌尸王</t>
  </si>
  <si>
    <t>1E+115</t>
  </si>
  <si>
    <t>1E+140</t>
  </si>
  <si>
    <t>1E+170</t>
  </si>
  <si>
    <t>1E+57</t>
  </si>
  <si>
    <t>1E+13</t>
  </si>
  <si>
    <t>18000000000000</t>
  </si>
  <si>
    <t>10184</t>
  </si>
  <si>
    <t>1184</t>
  </si>
  <si>
    <t>混沌蛇王</t>
  </si>
  <si>
    <t>1E+118</t>
  </si>
  <si>
    <t>1E+173</t>
  </si>
  <si>
    <t>1E+59</t>
  </si>
  <si>
    <t>1E+15</t>
  </si>
  <si>
    <t>18500000000000</t>
  </si>
  <si>
    <t>10185</t>
  </si>
  <si>
    <t>1185</t>
  </si>
  <si>
    <t>混沌狼王</t>
  </si>
  <si>
    <t>1E+120</t>
  </si>
  <si>
    <t>1E+176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</si>
  <si>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</si>
  <si>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</si>
  <si>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</si>
  <si>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</si>
  <si>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</si>
  <si>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</si>
  <si>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</si>
  <si>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</si>
  <si>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1E+63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</si>
  <si>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</si>
  <si>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</si>
  <si>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</si>
  <si>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</si>
  <si>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</si>
  <si>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</si>
  <si>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</si>
  <si>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</si>
  <si>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1E+65</t>
  </si>
  <si>
    <t>1E+21</t>
  </si>
  <si>
    <t>20000000000000</t>
  </si>
  <si>
    <t>10188</t>
  </si>
  <si>
    <t>1188</t>
  </si>
  <si>
    <t>混沌角虫王</t>
  </si>
  <si>
    <t>1E+185</t>
  </si>
  <si>
    <t>1E+67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</si>
  <si>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</si>
  <si>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</si>
  <si>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</si>
  <si>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</si>
  <si>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</si>
  <si>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</si>
  <si>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</si>
  <si>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</si>
  <si>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1E+69</t>
  </si>
  <si>
    <t>1E+25</t>
  </si>
  <si>
    <t>1E+116</t>
  </si>
  <si>
    <t>10190</t>
  </si>
  <si>
    <t>1190</t>
  </si>
  <si>
    <t>混沌钳虫王</t>
  </si>
  <si>
    <t>1E+130</t>
  </si>
  <si>
    <t>1E+190</t>
  </si>
  <si>
    <t>1E+70</t>
  </si>
  <si>
    <t>1E+28</t>
  </si>
  <si>
    <t>23000000000000</t>
  </si>
  <si>
    <t>10191</t>
  </si>
  <si>
    <t>1191</t>
  </si>
  <si>
    <t>混沌蠕虫王</t>
  </si>
  <si>
    <t>1E+132</t>
  </si>
  <si>
    <t>1E+192</t>
  </si>
  <si>
    <t>1E+71</t>
  </si>
  <si>
    <t>1E+31</t>
  </si>
  <si>
    <t>24000000000000</t>
  </si>
  <si>
    <t>10192</t>
  </si>
  <si>
    <t>1192</t>
  </si>
  <si>
    <t>混沌猪王</t>
  </si>
  <si>
    <t>1E+194</t>
  </si>
  <si>
    <t>1E+72</t>
  </si>
  <si>
    <t>1E+34</t>
  </si>
  <si>
    <t>25000000000000</t>
  </si>
  <si>
    <t>10193</t>
  </si>
  <si>
    <t>1193</t>
  </si>
  <si>
    <t>混沌猪皇</t>
  </si>
  <si>
    <t>1E+136</t>
  </si>
  <si>
    <t>1E+196</t>
  </si>
  <si>
    <t>1E+73</t>
  </si>
  <si>
    <t>1E+37</t>
  </si>
  <si>
    <t>26000000000000</t>
  </si>
  <si>
    <t>10194</t>
  </si>
  <si>
    <t>1194</t>
  </si>
  <si>
    <t>混沌蝎王</t>
  </si>
  <si>
    <t>1E+138</t>
  </si>
  <si>
    <t>1E+198</t>
  </si>
  <si>
    <t>1E+74</t>
  </si>
  <si>
    <t>1E+40</t>
  </si>
  <si>
    <t>27000000000000</t>
  </si>
  <si>
    <t>10195</t>
  </si>
  <si>
    <t>1195</t>
  </si>
  <si>
    <t>混沌恶魔教主</t>
  </si>
  <si>
    <t>1E+200</t>
  </si>
  <si>
    <t>28000000000000</t>
  </si>
  <si>
    <t>10196</t>
  </si>
  <si>
    <t>1196</t>
  </si>
  <si>
    <t>混沌恶魔教皇</t>
  </si>
  <si>
    <t>1E+142</t>
  </si>
  <si>
    <t>1E+202</t>
  </si>
  <si>
    <t>1E+76</t>
  </si>
  <si>
    <t>1E+46</t>
  </si>
  <si>
    <t>29000000000000</t>
  </si>
  <si>
    <t>10197</t>
  </si>
  <si>
    <t>1197</t>
  </si>
  <si>
    <t>混沌邪魔教主</t>
  </si>
  <si>
    <t>1E+144</t>
  </si>
  <si>
    <t>1E+204</t>
  </si>
  <si>
    <t>1E+77</t>
  </si>
  <si>
    <t>10198</t>
  </si>
  <si>
    <t>1198</t>
  </si>
  <si>
    <t>混沌邪魔教皇</t>
  </si>
  <si>
    <t>1E+146</t>
  </si>
  <si>
    <t>1E+206</t>
  </si>
  <si>
    <t>1E+78</t>
  </si>
  <si>
    <t>1E+52</t>
  </si>
  <si>
    <t>31000000000000</t>
  </si>
  <si>
    <t>10199</t>
  </si>
  <si>
    <t>1199</t>
  </si>
  <si>
    <t>混沌虹魔猪王</t>
  </si>
  <si>
    <t>1E+148</t>
  </si>
  <si>
    <t>1E+208</t>
  </si>
  <si>
    <t>32000000000000</t>
  </si>
  <si>
    <t>10200</t>
  </si>
  <si>
    <t>1200</t>
  </si>
  <si>
    <t>混沌烈焰王</t>
  </si>
  <si>
    <t>1E+150</t>
  </si>
  <si>
    <t>1E+210</t>
  </si>
  <si>
    <t>1E+80</t>
  </si>
  <si>
    <t>1E+58</t>
  </si>
  <si>
    <t>33000000000000</t>
  </si>
  <si>
    <t>10201</t>
  </si>
  <si>
    <t>1201</t>
  </si>
  <si>
    <t>混沌大邪王</t>
  </si>
  <si>
    <t>1E+152</t>
  </si>
  <si>
    <t>1E+212</t>
  </si>
  <si>
    <t>1E+81</t>
  </si>
  <si>
    <t>34000000000000</t>
  </si>
  <si>
    <t>10202</t>
  </si>
  <si>
    <t>1202</t>
  </si>
  <si>
    <t>混沌尸魔王</t>
  </si>
  <si>
    <t>1E+154</t>
  </si>
  <si>
    <t>1E+214</t>
  </si>
  <si>
    <t>1E+82</t>
  </si>
  <si>
    <t>1E+64</t>
  </si>
  <si>
    <t>35000000000000</t>
  </si>
  <si>
    <t>10203</t>
  </si>
  <si>
    <t>1203</t>
  </si>
  <si>
    <t>混沌骨魔王</t>
  </si>
  <si>
    <t>1E+156</t>
  </si>
  <si>
    <t>1E+216</t>
  </si>
  <si>
    <t>36000000000000</t>
  </si>
  <si>
    <t>10204</t>
  </si>
  <si>
    <t>1204</t>
  </si>
  <si>
    <t>混沌牛魔王</t>
  </si>
  <si>
    <t>1E+218</t>
  </si>
  <si>
    <t>1E+84</t>
  </si>
  <si>
    <t>37000000000000</t>
  </si>
  <si>
    <t>#</t>
  </si>
  <si>
    <t>10205</t>
  </si>
  <si>
    <t>1205</t>
  </si>
  <si>
    <t>混沌水龙王</t>
  </si>
  <si>
    <t>9E+112</t>
  </si>
  <si>
    <t>512E+166</t>
  </si>
  <si>
    <t>64E+70</t>
  </si>
  <si>
    <t>64E+98</t>
  </si>
  <si>
    <t>10206</t>
  </si>
  <si>
    <t>1206</t>
  </si>
  <si>
    <t>混沌土龙王</t>
  </si>
  <si>
    <t>9E+113</t>
  </si>
  <si>
    <t>512E+167</t>
  </si>
  <si>
    <t>64E+71</t>
  </si>
  <si>
    <t>64E+99</t>
  </si>
  <si>
    <t>10207</t>
  </si>
  <si>
    <t>1207</t>
  </si>
  <si>
    <t>混沌毒龙王</t>
  </si>
  <si>
    <t>9E+114</t>
  </si>
  <si>
    <t>512E+168</t>
  </si>
  <si>
    <t>64E+72</t>
  </si>
  <si>
    <t>64E+100</t>
  </si>
  <si>
    <t>10208</t>
  </si>
  <si>
    <t>1208</t>
  </si>
  <si>
    <t>混沌火龙王</t>
  </si>
  <si>
    <t>9E+115</t>
  </si>
  <si>
    <t>512E+169</t>
  </si>
  <si>
    <t>64E+73</t>
  </si>
  <si>
    <t>64E+101</t>
  </si>
  <si>
    <t>10209</t>
  </si>
  <si>
    <t>1209</t>
  </si>
  <si>
    <t>混沌冰龙王</t>
  </si>
  <si>
    <t>9E+116</t>
  </si>
  <si>
    <t>512E+170</t>
  </si>
  <si>
    <t>64E+74</t>
  </si>
  <si>
    <t>64E+102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</si>
</sst>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Font="1"/>
    <xf numFmtId="0" fontId="3" fillId="0" borderId="0" xfId="0" applyNumberFormat="1" applyFont="1" applyFill="1"/>
    <xf numFmtId="0" fontId="3" fillId="0" borderId="0" xfId="0" applyNumberFormat="1" applyFont="1"/>
    <xf numFmtId="0" fontId="3" fillId="2" borderId="0" xfId="0" applyFont="1" applyFill="1"/>
    <xf numFmtId="0" fontId="4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1" fillId="0" borderId="0" xfId="0" applyNumberFormat="1" applyFont="1" applyFill="1"/>
    <xf numFmtId="49" fontId="1" fillId="0" borderId="0" xfId="0" applyNumberFormat="1" applyFont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2" fillId="0" borderId="0" xfId="0" applyNumberFormat="1" applyFont="1"/>
    <xf numFmtId="176" fontId="2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0" fontId="3" fillId="0" borderId="0" xfId="0" applyNumberFormat="1" applyFont="1" applyFill="1"/>
    <xf numFmtId="176" fontId="3" fillId="0" borderId="0" xfId="0" applyNumberFormat="1" applyFont="1" applyFill="1" applyAlignment="1">
      <alignment horizontal="left"/>
    </xf>
    <xf numFmtId="0" fontId="3" fillId="0" borderId="0" xfId="0" applyFont="1" applyFill="1"/>
    <xf numFmtId="176" fontId="3" fillId="0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1" fillId="0" borderId="0" xfId="0" applyFont="1" applyFill="1"/>
    <xf numFmtId="0" fontId="3" fillId="0" borderId="0" xfId="0" applyFont="1" applyFill="1"/>
    <xf numFmtId="0" fontId="3" fillId="0" borderId="0" xfId="0" applyNumberFormat="1" applyFont="1" applyFill="1"/>
    <xf numFmtId="0" fontId="3" fillId="2" borderId="0" xfId="0" applyNumberFormat="1" applyFont="1" applyFill="1"/>
    <xf numFmtId="176" fontId="3" fillId="2" borderId="0" xfId="0" applyNumberFormat="1" applyFont="1" applyFill="1" applyAlignment="1">
      <alignment horizontal="left"/>
    </xf>
    <xf numFmtId="0" fontId="4" fillId="0" borderId="0" xfId="0" applyNumberFormat="1" applyFont="1"/>
    <xf numFmtId="176" fontId="4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176" fontId="3" fillId="0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0" fontId="3" fillId="2" borderId="0" xfId="0" applyFont="1" applyFill="1" quotePrefix="1"/>
    <xf numFmtId="176" fontId="3" fillId="2" borderId="0" xfId="0" applyNumberFormat="1" applyFont="1" applyFill="1" applyAlignment="1" quotePrefix="1">
      <alignment horizontal="left"/>
    </xf>
    <xf numFmtId="0" fontId="4" fillId="0" borderId="0" xfId="0" applyFont="1" quotePrefix="1"/>
    <xf numFmtId="176" fontId="4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topLeftCell="A176" workbookViewId="0">
      <selection activeCell="P222" sqref="P222"/>
    </sheetView>
  </sheetViews>
  <sheetFormatPr defaultColWidth="9" defaultRowHeight="18" customHeight="1"/>
  <cols>
    <col min="1" max="1" width="6.875" style="12" customWidth="1"/>
    <col min="2" max="2" width="9" style="1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12" customWidth="1"/>
    <col min="8" max="8" width="23" style="12" customWidth="1"/>
    <col min="9" max="9" width="22.625" style="12" customWidth="1"/>
    <col min="10" max="10" width="16" style="12" customWidth="1"/>
    <col min="11" max="11" width="12.125" style="12" customWidth="1"/>
    <col min="12" max="12" width="11.75" style="12" customWidth="1"/>
    <col min="13" max="13" width="15.875" style="12" customWidth="1"/>
    <col min="14" max="17" width="12.125" style="12" customWidth="1"/>
    <col min="18" max="18" width="9.625" style="12" customWidth="1"/>
    <col min="19" max="19" width="7.50833333333333" style="12" customWidth="1"/>
    <col min="20" max="20" width="7.125" style="12" customWidth="1"/>
    <col min="21" max="21" width="16.375" style="12" customWidth="1"/>
    <col min="22" max="22" width="13" style="12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12"/>
  </cols>
  <sheetData>
    <row r="1" s="1" customFormat="1" customHeight="1" spans="1:26">
      <c r="A1" s="12"/>
      <c r="B1" s="12"/>
      <c r="G1" s="13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</row>
    <row r="2" s="1" customFormat="1" customHeight="1" spans="1:26">
      <c r="A2" s="12"/>
      <c r="B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</row>
    <row r="3" s="1" customFormat="1" customHeight="1" spans="1:26">
      <c r="A3" s="12"/>
      <c r="B3" s="12"/>
      <c r="C3" s="14" t="s">
        <v>0</v>
      </c>
      <c r="D3" s="14" t="s">
        <v>1</v>
      </c>
      <c r="E3" s="14" t="s">
        <v>2</v>
      </c>
      <c r="F3" s="14" t="s">
        <v>3</v>
      </c>
      <c r="G3" s="14" t="s">
        <v>4</v>
      </c>
      <c r="H3" s="14" t="s">
        <v>5</v>
      </c>
      <c r="I3" s="14" t="s">
        <v>6</v>
      </c>
      <c r="J3" s="14" t="s">
        <v>7</v>
      </c>
      <c r="K3" s="14" t="s">
        <v>8</v>
      </c>
      <c r="L3" s="14" t="s">
        <v>9</v>
      </c>
      <c r="M3" s="14" t="s">
        <v>10</v>
      </c>
      <c r="N3" s="14" t="s">
        <v>11</v>
      </c>
      <c r="O3" s="14" t="s">
        <v>12</v>
      </c>
      <c r="P3" s="14" t="s">
        <v>13</v>
      </c>
      <c r="Q3" s="14" t="s">
        <v>14</v>
      </c>
      <c r="R3" s="14" t="s">
        <v>15</v>
      </c>
      <c r="S3" s="14" t="s">
        <v>16</v>
      </c>
      <c r="T3" s="14" t="s">
        <v>17</v>
      </c>
      <c r="U3" s="14" t="s">
        <v>18</v>
      </c>
      <c r="V3" s="14" t="s">
        <v>19</v>
      </c>
      <c r="W3" s="15" t="s">
        <v>20</v>
      </c>
      <c r="X3" s="15" t="s">
        <v>21</v>
      </c>
      <c r="Y3" s="15" t="s">
        <v>22</v>
      </c>
    </row>
    <row r="4" s="1" customFormat="1" customHeight="1" spans="1:26">
      <c r="A4" s="12"/>
      <c r="B4" s="12"/>
      <c r="C4" s="14" t="s">
        <v>23</v>
      </c>
      <c r="D4" s="14" t="s">
        <v>24</v>
      </c>
      <c r="E4" s="14" t="s">
        <v>2</v>
      </c>
      <c r="F4" s="14" t="s">
        <v>25</v>
      </c>
      <c r="G4" s="14" t="s">
        <v>26</v>
      </c>
      <c r="H4" s="14" t="s">
        <v>27</v>
      </c>
      <c r="I4" s="14" t="s">
        <v>28</v>
      </c>
      <c r="J4" s="14" t="s">
        <v>7</v>
      </c>
      <c r="K4" s="14" t="s">
        <v>8</v>
      </c>
      <c r="L4" s="14" t="s">
        <v>9</v>
      </c>
      <c r="M4" s="14" t="s">
        <v>10</v>
      </c>
      <c r="N4" s="14" t="s">
        <v>11</v>
      </c>
      <c r="O4" s="14" t="s">
        <v>12</v>
      </c>
      <c r="P4" s="14" t="s">
        <v>13</v>
      </c>
      <c r="Q4" s="14" t="s">
        <v>14</v>
      </c>
      <c r="R4" s="14" t="s">
        <v>15</v>
      </c>
      <c r="S4" s="14" t="s">
        <v>16</v>
      </c>
      <c r="T4" s="14" t="s">
        <v>17</v>
      </c>
      <c r="U4" s="14" t="s">
        <v>29</v>
      </c>
      <c r="V4" s="14" t="s">
        <v>30</v>
      </c>
      <c r="W4" s="15" t="s">
        <v>31</v>
      </c>
      <c r="X4" s="15" t="s">
        <v>32</v>
      </c>
      <c r="Y4" s="15" t="s">
        <v>33</v>
      </c>
    </row>
    <row r="5" s="1" customFormat="1" customHeight="1" spans="1:26">
      <c r="A5" s="12"/>
      <c r="B5" s="12"/>
      <c r="C5" s="14" t="s">
        <v>34</v>
      </c>
      <c r="D5" s="14" t="s">
        <v>34</v>
      </c>
      <c r="E5" s="14" t="s">
        <v>34</v>
      </c>
      <c r="F5" s="14" t="s">
        <v>35</v>
      </c>
      <c r="G5" s="14" t="s">
        <v>35</v>
      </c>
      <c r="H5" s="14" t="s">
        <v>35</v>
      </c>
      <c r="I5" s="14" t="s">
        <v>35</v>
      </c>
      <c r="J5" s="14" t="s">
        <v>35</v>
      </c>
      <c r="K5" s="14" t="s">
        <v>35</v>
      </c>
      <c r="L5" s="14" t="s">
        <v>35</v>
      </c>
      <c r="M5" s="14" t="s">
        <v>34</v>
      </c>
      <c r="N5" s="14" t="s">
        <v>34</v>
      </c>
      <c r="O5" s="14" t="s">
        <v>34</v>
      </c>
      <c r="P5" s="14" t="s">
        <v>34</v>
      </c>
      <c r="Q5" s="14" t="s">
        <v>34</v>
      </c>
      <c r="R5" s="14" t="s">
        <v>34</v>
      </c>
      <c r="S5" s="14" t="s">
        <v>34</v>
      </c>
      <c r="T5" s="14" t="s">
        <v>36</v>
      </c>
      <c r="U5" s="14" t="s">
        <v>37</v>
      </c>
      <c r="V5" s="14" t="s">
        <v>37</v>
      </c>
      <c r="W5" s="15" t="s">
        <v>38</v>
      </c>
      <c r="X5" s="15" t="s">
        <v>38</v>
      </c>
      <c r="Y5" s="15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39" t="s">
        <v>42</v>
      </c>
      <c r="H6" s="39" t="s">
        <v>43</v>
      </c>
      <c r="I6" s="39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6">
        <v>0</v>
      </c>
      <c r="S6" s="16">
        <v>0</v>
      </c>
      <c r="T6" s="16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6">
        <v>0</v>
      </c>
      <c r="S7" s="16">
        <v>0</v>
      </c>
      <c r="T7" s="16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6">
        <v>0</v>
      </c>
      <c r="S8" s="16">
        <v>0</v>
      </c>
      <c r="T8" s="16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6">
        <v>0</v>
      </c>
      <c r="S9" s="16">
        <v>0</v>
      </c>
      <c r="T9" s="16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6">
        <v>0</v>
      </c>
      <c r="S10" s="16">
        <v>0</v>
      </c>
      <c r="T10" s="16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6">
        <v>0</v>
      </c>
      <c r="S11" s="16">
        <v>0</v>
      </c>
      <c r="T11" s="16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6">
        <v>0</v>
      </c>
      <c r="S12" s="16">
        <v>0</v>
      </c>
      <c r="T12" s="16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6">
        <v>0</v>
      </c>
      <c r="S13" s="16">
        <v>0</v>
      </c>
      <c r="T13" s="16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6">
        <v>0</v>
      </c>
      <c r="S14" s="16">
        <v>0</v>
      </c>
      <c r="T14" s="16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6">
        <v>0</v>
      </c>
      <c r="S15" s="16">
        <v>0</v>
      </c>
      <c r="T15" s="16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6">
        <v>0</v>
      </c>
      <c r="S16" s="16">
        <v>0</v>
      </c>
      <c r="T16" s="16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6">
        <v>0</v>
      </c>
      <c r="S17" s="16">
        <v>0</v>
      </c>
      <c r="T17" s="16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6">
        <v>0</v>
      </c>
      <c r="S18" s="16">
        <v>0</v>
      </c>
      <c r="T18" s="16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6">
        <v>0</v>
      </c>
      <c r="S19" s="16">
        <v>0</v>
      </c>
      <c r="T19" s="16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6">
        <v>0</v>
      </c>
      <c r="S20" s="16">
        <v>0</v>
      </c>
      <c r="T20" s="16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6">
        <v>0</v>
      </c>
      <c r="S21" s="16">
        <v>0</v>
      </c>
      <c r="T21" s="16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6">
        <v>0</v>
      </c>
      <c r="S22" s="16">
        <v>0</v>
      </c>
      <c r="T22" s="16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6">
        <v>0</v>
      </c>
      <c r="S23" s="16">
        <v>0</v>
      </c>
      <c r="T23" s="16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6">
        <v>0</v>
      </c>
      <c r="S24" s="16">
        <v>0</v>
      </c>
      <c r="T24" s="16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6">
        <v>0</v>
      </c>
      <c r="S25" s="16">
        <v>0</v>
      </c>
      <c r="T25" s="16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6">
        <v>0</v>
      </c>
      <c r="S26" s="16">
        <v>0</v>
      </c>
      <c r="T26" s="16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6">
        <v>0</v>
      </c>
      <c r="S27" s="16">
        <v>0</v>
      </c>
      <c r="T27" s="16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6">
        <v>0</v>
      </c>
      <c r="S28" s="16">
        <v>0</v>
      </c>
      <c r="T28" s="16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6">
        <v>0</v>
      </c>
      <c r="S29" s="16">
        <v>0</v>
      </c>
      <c r="T29" s="16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6">
        <v>0</v>
      </c>
      <c r="S30" s="16">
        <v>0</v>
      </c>
      <c r="T30" s="16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6">
        <v>0</v>
      </c>
      <c r="S31" s="16">
        <v>0</v>
      </c>
      <c r="T31" s="16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6">
        <v>0</v>
      </c>
      <c r="S32" s="16">
        <v>0</v>
      </c>
      <c r="T32" s="16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6">
        <v>0</v>
      </c>
      <c r="S33" s="16">
        <v>0</v>
      </c>
      <c r="T33" s="16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6">
        <v>0</v>
      </c>
      <c r="S34" s="16">
        <v>0</v>
      </c>
      <c r="T34" s="16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6">
        <v>0</v>
      </c>
      <c r="S35" s="16">
        <v>0</v>
      </c>
      <c r="T35" s="16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6">
        <v>0</v>
      </c>
      <c r="S36" s="16">
        <v>0</v>
      </c>
      <c r="T36" s="16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6">
        <v>0</v>
      </c>
      <c r="S37" s="16">
        <v>0</v>
      </c>
      <c r="T37" s="16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6">
        <v>0</v>
      </c>
      <c r="S38" s="16">
        <v>0</v>
      </c>
      <c r="T38" s="16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6">
        <v>0</v>
      </c>
      <c r="S39" s="16">
        <v>0</v>
      </c>
      <c r="T39" s="16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39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6">
        <v>0</v>
      </c>
      <c r="S40" s="16">
        <v>0</v>
      </c>
      <c r="T40" s="16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12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6">
        <v>0</v>
      </c>
      <c r="S41" s="16">
        <v>0</v>
      </c>
      <c r="T41" s="16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12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6">
        <v>0</v>
      </c>
      <c r="S42" s="16">
        <v>0</v>
      </c>
      <c r="T42" s="16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12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6">
        <v>0</v>
      </c>
      <c r="S43" s="16">
        <v>0</v>
      </c>
      <c r="T43" s="16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12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6">
        <v>0</v>
      </c>
      <c r="S44" s="16">
        <v>0</v>
      </c>
      <c r="T44" s="16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12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6">
        <v>0</v>
      </c>
      <c r="S45" s="16">
        <v>0</v>
      </c>
      <c r="T45" s="16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12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6">
        <v>0</v>
      </c>
      <c r="S46" s="16">
        <v>0</v>
      </c>
      <c r="T46" s="16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12"/>
      <c r="AA46" s="12"/>
    </row>
    <row r="47" s="1" customFormat="1" hidden="1" customHeight="1" spans="1:27">
      <c r="A47" s="12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6">
        <v>0</v>
      </c>
      <c r="S47" s="16">
        <v>0</v>
      </c>
      <c r="T47" s="16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12"/>
      <c r="AA47" s="12"/>
    </row>
    <row r="48" s="1" customFormat="1" hidden="1" customHeight="1" spans="1:27">
      <c r="A48" s="12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6">
        <v>0</v>
      </c>
      <c r="S48" s="16">
        <v>0</v>
      </c>
      <c r="T48" s="16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12"/>
      <c r="AA48" s="12"/>
    </row>
    <row r="49" s="1" customFormat="1" hidden="1" customHeight="1" spans="1:27">
      <c r="A49" s="12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6">
        <v>0</v>
      </c>
      <c r="S49" s="16">
        <v>0</v>
      </c>
      <c r="T49" s="16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12"/>
      <c r="AA49" s="12"/>
    </row>
    <row r="50" s="1" customFormat="1" hidden="1" customHeight="1" spans="1:27">
      <c r="A50" s="12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6">
        <v>0</v>
      </c>
      <c r="S50" s="16">
        <v>0</v>
      </c>
      <c r="T50" s="16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12"/>
      <c r="AA50" s="12"/>
    </row>
    <row r="51" s="1" customFormat="1" hidden="1" customHeight="1" spans="1:27">
      <c r="A51" s="12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6">
        <v>0</v>
      </c>
      <c r="S51" s="16">
        <v>0</v>
      </c>
      <c r="T51" s="16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12"/>
      <c r="AA51" s="12"/>
    </row>
    <row r="52" s="1" customFormat="1" hidden="1" customHeight="1" spans="1:27">
      <c r="A52" s="12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6">
        <v>0</v>
      </c>
      <c r="S52" s="16">
        <v>0</v>
      </c>
      <c r="T52" s="16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12"/>
      <c r="AA52" s="12"/>
    </row>
    <row r="53" s="1" customFormat="1" hidden="1" customHeight="1" spans="1:27">
      <c r="A53" s="12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6">
        <v>0</v>
      </c>
      <c r="S53" s="16">
        <v>0</v>
      </c>
      <c r="T53" s="16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12"/>
      <c r="AA53" s="12"/>
    </row>
    <row r="54" s="1" customFormat="1" hidden="1" customHeight="1" spans="1:27">
      <c r="A54" s="12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6">
        <v>0</v>
      </c>
      <c r="S54" s="16">
        <v>0</v>
      </c>
      <c r="T54" s="16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12"/>
      <c r="AA54" s="12"/>
    </row>
    <row r="55" s="1" customFormat="1" hidden="1" customHeight="1" spans="1:27">
      <c r="A55" s="12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6">
        <v>0</v>
      </c>
      <c r="S55" s="16">
        <v>0</v>
      </c>
      <c r="T55" s="16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12"/>
      <c r="AA55" s="12"/>
    </row>
    <row r="56" s="1" customFormat="1" hidden="1" customHeight="1" spans="1:27">
      <c r="A56" s="12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6">
        <v>0</v>
      </c>
      <c r="S56" s="16">
        <v>0</v>
      </c>
      <c r="T56" s="16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12"/>
      <c r="AA56" s="12"/>
    </row>
    <row r="57" s="1" customFormat="1" hidden="1" customHeight="1" spans="1:27">
      <c r="A57" s="12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6">
        <v>0</v>
      </c>
      <c r="S57" s="16">
        <v>0</v>
      </c>
      <c r="T57" s="16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12"/>
      <c r="AA57" s="12"/>
    </row>
    <row r="58" s="1" customFormat="1" hidden="1" customHeight="1" spans="1:27">
      <c r="A58" s="12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6">
        <v>0</v>
      </c>
      <c r="S58" s="16">
        <v>0</v>
      </c>
      <c r="T58" s="16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12"/>
      <c r="AA58" s="12"/>
    </row>
    <row r="59" s="1" customFormat="1" hidden="1" customHeight="1" spans="1:27">
      <c r="A59" s="12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6">
        <v>0</v>
      </c>
      <c r="S59" s="16">
        <v>0</v>
      </c>
      <c r="T59" s="16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12"/>
      <c r="AA59" s="12"/>
    </row>
    <row r="60" s="1" customFormat="1" hidden="1" customHeight="1" spans="1:27">
      <c r="A60" s="12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6">
        <v>0</v>
      </c>
      <c r="S60" s="16">
        <v>0</v>
      </c>
      <c r="T60" s="16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12"/>
      <c r="AA60" s="12"/>
    </row>
    <row r="61" s="1" customFormat="1" hidden="1" customHeight="1" spans="1:27">
      <c r="A61" s="12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6">
        <v>0</v>
      </c>
      <c r="S61" s="16">
        <v>0</v>
      </c>
      <c r="T61" s="16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12"/>
      <c r="AA61" s="12"/>
    </row>
    <row r="62" s="1" customFormat="1" hidden="1" customHeight="1" spans="1:27">
      <c r="A62" s="12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6">
        <v>0</v>
      </c>
      <c r="S62" s="16">
        <v>0</v>
      </c>
      <c r="T62" s="16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12"/>
      <c r="AA62" s="12"/>
    </row>
    <row r="63" s="1" customFormat="1" hidden="1" customHeight="1" spans="1:27">
      <c r="A63" s="12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6">
        <v>0</v>
      </c>
      <c r="S63" s="16">
        <v>0</v>
      </c>
      <c r="T63" s="16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12"/>
      <c r="AA63" s="12"/>
    </row>
    <row r="64" s="1" customFormat="1" hidden="1" customHeight="1" spans="1:27">
      <c r="A64" s="12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6">
        <v>0</v>
      </c>
      <c r="S64" s="16">
        <v>0</v>
      </c>
      <c r="T64" s="16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12"/>
      <c r="AA64" s="12"/>
    </row>
    <row r="65" s="1" customFormat="1" hidden="1" customHeight="1" spans="1:27">
      <c r="A65" s="12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39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6">
        <v>0</v>
      </c>
      <c r="S65" s="16">
        <v>0</v>
      </c>
      <c r="T65" s="16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12"/>
      <c r="AA65" s="12"/>
    </row>
    <row r="66" s="1" customFormat="1" hidden="1" customHeight="1" spans="1:27">
      <c r="A66" s="12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39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6">
        <v>0</v>
      </c>
      <c r="S66" s="16">
        <v>0</v>
      </c>
      <c r="T66" s="16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12"/>
      <c r="AA66" s="12"/>
    </row>
    <row r="67" s="1" customFormat="1" hidden="1" customHeight="1" spans="1:27">
      <c r="A67" s="12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39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6">
        <v>0</v>
      </c>
      <c r="S67" s="16">
        <v>0</v>
      </c>
      <c r="T67" s="16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12"/>
      <c r="AA67" s="12"/>
    </row>
    <row r="68" s="1" customFormat="1" hidden="1" customHeight="1" spans="1:27">
      <c r="A68" s="12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39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6">
        <v>0</v>
      </c>
      <c r="S68" s="16">
        <v>0</v>
      </c>
      <c r="T68" s="16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12"/>
      <c r="AA68" s="12"/>
    </row>
    <row r="69" s="1" customFormat="1" hidden="1" customHeight="1" spans="1:27">
      <c r="A69" s="12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39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6">
        <v>0</v>
      </c>
      <c r="S69" s="16">
        <v>0</v>
      </c>
      <c r="T69" s="16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12"/>
      <c r="AA69" s="12"/>
    </row>
    <row r="70" s="1" customFormat="1" hidden="1" customHeight="1" spans="1:27">
      <c r="A70" s="12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39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6">
        <v>0</v>
      </c>
      <c r="S70" s="16">
        <v>0</v>
      </c>
      <c r="T70" s="16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12"/>
      <c r="AA70" s="12"/>
    </row>
    <row r="71" s="1" customFormat="1" hidden="1" customHeight="1" spans="1:27">
      <c r="A71" s="12"/>
      <c r="C71" s="1" t="s">
        <v>502</v>
      </c>
      <c r="D71" s="1" t="s">
        <v>503</v>
      </c>
      <c r="E71" s="1">
        <v>2</v>
      </c>
      <c r="F71" s="1" t="s">
        <v>504</v>
      </c>
      <c r="G71" s="40" t="s">
        <v>505</v>
      </c>
      <c r="H71" s="39" t="s">
        <v>506</v>
      </c>
      <c r="I71" s="40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6">
        <v>0</v>
      </c>
      <c r="S71" s="16">
        <v>0</v>
      </c>
      <c r="T71" s="16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12"/>
      <c r="AA71" s="12"/>
    </row>
    <row r="72" s="1" customFormat="1" hidden="1" customHeight="1" spans="1:27">
      <c r="A72" s="12"/>
      <c r="C72" s="1" t="s">
        <v>509</v>
      </c>
      <c r="D72" s="1" t="s">
        <v>510</v>
      </c>
      <c r="E72" s="1">
        <v>2</v>
      </c>
      <c r="F72" s="1" t="s">
        <v>511</v>
      </c>
      <c r="G72" s="40" t="s">
        <v>512</v>
      </c>
      <c r="H72" s="39" t="s">
        <v>513</v>
      </c>
      <c r="I72" s="41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6">
        <v>0</v>
      </c>
      <c r="S72" s="16">
        <v>0</v>
      </c>
      <c r="T72" s="16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12"/>
      <c r="AA72" s="12"/>
    </row>
    <row r="73" s="1" customFormat="1" hidden="1" customHeight="1" spans="1:27">
      <c r="A73" s="12"/>
      <c r="C73" s="1" t="s">
        <v>516</v>
      </c>
      <c r="D73" s="1" t="s">
        <v>517</v>
      </c>
      <c r="E73" s="1">
        <v>2</v>
      </c>
      <c r="F73" s="1" t="s">
        <v>518</v>
      </c>
      <c r="G73" s="40" t="s">
        <v>519</v>
      </c>
      <c r="H73" s="39" t="s">
        <v>520</v>
      </c>
      <c r="I73" s="41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6">
        <v>0</v>
      </c>
      <c r="S73" s="16">
        <v>0</v>
      </c>
      <c r="T73" s="16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12"/>
      <c r="AA73" s="12"/>
    </row>
    <row r="74" s="1" customFormat="1" hidden="1" customHeight="1" spans="1:27">
      <c r="A74" s="12"/>
      <c r="C74" s="1" t="s">
        <v>523</v>
      </c>
      <c r="D74" s="1" t="s">
        <v>524</v>
      </c>
      <c r="E74" s="1">
        <v>2</v>
      </c>
      <c r="F74" s="1" t="s">
        <v>525</v>
      </c>
      <c r="G74" s="40" t="s">
        <v>526</v>
      </c>
      <c r="H74" s="39" t="s">
        <v>527</v>
      </c>
      <c r="I74" s="41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6">
        <v>0</v>
      </c>
      <c r="S74" s="16">
        <v>0</v>
      </c>
      <c r="T74" s="16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12"/>
      <c r="AA74" s="12"/>
    </row>
    <row r="75" s="1" customFormat="1" hidden="1" customHeight="1" spans="1:27">
      <c r="A75" s="12"/>
      <c r="C75" s="1" t="s">
        <v>530</v>
      </c>
      <c r="D75" s="1" t="s">
        <v>531</v>
      </c>
      <c r="E75" s="1">
        <v>2</v>
      </c>
      <c r="F75" s="1" t="s">
        <v>532</v>
      </c>
      <c r="G75" s="40" t="s">
        <v>533</v>
      </c>
      <c r="H75" s="39" t="s">
        <v>534</v>
      </c>
      <c r="I75" s="41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6">
        <v>0</v>
      </c>
      <c r="S75" s="16">
        <v>0</v>
      </c>
      <c r="T75" s="16">
        <v>0</v>
      </c>
      <c r="U75" s="1" t="s">
        <v>536</v>
      </c>
      <c r="V75" s="39" t="s">
        <v>536</v>
      </c>
      <c r="X75" s="1" t="s">
        <v>158</v>
      </c>
      <c r="Y75" s="1">
        <v>0</v>
      </c>
      <c r="Z75" s="12"/>
      <c r="AA75" s="12"/>
    </row>
    <row r="76" s="1" customFormat="1" hidden="1" customHeight="1" spans="1:27">
      <c r="A76" s="12"/>
      <c r="B76" s="12"/>
      <c r="C76" s="1" t="s">
        <v>537</v>
      </c>
      <c r="D76" s="1" t="s">
        <v>538</v>
      </c>
      <c r="E76" s="1">
        <v>3</v>
      </c>
      <c r="F76" s="1" t="s">
        <v>539</v>
      </c>
      <c r="G76" s="40" t="s">
        <v>540</v>
      </c>
      <c r="H76" s="39" t="s">
        <v>541</v>
      </c>
      <c r="I76" s="41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6">
        <v>0</v>
      </c>
      <c r="S76" s="16">
        <v>0</v>
      </c>
      <c r="T76" s="16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12"/>
      <c r="B77" s="12"/>
      <c r="C77" s="1" t="s">
        <v>543</v>
      </c>
      <c r="D77" s="1" t="s">
        <v>544</v>
      </c>
      <c r="E77" s="1">
        <v>3</v>
      </c>
      <c r="F77" s="1" t="s">
        <v>545</v>
      </c>
      <c r="G77" s="40" t="s">
        <v>546</v>
      </c>
      <c r="H77" s="39" t="s">
        <v>547</v>
      </c>
      <c r="I77" s="41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6">
        <v>0</v>
      </c>
      <c r="S77" s="16">
        <v>0</v>
      </c>
      <c r="T77" s="16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12"/>
      <c r="B78" s="12"/>
      <c r="C78" s="1" t="s">
        <v>549</v>
      </c>
      <c r="D78" s="1" t="s">
        <v>550</v>
      </c>
      <c r="E78" s="1">
        <v>3</v>
      </c>
      <c r="F78" s="1" t="s">
        <v>551</v>
      </c>
      <c r="G78" s="40" t="s">
        <v>552</v>
      </c>
      <c r="H78" s="39" t="s">
        <v>553</v>
      </c>
      <c r="I78" s="41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6">
        <v>0</v>
      </c>
      <c r="S78" s="16">
        <v>0</v>
      </c>
      <c r="T78" s="16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12"/>
      <c r="B79" s="12"/>
      <c r="C79" s="1" t="s">
        <v>555</v>
      </c>
      <c r="D79" s="1" t="s">
        <v>556</v>
      </c>
      <c r="E79" s="1">
        <v>3</v>
      </c>
      <c r="F79" s="1" t="s">
        <v>557</v>
      </c>
      <c r="G79" s="40" t="s">
        <v>558</v>
      </c>
      <c r="H79" s="39" t="s">
        <v>559</v>
      </c>
      <c r="I79" s="41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6">
        <v>0</v>
      </c>
      <c r="S79" s="16">
        <v>0</v>
      </c>
      <c r="T79" s="16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12"/>
      <c r="B80" s="12"/>
      <c r="C80" s="1" t="s">
        <v>561</v>
      </c>
      <c r="D80" s="1" t="s">
        <v>562</v>
      </c>
      <c r="E80" s="1">
        <v>3</v>
      </c>
      <c r="F80" s="1" t="s">
        <v>563</v>
      </c>
      <c r="G80" s="40" t="s">
        <v>564</v>
      </c>
      <c r="H80" s="39" t="s">
        <v>565</v>
      </c>
      <c r="I80" s="41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6">
        <v>0</v>
      </c>
      <c r="S80" s="16">
        <v>0</v>
      </c>
      <c r="T80" s="16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12"/>
      <c r="B81" s="12"/>
      <c r="C81" s="1" t="s">
        <v>567</v>
      </c>
      <c r="D81" s="1" t="s">
        <v>568</v>
      </c>
      <c r="E81" s="1">
        <v>3</v>
      </c>
      <c r="F81" s="1" t="s">
        <v>569</v>
      </c>
      <c r="G81" s="40" t="s">
        <v>570</v>
      </c>
      <c r="H81" s="39" t="s">
        <v>571</v>
      </c>
      <c r="I81" s="41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6">
        <v>0</v>
      </c>
      <c r="S81" s="16">
        <v>0</v>
      </c>
      <c r="T81" s="16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12"/>
      <c r="AA81" s="12"/>
    </row>
    <row r="82" s="1" customFormat="1" hidden="1" customHeight="1" spans="1:27">
      <c r="A82" s="12"/>
      <c r="B82" s="12"/>
      <c r="C82" s="1" t="s">
        <v>573</v>
      </c>
      <c r="D82" s="1" t="s">
        <v>574</v>
      </c>
      <c r="E82" s="1">
        <v>3</v>
      </c>
      <c r="F82" s="1" t="s">
        <v>575</v>
      </c>
      <c r="G82" s="40" t="s">
        <v>576</v>
      </c>
      <c r="H82" s="39" t="s">
        <v>577</v>
      </c>
      <c r="I82" s="41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6">
        <v>0</v>
      </c>
      <c r="S82" s="16">
        <v>0</v>
      </c>
      <c r="T82" s="16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12"/>
      <c r="AA82" s="12"/>
    </row>
    <row r="83" s="1" customFormat="1" hidden="1" customHeight="1" spans="1:27">
      <c r="A83" s="12"/>
      <c r="B83" s="12"/>
      <c r="C83" s="1" t="s">
        <v>579</v>
      </c>
      <c r="D83" s="1" t="s">
        <v>580</v>
      </c>
      <c r="E83" s="1">
        <v>3</v>
      </c>
      <c r="F83" s="1" t="s">
        <v>581</v>
      </c>
      <c r="G83" s="40" t="s">
        <v>582</v>
      </c>
      <c r="H83" s="39" t="s">
        <v>533</v>
      </c>
      <c r="I83" s="41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6">
        <v>0</v>
      </c>
      <c r="S83" s="16">
        <v>0</v>
      </c>
      <c r="T83" s="16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12"/>
      <c r="AA83" s="12"/>
    </row>
    <row r="84" s="1" customFormat="1" hidden="1" customHeight="1" spans="1:27">
      <c r="A84" s="12"/>
      <c r="B84" s="12"/>
      <c r="C84" s="1" t="s">
        <v>584</v>
      </c>
      <c r="D84" s="1" t="s">
        <v>585</v>
      </c>
      <c r="E84" s="1">
        <v>3</v>
      </c>
      <c r="F84" s="1" t="s">
        <v>586</v>
      </c>
      <c r="G84" s="40" t="s">
        <v>587</v>
      </c>
      <c r="H84" s="39" t="s">
        <v>588</v>
      </c>
      <c r="I84" s="41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6">
        <v>0</v>
      </c>
      <c r="S84" s="16">
        <v>0</v>
      </c>
      <c r="T84" s="16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12"/>
      <c r="AA84" s="12"/>
    </row>
    <row r="85" s="1" customFormat="1" hidden="1" customHeight="1" spans="1:27">
      <c r="A85" s="12"/>
      <c r="B85" s="12"/>
      <c r="C85" s="1" t="s">
        <v>590</v>
      </c>
      <c r="D85" s="1" t="s">
        <v>591</v>
      </c>
      <c r="E85" s="1">
        <v>3</v>
      </c>
      <c r="F85" s="1" t="s">
        <v>592</v>
      </c>
      <c r="G85" s="40" t="s">
        <v>465</v>
      </c>
      <c r="H85" s="39" t="s">
        <v>593</v>
      </c>
      <c r="I85" s="41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6">
        <v>0</v>
      </c>
      <c r="S85" s="16">
        <v>0</v>
      </c>
      <c r="T85" s="16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12"/>
      <c r="AA85" s="12"/>
    </row>
    <row r="86" s="1" customFormat="1" hidden="1" customHeight="1" spans="1:27">
      <c r="A86" s="12"/>
      <c r="B86" s="12"/>
      <c r="C86" s="1" t="s">
        <v>595</v>
      </c>
      <c r="D86" s="1" t="s">
        <v>596</v>
      </c>
      <c r="E86" s="1">
        <v>3</v>
      </c>
      <c r="F86" s="1" t="s">
        <v>597</v>
      </c>
      <c r="G86" s="40" t="s">
        <v>598</v>
      </c>
      <c r="H86" s="39" t="s">
        <v>599</v>
      </c>
      <c r="I86" s="41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6">
        <v>0</v>
      </c>
      <c r="S86" s="16">
        <v>0</v>
      </c>
      <c r="T86" s="16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12"/>
      <c r="AA86" s="12"/>
    </row>
    <row r="87" s="1" customFormat="1" hidden="1" customHeight="1" spans="1:27">
      <c r="A87" s="12"/>
      <c r="B87" s="12"/>
      <c r="C87" s="1" t="s">
        <v>601</v>
      </c>
      <c r="D87" s="1" t="s">
        <v>602</v>
      </c>
      <c r="E87" s="1">
        <v>3</v>
      </c>
      <c r="F87" s="1" t="s">
        <v>603</v>
      </c>
      <c r="G87" s="40" t="s">
        <v>604</v>
      </c>
      <c r="H87" s="39" t="s">
        <v>605</v>
      </c>
      <c r="I87" s="41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6">
        <v>0</v>
      </c>
      <c r="S87" s="16">
        <v>0</v>
      </c>
      <c r="T87" s="16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12"/>
      <c r="AA87" s="12"/>
    </row>
    <row r="88" s="1" customFormat="1" hidden="1" customHeight="1" spans="1:27">
      <c r="A88" s="12"/>
      <c r="B88" s="12"/>
      <c r="C88" s="1" t="s">
        <v>607</v>
      </c>
      <c r="D88" s="1" t="s">
        <v>608</v>
      </c>
      <c r="E88" s="1">
        <v>3</v>
      </c>
      <c r="F88" s="1" t="s">
        <v>609</v>
      </c>
      <c r="G88" s="40" t="s">
        <v>610</v>
      </c>
      <c r="H88" s="39" t="s">
        <v>611</v>
      </c>
      <c r="I88" s="41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6">
        <v>0</v>
      </c>
      <c r="S88" s="16">
        <v>0</v>
      </c>
      <c r="T88" s="16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12"/>
      <c r="AA88" s="12"/>
    </row>
    <row r="89" s="1" customFormat="1" hidden="1" customHeight="1" spans="1:27">
      <c r="A89" s="12"/>
      <c r="B89" s="12"/>
      <c r="C89" s="1" t="s">
        <v>613</v>
      </c>
      <c r="D89" s="1" t="s">
        <v>614</v>
      </c>
      <c r="E89" s="1">
        <v>3</v>
      </c>
      <c r="F89" s="1" t="s">
        <v>615</v>
      </c>
      <c r="G89" s="40" t="s">
        <v>616</v>
      </c>
      <c r="H89" s="39" t="s">
        <v>465</v>
      </c>
      <c r="I89" s="41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6">
        <v>0</v>
      </c>
      <c r="S89" s="16">
        <v>0</v>
      </c>
      <c r="T89" s="16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12"/>
      <c r="AA89" s="12"/>
    </row>
    <row r="90" s="1" customFormat="1" hidden="1" customHeight="1" spans="1:27">
      <c r="A90" s="12"/>
      <c r="B90" s="12"/>
      <c r="C90" s="1" t="s">
        <v>618</v>
      </c>
      <c r="D90" s="1" t="s">
        <v>619</v>
      </c>
      <c r="E90" s="1">
        <v>3</v>
      </c>
      <c r="F90" s="1" t="s">
        <v>620</v>
      </c>
      <c r="G90" s="40" t="s">
        <v>621</v>
      </c>
      <c r="H90" s="39" t="s">
        <v>622</v>
      </c>
      <c r="I90" s="41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6">
        <v>0</v>
      </c>
      <c r="S90" s="16">
        <v>0</v>
      </c>
      <c r="T90" s="16">
        <v>0</v>
      </c>
      <c r="U90" s="39" t="s">
        <v>624</v>
      </c>
      <c r="V90" s="39" t="s">
        <v>624</v>
      </c>
      <c r="X90" s="1" t="s">
        <v>158</v>
      </c>
      <c r="Y90" s="1">
        <v>0</v>
      </c>
      <c r="Z90" s="12"/>
      <c r="AA90" s="12"/>
    </row>
    <row r="91" s="1" customFormat="1" hidden="1" customHeight="1" spans="1:27">
      <c r="A91" s="12"/>
      <c r="B91" s="12"/>
      <c r="C91" s="1" t="s">
        <v>625</v>
      </c>
      <c r="D91" s="1" t="s">
        <v>626</v>
      </c>
      <c r="E91" s="1">
        <v>3</v>
      </c>
      <c r="F91" s="1" t="s">
        <v>627</v>
      </c>
      <c r="G91" s="40" t="s">
        <v>514</v>
      </c>
      <c r="H91" s="39" t="s">
        <v>628</v>
      </c>
      <c r="I91" s="41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6">
        <v>0</v>
      </c>
      <c r="S91" s="16">
        <v>0</v>
      </c>
      <c r="T91" s="16">
        <v>0</v>
      </c>
      <c r="U91" s="39" t="s">
        <v>630</v>
      </c>
      <c r="V91" s="39" t="s">
        <v>630</v>
      </c>
      <c r="X91" s="1" t="s">
        <v>158</v>
      </c>
      <c r="Y91" s="1">
        <v>0</v>
      </c>
      <c r="Z91" s="12"/>
      <c r="AA91" s="12"/>
    </row>
    <row r="92" s="1" customFormat="1" hidden="1" customHeight="1" spans="1:27">
      <c r="A92" s="12"/>
      <c r="B92" s="12"/>
      <c r="C92" s="1" t="s">
        <v>631</v>
      </c>
      <c r="D92" s="1" t="s">
        <v>632</v>
      </c>
      <c r="E92" s="1">
        <v>3</v>
      </c>
      <c r="F92" s="1" t="s">
        <v>633</v>
      </c>
      <c r="G92" s="40" t="s">
        <v>634</v>
      </c>
      <c r="H92" s="39" t="s">
        <v>635</v>
      </c>
      <c r="I92" s="41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6">
        <v>0</v>
      </c>
      <c r="S92" s="16">
        <v>0</v>
      </c>
      <c r="T92" s="16">
        <v>0</v>
      </c>
      <c r="U92" s="39" t="s">
        <v>637</v>
      </c>
      <c r="V92" s="39" t="s">
        <v>637</v>
      </c>
      <c r="X92" s="1" t="s">
        <v>158</v>
      </c>
      <c r="Y92" s="1">
        <v>0</v>
      </c>
      <c r="Z92" s="12"/>
      <c r="AA92" s="12"/>
    </row>
    <row r="93" s="1" customFormat="1" hidden="1" customHeight="1" spans="1:27">
      <c r="A93" s="12"/>
      <c r="B93" s="12"/>
      <c r="C93" s="1" t="s">
        <v>638</v>
      </c>
      <c r="D93" s="1" t="s">
        <v>639</v>
      </c>
      <c r="E93" s="1">
        <v>3</v>
      </c>
      <c r="F93" s="1" t="s">
        <v>640</v>
      </c>
      <c r="G93" s="40" t="s">
        <v>641</v>
      </c>
      <c r="H93" s="39" t="s">
        <v>642</v>
      </c>
      <c r="I93" s="41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6">
        <v>0</v>
      </c>
      <c r="S93" s="16">
        <v>0</v>
      </c>
      <c r="T93" s="16">
        <v>0</v>
      </c>
      <c r="U93" s="39" t="s">
        <v>644</v>
      </c>
      <c r="V93" s="39" t="s">
        <v>644</v>
      </c>
      <c r="X93" s="1" t="s">
        <v>158</v>
      </c>
      <c r="Y93" s="1">
        <v>0</v>
      </c>
      <c r="Z93" s="12"/>
      <c r="AA93" s="12"/>
    </row>
    <row r="94" s="1" customFormat="1" hidden="1" customHeight="1" spans="1:27">
      <c r="A94" s="12"/>
      <c r="B94" s="12"/>
      <c r="C94" s="1" t="s">
        <v>645</v>
      </c>
      <c r="D94" s="1" t="s">
        <v>646</v>
      </c>
      <c r="E94" s="1">
        <v>3</v>
      </c>
      <c r="F94" s="1" t="s">
        <v>647</v>
      </c>
      <c r="G94" s="40" t="s">
        <v>648</v>
      </c>
      <c r="H94" s="39" t="s">
        <v>649</v>
      </c>
      <c r="I94" s="41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6">
        <v>0</v>
      </c>
      <c r="S94" s="16">
        <v>0</v>
      </c>
      <c r="T94" s="16">
        <v>0</v>
      </c>
      <c r="U94" s="39" t="s">
        <v>651</v>
      </c>
      <c r="V94" s="39" t="s">
        <v>651</v>
      </c>
      <c r="X94" s="1" t="s">
        <v>158</v>
      </c>
      <c r="Y94" s="1">
        <v>0</v>
      </c>
      <c r="Z94" s="12"/>
      <c r="AA94" s="12"/>
    </row>
    <row r="95" s="1" customFormat="1" hidden="1" customHeight="1" spans="1:27">
      <c r="A95" s="12"/>
      <c r="B95" s="12"/>
      <c r="C95" s="1" t="s">
        <v>652</v>
      </c>
      <c r="D95" s="1" t="s">
        <v>653</v>
      </c>
      <c r="E95" s="1">
        <v>3</v>
      </c>
      <c r="F95" s="1" t="s">
        <v>654</v>
      </c>
      <c r="G95" s="40" t="s">
        <v>655</v>
      </c>
      <c r="H95" s="39" t="s">
        <v>656</v>
      </c>
      <c r="I95" s="41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6">
        <v>0</v>
      </c>
      <c r="S95" s="16">
        <v>0</v>
      </c>
      <c r="T95" s="16">
        <v>0</v>
      </c>
      <c r="U95" s="39" t="s">
        <v>658</v>
      </c>
      <c r="V95" s="39" t="s">
        <v>658</v>
      </c>
      <c r="X95" s="1" t="s">
        <v>158</v>
      </c>
      <c r="Y95" s="1">
        <v>0</v>
      </c>
      <c r="Z95" s="12"/>
      <c r="AA95" s="12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40" t="s">
        <v>662</v>
      </c>
      <c r="H96" s="39" t="s">
        <v>663</v>
      </c>
      <c r="I96" s="41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6">
        <v>0</v>
      </c>
      <c r="S96" s="16">
        <v>0</v>
      </c>
      <c r="T96" s="16">
        <v>0</v>
      </c>
      <c r="U96" s="39" t="s">
        <v>665</v>
      </c>
      <c r="V96" s="39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40" t="s">
        <v>669</v>
      </c>
      <c r="H97" s="39" t="s">
        <v>670</v>
      </c>
      <c r="I97" s="41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6">
        <v>0</v>
      </c>
      <c r="S97" s="16">
        <v>0</v>
      </c>
      <c r="T97" s="16">
        <v>0</v>
      </c>
      <c r="U97" s="39" t="s">
        <v>672</v>
      </c>
      <c r="V97" s="39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40" t="s">
        <v>676</v>
      </c>
      <c r="H98" s="39" t="s">
        <v>677</v>
      </c>
      <c r="I98" s="41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6">
        <v>0</v>
      </c>
      <c r="S98" s="16">
        <v>0</v>
      </c>
      <c r="T98" s="16">
        <v>0</v>
      </c>
      <c r="U98" s="39" t="s">
        <v>679</v>
      </c>
      <c r="V98" s="39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40" t="s">
        <v>683</v>
      </c>
      <c r="H99" s="39" t="s">
        <v>684</v>
      </c>
      <c r="I99" s="41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12">
        <v>0</v>
      </c>
      <c r="S99" s="12">
        <v>0</v>
      </c>
      <c r="T99" s="16">
        <v>0</v>
      </c>
      <c r="U99" s="39" t="s">
        <v>686</v>
      </c>
      <c r="V99" s="39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40" t="s">
        <v>689</v>
      </c>
      <c r="H100" s="39" t="s">
        <v>690</v>
      </c>
      <c r="I100" s="41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12">
        <v>0</v>
      </c>
      <c r="S100" s="12">
        <v>0</v>
      </c>
      <c r="T100" s="16">
        <v>0</v>
      </c>
      <c r="U100" s="39" t="s">
        <v>692</v>
      </c>
      <c r="V100" s="39" t="s">
        <v>692</v>
      </c>
      <c r="X100" s="1" t="s">
        <v>158</v>
      </c>
      <c r="Y100" s="1">
        <v>0</v>
      </c>
    </row>
    <row r="101" s="1" customFormat="1" hidden="1" customHeight="1" spans="1:27">
      <c r="A101" s="12"/>
      <c r="B101" s="12"/>
      <c r="C101" s="1" t="s">
        <v>693</v>
      </c>
      <c r="D101" s="1" t="s">
        <v>694</v>
      </c>
      <c r="E101" s="1">
        <v>3</v>
      </c>
      <c r="F101" s="1" t="s">
        <v>695</v>
      </c>
      <c r="G101" s="40" t="s">
        <v>696</v>
      </c>
      <c r="H101" s="39" t="s">
        <v>697</v>
      </c>
      <c r="I101" s="41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12">
        <v>0</v>
      </c>
      <c r="S101" s="12">
        <v>0</v>
      </c>
      <c r="T101" s="16">
        <v>0</v>
      </c>
      <c r="U101" s="39" t="s">
        <v>699</v>
      </c>
      <c r="V101" s="39" t="s">
        <v>699</v>
      </c>
      <c r="X101" s="1" t="s">
        <v>158</v>
      </c>
      <c r="Y101" s="1">
        <v>0</v>
      </c>
      <c r="Z101" s="12"/>
      <c r="AA101" s="12"/>
    </row>
    <row r="102" s="1" customFormat="1" hidden="1" customHeight="1" spans="1:27">
      <c r="A102" s="12"/>
      <c r="B102" s="12"/>
      <c r="C102" s="1" t="s">
        <v>700</v>
      </c>
      <c r="D102" s="1" t="s">
        <v>701</v>
      </c>
      <c r="E102" s="1">
        <v>3</v>
      </c>
      <c r="F102" s="1" t="s">
        <v>702</v>
      </c>
      <c r="G102" s="40" t="s">
        <v>703</v>
      </c>
      <c r="H102" s="39" t="s">
        <v>612</v>
      </c>
      <c r="I102" s="41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12">
        <v>0</v>
      </c>
      <c r="S102" s="12">
        <v>0</v>
      </c>
      <c r="T102" s="16">
        <v>0</v>
      </c>
      <c r="U102" s="39" t="s">
        <v>705</v>
      </c>
      <c r="V102" s="39" t="s">
        <v>705</v>
      </c>
      <c r="X102" s="1" t="s">
        <v>158</v>
      </c>
      <c r="Y102" s="1">
        <v>0</v>
      </c>
      <c r="Z102" s="12"/>
      <c r="AA102" s="12"/>
    </row>
    <row r="103" s="1" customFormat="1" hidden="1" customHeight="1" spans="1:27">
      <c r="A103" s="12"/>
      <c r="B103" s="12"/>
      <c r="C103" s="1" t="s">
        <v>706</v>
      </c>
      <c r="D103" s="1" t="s">
        <v>707</v>
      </c>
      <c r="E103" s="1">
        <v>3</v>
      </c>
      <c r="F103" s="1" t="s">
        <v>708</v>
      </c>
      <c r="G103" s="40" t="s">
        <v>709</v>
      </c>
      <c r="H103" s="39" t="s">
        <v>617</v>
      </c>
      <c r="I103" s="41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12">
        <v>0</v>
      </c>
      <c r="S103" s="12">
        <v>0</v>
      </c>
      <c r="T103" s="16">
        <v>0</v>
      </c>
      <c r="U103" s="39" t="s">
        <v>711</v>
      </c>
      <c r="V103" s="39" t="s">
        <v>711</v>
      </c>
      <c r="X103" s="1" t="s">
        <v>158</v>
      </c>
      <c r="Y103" s="1">
        <v>0</v>
      </c>
      <c r="Z103" s="12"/>
      <c r="AA103" s="12"/>
    </row>
    <row r="104" s="1" customFormat="1" hidden="1" customHeight="1" spans="1:27">
      <c r="A104" s="12"/>
      <c r="B104" s="12"/>
      <c r="C104" s="1" t="s">
        <v>712</v>
      </c>
      <c r="D104" s="1" t="s">
        <v>713</v>
      </c>
      <c r="E104" s="1">
        <v>3</v>
      </c>
      <c r="F104" s="1" t="s">
        <v>714</v>
      </c>
      <c r="G104" s="40" t="s">
        <v>715</v>
      </c>
      <c r="H104" s="39" t="s">
        <v>716</v>
      </c>
      <c r="I104" s="41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12">
        <v>0</v>
      </c>
      <c r="S104" s="12">
        <v>0</v>
      </c>
      <c r="T104" s="16">
        <v>0</v>
      </c>
      <c r="U104" s="39" t="s">
        <v>718</v>
      </c>
      <c r="V104" s="39" t="s">
        <v>718</v>
      </c>
      <c r="X104" s="1" t="s">
        <v>158</v>
      </c>
      <c r="Y104" s="1">
        <v>0</v>
      </c>
      <c r="Z104" s="12"/>
      <c r="AA104" s="12"/>
    </row>
    <row r="105" s="1" customFormat="1" hidden="1" customHeight="1" spans="1:27">
      <c r="A105" s="12"/>
      <c r="B105" s="12"/>
      <c r="C105" s="1" t="s">
        <v>719</v>
      </c>
      <c r="D105" s="1" t="s">
        <v>720</v>
      </c>
      <c r="E105" s="1">
        <v>3</v>
      </c>
      <c r="F105" s="1" t="s">
        <v>721</v>
      </c>
      <c r="G105" s="40" t="s">
        <v>722</v>
      </c>
      <c r="H105" s="39" t="s">
        <v>723</v>
      </c>
      <c r="I105" s="41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12">
        <v>0</v>
      </c>
      <c r="S105" s="12">
        <v>0</v>
      </c>
      <c r="T105" s="16">
        <v>0</v>
      </c>
      <c r="U105" s="39" t="s">
        <v>725</v>
      </c>
      <c r="V105" s="39" t="s">
        <v>725</v>
      </c>
      <c r="X105" s="1" t="s">
        <v>158</v>
      </c>
      <c r="Y105" s="1">
        <v>0</v>
      </c>
      <c r="Z105" s="12"/>
      <c r="AA105" s="12"/>
    </row>
    <row r="106" s="1" customFormat="1" hidden="1" customHeight="1" spans="1:27">
      <c r="A106" s="12"/>
      <c r="B106" s="12"/>
      <c r="C106" s="1" t="s">
        <v>726</v>
      </c>
      <c r="D106" s="1" t="s">
        <v>727</v>
      </c>
      <c r="E106" s="1">
        <v>3</v>
      </c>
      <c r="F106" s="1" t="s">
        <v>728</v>
      </c>
      <c r="G106" s="40" t="s">
        <v>729</v>
      </c>
      <c r="H106" s="39" t="s">
        <v>730</v>
      </c>
      <c r="I106" s="41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12">
        <v>0</v>
      </c>
      <c r="S106" s="12">
        <v>0</v>
      </c>
      <c r="T106" s="16">
        <v>0</v>
      </c>
      <c r="U106" s="39" t="s">
        <v>732</v>
      </c>
      <c r="V106" s="39" t="s">
        <v>732</v>
      </c>
      <c r="X106" s="1" t="s">
        <v>158</v>
      </c>
      <c r="Y106" s="1">
        <v>0</v>
      </c>
      <c r="Z106" s="12"/>
      <c r="AA106" s="12"/>
    </row>
    <row r="107" s="1" customFormat="1" hidden="1" customHeight="1" spans="1:27">
      <c r="A107" s="12"/>
      <c r="B107" s="12"/>
      <c r="C107" s="1" t="s">
        <v>733</v>
      </c>
      <c r="D107" s="1" t="s">
        <v>734</v>
      </c>
      <c r="E107" s="1">
        <v>3</v>
      </c>
      <c r="F107" s="1" t="s">
        <v>735</v>
      </c>
      <c r="G107" s="40" t="s">
        <v>736</v>
      </c>
      <c r="H107" s="39" t="s">
        <v>737</v>
      </c>
      <c r="I107" s="41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12">
        <v>0</v>
      </c>
      <c r="S107" s="12">
        <v>0</v>
      </c>
      <c r="T107" s="16">
        <v>0</v>
      </c>
      <c r="U107" s="39" t="s">
        <v>739</v>
      </c>
      <c r="V107" s="39" t="s">
        <v>739</v>
      </c>
      <c r="X107" s="1" t="s">
        <v>158</v>
      </c>
      <c r="Y107" s="1">
        <v>0</v>
      </c>
      <c r="Z107" s="12"/>
      <c r="AA107" s="12"/>
    </row>
    <row r="108" s="1" customFormat="1" hidden="1" customHeight="1" spans="1:27">
      <c r="A108" s="12"/>
      <c r="B108" s="12"/>
      <c r="C108" s="1" t="s">
        <v>740</v>
      </c>
      <c r="D108" s="1" t="s">
        <v>741</v>
      </c>
      <c r="E108" s="1">
        <v>3</v>
      </c>
      <c r="F108" s="1" t="s">
        <v>742</v>
      </c>
      <c r="G108" s="40" t="s">
        <v>743</v>
      </c>
      <c r="H108" s="39" t="s">
        <v>744</v>
      </c>
      <c r="I108" s="41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12">
        <v>0</v>
      </c>
      <c r="S108" s="12">
        <v>0</v>
      </c>
      <c r="T108" s="16">
        <v>0</v>
      </c>
      <c r="U108" s="39" t="s">
        <v>746</v>
      </c>
      <c r="V108" s="39" t="s">
        <v>746</v>
      </c>
      <c r="X108" s="1" t="s">
        <v>158</v>
      </c>
      <c r="Y108" s="1">
        <v>0</v>
      </c>
      <c r="Z108" s="12"/>
      <c r="AA108" s="12"/>
    </row>
    <row r="109" s="1" customFormat="1" hidden="1" customHeight="1" spans="1:27">
      <c r="A109" s="12"/>
      <c r="B109" s="12"/>
      <c r="C109" s="1" t="s">
        <v>747</v>
      </c>
      <c r="D109" s="1" t="s">
        <v>748</v>
      </c>
      <c r="E109" s="1">
        <v>3</v>
      </c>
      <c r="F109" s="1" t="s">
        <v>749</v>
      </c>
      <c r="G109" s="40" t="s">
        <v>750</v>
      </c>
      <c r="H109" s="39" t="s">
        <v>751</v>
      </c>
      <c r="I109" s="41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12">
        <v>0</v>
      </c>
      <c r="S109" s="12">
        <v>0</v>
      </c>
      <c r="T109" s="16">
        <v>0</v>
      </c>
      <c r="U109" s="39" t="s">
        <v>753</v>
      </c>
      <c r="V109" s="39" t="s">
        <v>753</v>
      </c>
      <c r="X109" s="1" t="s">
        <v>158</v>
      </c>
      <c r="Y109" s="1">
        <v>0</v>
      </c>
      <c r="Z109" s="12"/>
      <c r="AA109" s="12"/>
    </row>
    <row r="110" s="1" customFormat="1" hidden="1" customHeight="1" spans="1:27">
      <c r="A110" s="12"/>
      <c r="B110" s="12"/>
      <c r="C110" s="1" t="s">
        <v>754</v>
      </c>
      <c r="D110" s="1" t="s">
        <v>755</v>
      </c>
      <c r="E110" s="1">
        <v>3</v>
      </c>
      <c r="F110" s="1" t="s">
        <v>756</v>
      </c>
      <c r="G110" s="40" t="s">
        <v>678</v>
      </c>
      <c r="H110" s="39" t="s">
        <v>757</v>
      </c>
      <c r="I110" s="41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12">
        <v>0</v>
      </c>
      <c r="S110" s="12">
        <v>0</v>
      </c>
      <c r="T110" s="16">
        <v>0</v>
      </c>
      <c r="U110" s="39" t="s">
        <v>759</v>
      </c>
      <c r="V110" s="39" t="s">
        <v>759</v>
      </c>
      <c r="X110" s="1" t="s">
        <v>158</v>
      </c>
      <c r="Y110" s="1">
        <v>0</v>
      </c>
      <c r="Z110" s="12"/>
      <c r="AA110" s="12"/>
    </row>
    <row r="111" s="2" customFormat="1" hidden="1" customHeight="1" spans="1:27">
      <c r="A111" s="12"/>
      <c r="B111" s="12"/>
      <c r="C111" s="2" t="s">
        <v>760</v>
      </c>
      <c r="D111" s="2" t="s">
        <v>761</v>
      </c>
      <c r="E111" s="2">
        <v>4</v>
      </c>
      <c r="F111" s="1" t="s">
        <v>762</v>
      </c>
      <c r="G111" s="42" t="s">
        <v>763</v>
      </c>
      <c r="H111" s="43" t="s">
        <v>763</v>
      </c>
      <c r="I111" s="44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12">
        <v>35</v>
      </c>
      <c r="S111" s="16">
        <v>0</v>
      </c>
      <c r="T111" s="12">
        <v>90</v>
      </c>
      <c r="U111" s="43" t="s">
        <v>765</v>
      </c>
      <c r="V111" s="43" t="s">
        <v>765</v>
      </c>
      <c r="X111" s="2" t="s">
        <v>158</v>
      </c>
      <c r="Y111" s="2">
        <v>0</v>
      </c>
    </row>
    <row r="112" s="1" customFormat="1" hidden="1" customHeight="1" spans="1:27">
      <c r="A112" s="12"/>
      <c r="B112" s="12"/>
      <c r="C112" s="1" t="s">
        <v>766</v>
      </c>
      <c r="D112" s="1" t="s">
        <v>767</v>
      </c>
      <c r="E112" s="1">
        <v>4</v>
      </c>
      <c r="F112" s="1" t="s">
        <v>768</v>
      </c>
      <c r="G112" s="40" t="s">
        <v>769</v>
      </c>
      <c r="H112" s="39" t="s">
        <v>769</v>
      </c>
      <c r="I112" s="41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12">
        <f t="shared" ref="R112:R145" si="36">R111+1</f>
        <v>36</v>
      </c>
      <c r="S112" s="16">
        <v>0</v>
      </c>
      <c r="T112" s="12">
        <v>90</v>
      </c>
      <c r="U112" s="39" t="s">
        <v>771</v>
      </c>
      <c r="V112" s="39" t="s">
        <v>771</v>
      </c>
      <c r="X112" s="1" t="s">
        <v>158</v>
      </c>
      <c r="Y112" s="1">
        <v>0</v>
      </c>
    </row>
    <row r="113" s="1" customFormat="1" hidden="1" customHeight="1" spans="1:27">
      <c r="A113" s="12"/>
      <c r="B113" s="12"/>
      <c r="C113" s="1" t="s">
        <v>772</v>
      </c>
      <c r="D113" s="1" t="s">
        <v>773</v>
      </c>
      <c r="E113" s="1">
        <v>4</v>
      </c>
      <c r="F113" s="1" t="s">
        <v>774</v>
      </c>
      <c r="G113" s="40" t="s">
        <v>775</v>
      </c>
      <c r="H113" s="39" t="s">
        <v>775</v>
      </c>
      <c r="I113" s="41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12">
        <f t="shared" si="36"/>
        <v>37</v>
      </c>
      <c r="S113" s="16">
        <v>0</v>
      </c>
      <c r="T113" s="12">
        <v>90</v>
      </c>
      <c r="U113" s="39" t="s">
        <v>777</v>
      </c>
      <c r="V113" s="39" t="s">
        <v>777</v>
      </c>
      <c r="X113" s="1" t="s">
        <v>158</v>
      </c>
      <c r="Y113" s="1">
        <v>0</v>
      </c>
    </row>
    <row r="114" s="1" customFormat="1" hidden="1" customHeight="1" spans="1:27">
      <c r="A114" s="12"/>
      <c r="B114" s="12"/>
      <c r="C114" s="1" t="s">
        <v>778</v>
      </c>
      <c r="D114" s="1" t="s">
        <v>779</v>
      </c>
      <c r="E114" s="1">
        <v>4</v>
      </c>
      <c r="F114" s="1" t="s">
        <v>780</v>
      </c>
      <c r="G114" s="40" t="s">
        <v>781</v>
      </c>
      <c r="H114" s="39" t="s">
        <v>781</v>
      </c>
      <c r="I114" s="41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12">
        <f t="shared" si="36"/>
        <v>38</v>
      </c>
      <c r="S114" s="16">
        <v>0</v>
      </c>
      <c r="T114" s="12">
        <v>90</v>
      </c>
      <c r="U114" s="39" t="s">
        <v>783</v>
      </c>
      <c r="V114" s="39" t="s">
        <v>783</v>
      </c>
      <c r="X114" s="1" t="s">
        <v>158</v>
      </c>
      <c r="Y114" s="1">
        <v>0</v>
      </c>
    </row>
    <row r="115" s="1" customFormat="1" hidden="1" customHeight="1" spans="1:27">
      <c r="A115" s="12"/>
      <c r="B115" s="12"/>
      <c r="C115" s="1" t="s">
        <v>784</v>
      </c>
      <c r="D115" s="1" t="s">
        <v>785</v>
      </c>
      <c r="E115" s="1">
        <v>4</v>
      </c>
      <c r="F115" s="1" t="s">
        <v>786</v>
      </c>
      <c r="G115" s="40" t="s">
        <v>787</v>
      </c>
      <c r="H115" s="39" t="s">
        <v>787</v>
      </c>
      <c r="I115" s="41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12">
        <f t="shared" si="36"/>
        <v>39</v>
      </c>
      <c r="S115" s="16">
        <v>0</v>
      </c>
      <c r="T115" s="12">
        <v>90</v>
      </c>
      <c r="U115" s="39" t="s">
        <v>789</v>
      </c>
      <c r="V115" s="39" t="s">
        <v>789</v>
      </c>
      <c r="X115" s="1" t="s">
        <v>158</v>
      </c>
      <c r="Y115" s="1">
        <v>0</v>
      </c>
    </row>
    <row r="116" s="1" customFormat="1" hidden="1" customHeight="1" spans="1:27">
      <c r="A116" s="12"/>
      <c r="B116" s="12"/>
      <c r="C116" s="1" t="s">
        <v>790</v>
      </c>
      <c r="D116" s="1" t="s">
        <v>791</v>
      </c>
      <c r="E116" s="1">
        <v>4</v>
      </c>
      <c r="F116" s="1" t="s">
        <v>792</v>
      </c>
      <c r="G116" s="40" t="s">
        <v>793</v>
      </c>
      <c r="H116" s="39" t="s">
        <v>793</v>
      </c>
      <c r="I116" s="41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12">
        <f t="shared" si="36"/>
        <v>40</v>
      </c>
      <c r="S116" s="16">
        <v>0</v>
      </c>
      <c r="T116" s="12">
        <v>90</v>
      </c>
      <c r="U116" s="39" t="s">
        <v>795</v>
      </c>
      <c r="V116" s="39" t="s">
        <v>795</v>
      </c>
      <c r="X116" s="1" t="s">
        <v>158</v>
      </c>
      <c r="Y116" s="1">
        <v>0</v>
      </c>
      <c r="Z116" s="12"/>
      <c r="AA116" s="12"/>
    </row>
    <row r="117" s="1" customFormat="1" hidden="1" customHeight="1" spans="1:27">
      <c r="A117" s="12"/>
      <c r="B117" s="12"/>
      <c r="C117" s="1" t="s">
        <v>796</v>
      </c>
      <c r="D117" s="1" t="s">
        <v>797</v>
      </c>
      <c r="E117" s="1">
        <v>4</v>
      </c>
      <c r="F117" s="1" t="s">
        <v>798</v>
      </c>
      <c r="G117" s="40" t="s">
        <v>799</v>
      </c>
      <c r="H117" s="39" t="s">
        <v>799</v>
      </c>
      <c r="I117" s="41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12">
        <f t="shared" si="36"/>
        <v>41</v>
      </c>
      <c r="S117" s="16">
        <v>0</v>
      </c>
      <c r="T117" s="12">
        <v>90</v>
      </c>
      <c r="U117" s="39" t="s">
        <v>801</v>
      </c>
      <c r="V117" s="39" t="s">
        <v>801</v>
      </c>
      <c r="X117" s="1" t="s">
        <v>158</v>
      </c>
      <c r="Y117" s="1">
        <v>0</v>
      </c>
      <c r="Z117" s="12"/>
      <c r="AA117" s="12"/>
    </row>
    <row r="118" s="1" customFormat="1" hidden="1" customHeight="1" spans="1:27">
      <c r="A118" s="12"/>
      <c r="B118" s="12"/>
      <c r="C118" s="1" t="s">
        <v>802</v>
      </c>
      <c r="D118" s="1" t="s">
        <v>803</v>
      </c>
      <c r="E118" s="1">
        <v>4</v>
      </c>
      <c r="F118" s="1" t="s">
        <v>804</v>
      </c>
      <c r="G118" s="40" t="s">
        <v>805</v>
      </c>
      <c r="H118" s="39" t="s">
        <v>805</v>
      </c>
      <c r="I118" s="41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12">
        <f t="shared" si="36"/>
        <v>42</v>
      </c>
      <c r="S118" s="16">
        <v>0</v>
      </c>
      <c r="T118" s="12">
        <v>90</v>
      </c>
      <c r="U118" s="39" t="s">
        <v>807</v>
      </c>
      <c r="V118" s="39" t="s">
        <v>807</v>
      </c>
      <c r="X118" s="1" t="s">
        <v>158</v>
      </c>
      <c r="Y118" s="1">
        <v>0</v>
      </c>
      <c r="Z118" s="12"/>
      <c r="AA118" s="12"/>
    </row>
    <row r="119" s="1" customFormat="1" hidden="1" customHeight="1" spans="1:27">
      <c r="A119" s="12"/>
      <c r="B119" s="12"/>
      <c r="C119" s="1" t="s">
        <v>808</v>
      </c>
      <c r="D119" s="1" t="s">
        <v>809</v>
      </c>
      <c r="E119" s="1">
        <v>4</v>
      </c>
      <c r="F119" s="1" t="s">
        <v>810</v>
      </c>
      <c r="G119" s="40" t="s">
        <v>811</v>
      </c>
      <c r="H119" s="39" t="s">
        <v>811</v>
      </c>
      <c r="I119" s="41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12">
        <f t="shared" si="36"/>
        <v>43</v>
      </c>
      <c r="S119" s="16">
        <v>0</v>
      </c>
      <c r="T119" s="12">
        <v>90</v>
      </c>
      <c r="U119" s="39" t="s">
        <v>813</v>
      </c>
      <c r="V119" s="39" t="s">
        <v>813</v>
      </c>
      <c r="X119" s="1" t="s">
        <v>158</v>
      </c>
      <c r="Y119" s="1">
        <v>0</v>
      </c>
      <c r="Z119" s="12"/>
      <c r="AA119" s="12"/>
    </row>
    <row r="120" s="1" customFormat="1" hidden="1" customHeight="1" spans="1:27">
      <c r="A120" s="12"/>
      <c r="B120" s="12"/>
      <c r="C120" s="1" t="s">
        <v>814</v>
      </c>
      <c r="D120" s="1" t="s">
        <v>815</v>
      </c>
      <c r="E120" s="1">
        <v>4</v>
      </c>
      <c r="F120" s="1" t="s">
        <v>816</v>
      </c>
      <c r="G120" s="40" t="s">
        <v>817</v>
      </c>
      <c r="H120" s="39" t="s">
        <v>817</v>
      </c>
      <c r="I120" s="41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12">
        <f t="shared" si="36"/>
        <v>44</v>
      </c>
      <c r="S120" s="16">
        <v>0</v>
      </c>
      <c r="T120" s="12">
        <v>90</v>
      </c>
      <c r="U120" s="39" t="s">
        <v>819</v>
      </c>
      <c r="V120" s="39" t="s">
        <v>819</v>
      </c>
      <c r="X120" s="1" t="s">
        <v>158</v>
      </c>
      <c r="Y120" s="1">
        <v>0</v>
      </c>
      <c r="Z120" s="12"/>
      <c r="AA120" s="12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40" t="s">
        <v>764</v>
      </c>
      <c r="H121" s="39" t="s">
        <v>764</v>
      </c>
      <c r="I121" s="41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12">
        <f t="shared" si="36"/>
        <v>45</v>
      </c>
      <c r="S121" s="12">
        <f t="shared" ref="S121:S130" si="39">S120+3</f>
        <v>3</v>
      </c>
      <c r="T121" s="12">
        <v>90</v>
      </c>
      <c r="U121" s="39" t="s">
        <v>824</v>
      </c>
      <c r="V121" s="39" t="s">
        <v>824</v>
      </c>
      <c r="X121" s="1" t="s">
        <v>158</v>
      </c>
      <c r="Y121" s="1">
        <v>0</v>
      </c>
      <c r="Z121" s="12"/>
      <c r="AA121" s="12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40" t="s">
        <v>828</v>
      </c>
      <c r="H122" s="39" t="s">
        <v>828</v>
      </c>
      <c r="I122" s="41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12">
        <f t="shared" si="36"/>
        <v>46</v>
      </c>
      <c r="S122" s="12">
        <f t="shared" si="39"/>
        <v>6</v>
      </c>
      <c r="T122" s="12">
        <v>90</v>
      </c>
      <c r="U122" s="39" t="s">
        <v>830</v>
      </c>
      <c r="V122" s="39" t="s">
        <v>830</v>
      </c>
      <c r="X122" s="1" t="s">
        <v>158</v>
      </c>
      <c r="Y122" s="1">
        <v>0</v>
      </c>
      <c r="Z122" s="12"/>
      <c r="AA122" s="12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40" t="s">
        <v>834</v>
      </c>
      <c r="H123" s="39" t="s">
        <v>834</v>
      </c>
      <c r="I123" s="41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12">
        <f t="shared" si="36"/>
        <v>47</v>
      </c>
      <c r="S123" s="12">
        <f t="shared" si="39"/>
        <v>9</v>
      </c>
      <c r="T123" s="12">
        <v>90</v>
      </c>
      <c r="U123" s="39" t="s">
        <v>836</v>
      </c>
      <c r="V123" s="39" t="s">
        <v>836</v>
      </c>
      <c r="X123" s="1" t="s">
        <v>158</v>
      </c>
      <c r="Y123" s="1">
        <v>0</v>
      </c>
      <c r="Z123" s="12"/>
      <c r="AA123" s="12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40" t="s">
        <v>840</v>
      </c>
      <c r="H124" s="39" t="s">
        <v>840</v>
      </c>
      <c r="I124" s="41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12">
        <f t="shared" si="36"/>
        <v>48</v>
      </c>
      <c r="S124" s="12">
        <f t="shared" si="39"/>
        <v>12</v>
      </c>
      <c r="T124" s="12">
        <v>90</v>
      </c>
      <c r="U124" s="39" t="s">
        <v>842</v>
      </c>
      <c r="V124" s="39" t="s">
        <v>842</v>
      </c>
      <c r="X124" s="1" t="s">
        <v>158</v>
      </c>
      <c r="Y124" s="1">
        <v>0</v>
      </c>
      <c r="Z124" s="12"/>
      <c r="AA124" s="12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40" t="s">
        <v>846</v>
      </c>
      <c r="H125" s="39" t="s">
        <v>846</v>
      </c>
      <c r="I125" s="41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12">
        <f t="shared" si="36"/>
        <v>49</v>
      </c>
      <c r="S125" s="12">
        <f t="shared" si="39"/>
        <v>15</v>
      </c>
      <c r="T125" s="12">
        <v>90</v>
      </c>
      <c r="U125" s="39" t="s">
        <v>848</v>
      </c>
      <c r="V125" s="39" t="s">
        <v>848</v>
      </c>
      <c r="X125" s="1" t="s">
        <v>158</v>
      </c>
      <c r="Y125" s="1">
        <v>0</v>
      </c>
      <c r="Z125" s="12"/>
      <c r="AA125" s="12"/>
    </row>
    <row r="126" s="1" customFormat="1" hidden="1" customHeight="1" spans="1:27">
      <c r="A126" s="12"/>
      <c r="B126" s="12"/>
      <c r="C126" s="1" t="s">
        <v>849</v>
      </c>
      <c r="D126" s="1" t="s">
        <v>850</v>
      </c>
      <c r="E126" s="1">
        <v>4</v>
      </c>
      <c r="F126" s="1" t="s">
        <v>851</v>
      </c>
      <c r="G126" s="40" t="s">
        <v>852</v>
      </c>
      <c r="H126" s="39" t="s">
        <v>852</v>
      </c>
      <c r="I126" s="41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12">
        <f t="shared" si="36"/>
        <v>50</v>
      </c>
      <c r="S126" s="12">
        <f t="shared" si="39"/>
        <v>18</v>
      </c>
      <c r="T126" s="12">
        <v>90</v>
      </c>
      <c r="U126" s="39" t="s">
        <v>854</v>
      </c>
      <c r="V126" s="39" t="s">
        <v>854</v>
      </c>
      <c r="X126" s="1" t="s">
        <v>158</v>
      </c>
      <c r="Y126" s="1">
        <v>0</v>
      </c>
      <c r="Z126" s="12"/>
      <c r="AA126" s="12"/>
    </row>
    <row r="127" s="1" customFormat="1" hidden="1" customHeight="1" spans="1:27">
      <c r="A127" s="12"/>
      <c r="B127" s="12"/>
      <c r="C127" s="1" t="s">
        <v>855</v>
      </c>
      <c r="D127" s="1" t="s">
        <v>856</v>
      </c>
      <c r="E127" s="1">
        <v>4</v>
      </c>
      <c r="F127" s="1" t="s">
        <v>857</v>
      </c>
      <c r="G127" s="40" t="s">
        <v>858</v>
      </c>
      <c r="H127" s="39" t="s">
        <v>858</v>
      </c>
      <c r="I127" s="41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12">
        <f t="shared" si="36"/>
        <v>51</v>
      </c>
      <c r="S127" s="12">
        <f t="shared" si="39"/>
        <v>21</v>
      </c>
      <c r="T127" s="12">
        <v>90</v>
      </c>
      <c r="U127" s="39" t="s">
        <v>860</v>
      </c>
      <c r="V127" s="39" t="s">
        <v>860</v>
      </c>
      <c r="X127" s="1" t="s">
        <v>158</v>
      </c>
      <c r="Y127" s="1">
        <v>0</v>
      </c>
      <c r="Z127" s="12"/>
      <c r="AA127" s="12"/>
    </row>
    <row r="128" s="1" customFormat="1" hidden="1" customHeight="1" spans="1:27">
      <c r="A128" s="12"/>
      <c r="B128" s="12"/>
      <c r="C128" s="1" t="s">
        <v>861</v>
      </c>
      <c r="D128" s="1" t="s">
        <v>862</v>
      </c>
      <c r="E128" s="1">
        <v>4</v>
      </c>
      <c r="F128" s="1" t="s">
        <v>863</v>
      </c>
      <c r="G128" s="40" t="s">
        <v>864</v>
      </c>
      <c r="H128" s="39" t="s">
        <v>864</v>
      </c>
      <c r="I128" s="41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12">
        <f t="shared" si="36"/>
        <v>52</v>
      </c>
      <c r="S128" s="12">
        <f t="shared" si="39"/>
        <v>24</v>
      </c>
      <c r="T128" s="12">
        <v>90</v>
      </c>
      <c r="U128" s="39" t="s">
        <v>866</v>
      </c>
      <c r="V128" s="39" t="s">
        <v>866</v>
      </c>
      <c r="X128" s="1" t="s">
        <v>158</v>
      </c>
      <c r="Y128" s="1">
        <v>0</v>
      </c>
      <c r="Z128" s="12"/>
      <c r="AA128" s="12"/>
    </row>
    <row r="129" s="1" customFormat="1" hidden="1" customHeight="1" spans="1:27">
      <c r="A129" s="12"/>
      <c r="B129" s="12"/>
      <c r="C129" s="1" t="s">
        <v>867</v>
      </c>
      <c r="D129" s="1" t="s">
        <v>868</v>
      </c>
      <c r="E129" s="1">
        <v>4</v>
      </c>
      <c r="F129" s="1" t="s">
        <v>869</v>
      </c>
      <c r="G129" s="40" t="s">
        <v>870</v>
      </c>
      <c r="H129" s="39" t="s">
        <v>870</v>
      </c>
      <c r="I129" s="41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12">
        <f t="shared" si="36"/>
        <v>53</v>
      </c>
      <c r="S129" s="12">
        <f t="shared" si="39"/>
        <v>27</v>
      </c>
      <c r="T129" s="12">
        <v>90</v>
      </c>
      <c r="U129" s="39" t="s">
        <v>872</v>
      </c>
      <c r="V129" s="39" t="s">
        <v>872</v>
      </c>
      <c r="X129" s="1" t="s">
        <v>158</v>
      </c>
      <c r="Y129" s="1">
        <v>0</v>
      </c>
      <c r="Z129" s="12"/>
      <c r="AA129" s="12"/>
    </row>
    <row r="130" s="1" customFormat="1" hidden="1" customHeight="1" spans="1:27">
      <c r="A130" s="12"/>
      <c r="B130" s="12"/>
      <c r="C130" s="1" t="s">
        <v>873</v>
      </c>
      <c r="D130" s="1" t="s">
        <v>874</v>
      </c>
      <c r="E130" s="1">
        <v>4</v>
      </c>
      <c r="F130" s="1" t="s">
        <v>875</v>
      </c>
      <c r="G130" s="40" t="s">
        <v>876</v>
      </c>
      <c r="H130" s="39" t="s">
        <v>876</v>
      </c>
      <c r="I130" s="41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12">
        <f t="shared" si="36"/>
        <v>54</v>
      </c>
      <c r="S130" s="12">
        <f t="shared" si="39"/>
        <v>30</v>
      </c>
      <c r="T130" s="12">
        <v>90</v>
      </c>
      <c r="U130" s="39" t="s">
        <v>878</v>
      </c>
      <c r="V130" s="39" t="s">
        <v>878</v>
      </c>
      <c r="X130" s="1" t="s">
        <v>158</v>
      </c>
      <c r="Y130" s="1">
        <v>0</v>
      </c>
      <c r="Z130" s="12"/>
      <c r="AA130" s="12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40" t="s">
        <v>882</v>
      </c>
      <c r="H131" s="39" t="s">
        <v>882</v>
      </c>
      <c r="I131" s="41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12">
        <f t="shared" ref="R131:R146" si="44">R130+2</f>
        <v>56</v>
      </c>
      <c r="S131" s="12">
        <f t="shared" ref="S131:S180" si="45">S130+4</f>
        <v>34</v>
      </c>
      <c r="T131" s="12">
        <v>92</v>
      </c>
      <c r="U131" s="39" t="s">
        <v>884</v>
      </c>
      <c r="V131" s="39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40" t="s">
        <v>888</v>
      </c>
      <c r="H132" s="39" t="s">
        <v>888</v>
      </c>
      <c r="I132" s="41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12">
        <f t="shared" si="44"/>
        <v>58</v>
      </c>
      <c r="S132" s="12">
        <f t="shared" si="45"/>
        <v>38</v>
      </c>
      <c r="T132" s="12">
        <v>94</v>
      </c>
      <c r="U132" s="39" t="s">
        <v>890</v>
      </c>
      <c r="V132" s="39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40" t="s">
        <v>894</v>
      </c>
      <c r="H133" s="39" t="s">
        <v>894</v>
      </c>
      <c r="I133" s="41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12">
        <f t="shared" si="44"/>
        <v>60</v>
      </c>
      <c r="S133" s="12">
        <f t="shared" si="45"/>
        <v>42</v>
      </c>
      <c r="T133" s="12">
        <v>96</v>
      </c>
      <c r="U133" s="39" t="s">
        <v>896</v>
      </c>
      <c r="V133" s="39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40" t="s">
        <v>900</v>
      </c>
      <c r="H134" s="39" t="s">
        <v>900</v>
      </c>
      <c r="I134" s="41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12">
        <f t="shared" si="44"/>
        <v>62</v>
      </c>
      <c r="S134" s="12">
        <f t="shared" si="45"/>
        <v>46</v>
      </c>
      <c r="T134" s="12">
        <v>98</v>
      </c>
      <c r="U134" s="39" t="s">
        <v>902</v>
      </c>
      <c r="V134" s="39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40" t="s">
        <v>905</v>
      </c>
      <c r="H135" s="39" t="s">
        <v>905</v>
      </c>
      <c r="I135" s="41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12">
        <f t="shared" si="44"/>
        <v>64</v>
      </c>
      <c r="S135" s="12">
        <f t="shared" si="45"/>
        <v>50</v>
      </c>
      <c r="T135" s="12">
        <v>99</v>
      </c>
      <c r="U135" s="39" t="s">
        <v>457</v>
      </c>
      <c r="V135" s="39" t="s">
        <v>457</v>
      </c>
      <c r="X135" s="1" t="s">
        <v>158</v>
      </c>
      <c r="Y135" s="1">
        <v>0</v>
      </c>
    </row>
    <row r="136" s="1" customFormat="1" hidden="1" customHeight="1" spans="1:27">
      <c r="A136" s="12"/>
      <c r="B136" s="12"/>
      <c r="C136" s="1" t="s">
        <v>907</v>
      </c>
      <c r="D136" s="1" t="s">
        <v>908</v>
      </c>
      <c r="E136" s="1">
        <v>4</v>
      </c>
      <c r="F136" s="1" t="s">
        <v>909</v>
      </c>
      <c r="G136" s="40" t="s">
        <v>910</v>
      </c>
      <c r="H136" s="39" t="s">
        <v>910</v>
      </c>
      <c r="I136" s="41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12">
        <f t="shared" si="44"/>
        <v>66</v>
      </c>
      <c r="S136" s="12">
        <f t="shared" si="45"/>
        <v>54</v>
      </c>
      <c r="T136" s="12">
        <v>99.2</v>
      </c>
      <c r="U136" s="39" t="s">
        <v>912</v>
      </c>
      <c r="V136" s="39" t="s">
        <v>912</v>
      </c>
      <c r="X136" s="1" t="s">
        <v>158</v>
      </c>
      <c r="Y136" s="1">
        <v>0</v>
      </c>
      <c r="Z136" s="12"/>
      <c r="AA136" s="12"/>
    </row>
    <row r="137" s="1" customFormat="1" hidden="1" customHeight="1" spans="1:27">
      <c r="A137" s="12"/>
      <c r="B137" s="12"/>
      <c r="C137" s="1" t="s">
        <v>913</v>
      </c>
      <c r="D137" s="1" t="s">
        <v>914</v>
      </c>
      <c r="E137" s="1">
        <v>4</v>
      </c>
      <c r="F137" s="1" t="s">
        <v>915</v>
      </c>
      <c r="G137" s="40" t="s">
        <v>916</v>
      </c>
      <c r="H137" s="39" t="s">
        <v>916</v>
      </c>
      <c r="I137" s="41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12">
        <f t="shared" si="44"/>
        <v>68</v>
      </c>
      <c r="S137" s="12">
        <f t="shared" si="45"/>
        <v>58</v>
      </c>
      <c r="T137" s="12">
        <v>99.4</v>
      </c>
      <c r="U137" s="39" t="s">
        <v>918</v>
      </c>
      <c r="V137" s="39" t="s">
        <v>918</v>
      </c>
      <c r="X137" s="1" t="s">
        <v>158</v>
      </c>
      <c r="Y137" s="1">
        <v>0</v>
      </c>
      <c r="Z137" s="12"/>
      <c r="AA137" s="12"/>
    </row>
    <row r="138" s="1" customFormat="1" hidden="1" customHeight="1" spans="1:27">
      <c r="A138" s="12"/>
      <c r="B138" s="12"/>
      <c r="C138" s="1" t="s">
        <v>919</v>
      </c>
      <c r="D138" s="1" t="s">
        <v>920</v>
      </c>
      <c r="E138" s="1">
        <v>4</v>
      </c>
      <c r="F138" s="1" t="s">
        <v>921</v>
      </c>
      <c r="G138" s="40" t="s">
        <v>922</v>
      </c>
      <c r="H138" s="39" t="s">
        <v>922</v>
      </c>
      <c r="I138" s="41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12">
        <f t="shared" si="44"/>
        <v>70</v>
      </c>
      <c r="S138" s="12">
        <f t="shared" si="45"/>
        <v>62</v>
      </c>
      <c r="T138" s="12">
        <v>99.6</v>
      </c>
      <c r="U138" s="39" t="s">
        <v>924</v>
      </c>
      <c r="V138" s="39" t="s">
        <v>924</v>
      </c>
      <c r="X138" s="1" t="s">
        <v>158</v>
      </c>
      <c r="Y138" s="1">
        <v>0</v>
      </c>
      <c r="Z138" s="12"/>
      <c r="AA138" s="12"/>
    </row>
    <row r="139" s="1" customFormat="1" hidden="1" customHeight="1" spans="1:27">
      <c r="A139" s="12"/>
      <c r="B139" s="12"/>
      <c r="C139" s="1" t="s">
        <v>925</v>
      </c>
      <c r="D139" s="1" t="s">
        <v>926</v>
      </c>
      <c r="E139" s="1">
        <v>4</v>
      </c>
      <c r="F139" s="1" t="s">
        <v>927</v>
      </c>
      <c r="G139" s="40" t="s">
        <v>928</v>
      </c>
      <c r="H139" s="39" t="s">
        <v>928</v>
      </c>
      <c r="I139" s="41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12">
        <f t="shared" si="44"/>
        <v>72</v>
      </c>
      <c r="S139" s="12">
        <f t="shared" si="45"/>
        <v>66</v>
      </c>
      <c r="T139" s="12">
        <v>99.8</v>
      </c>
      <c r="U139" s="39" t="s">
        <v>930</v>
      </c>
      <c r="V139" s="39" t="s">
        <v>930</v>
      </c>
      <c r="X139" s="1" t="s">
        <v>158</v>
      </c>
      <c r="Y139" s="1">
        <v>0</v>
      </c>
      <c r="Z139" s="12"/>
      <c r="AA139" s="12"/>
    </row>
    <row r="140" s="1" customFormat="1" hidden="1" customHeight="1" spans="1:27">
      <c r="A140" s="12"/>
      <c r="B140" s="12"/>
      <c r="C140" s="1" t="s">
        <v>931</v>
      </c>
      <c r="D140" s="1" t="s">
        <v>932</v>
      </c>
      <c r="E140" s="1">
        <v>4</v>
      </c>
      <c r="F140" s="1" t="s">
        <v>933</v>
      </c>
      <c r="G140" s="40" t="s">
        <v>934</v>
      </c>
      <c r="H140" s="39" t="s">
        <v>934</v>
      </c>
      <c r="I140" s="41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12">
        <f t="shared" si="44"/>
        <v>74</v>
      </c>
      <c r="S140" s="12">
        <f t="shared" si="45"/>
        <v>70</v>
      </c>
      <c r="T140" s="12">
        <v>99.9</v>
      </c>
      <c r="U140" s="39" t="s">
        <v>936</v>
      </c>
      <c r="V140" s="39" t="s">
        <v>936</v>
      </c>
      <c r="X140" s="1" t="s">
        <v>158</v>
      </c>
      <c r="Y140" s="1">
        <v>0</v>
      </c>
      <c r="Z140" s="12"/>
      <c r="AA140" s="12"/>
    </row>
    <row r="141" s="1" customFormat="1" hidden="1" customHeight="1" spans="1:27">
      <c r="A141" s="12"/>
      <c r="B141" s="12"/>
      <c r="C141" s="1" t="s">
        <v>937</v>
      </c>
      <c r="D141" s="1" t="s">
        <v>938</v>
      </c>
      <c r="E141" s="1">
        <v>4</v>
      </c>
      <c r="F141" s="1" t="s">
        <v>939</v>
      </c>
      <c r="G141" s="40" t="s">
        <v>940</v>
      </c>
      <c r="H141" s="39" t="s">
        <v>940</v>
      </c>
      <c r="I141" s="41" t="s">
        <v>941</v>
      </c>
      <c r="J141" s="1">
        <v>0</v>
      </c>
      <c r="L141" s="1">
        <v>0</v>
      </c>
      <c r="M141" s="1">
        <f t="shared" ref="M141:M205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12">
        <f t="shared" si="44"/>
        <v>76</v>
      </c>
      <c r="S141" s="12">
        <f t="shared" si="45"/>
        <v>74</v>
      </c>
      <c r="T141" s="12">
        <v>99.92</v>
      </c>
      <c r="U141" s="39" t="s">
        <v>942</v>
      </c>
      <c r="V141" s="39" t="s">
        <v>942</v>
      </c>
      <c r="X141" s="1" t="s">
        <v>158</v>
      </c>
      <c r="Y141" s="1">
        <v>0</v>
      </c>
      <c r="Z141" s="12"/>
      <c r="AA141" s="12"/>
    </row>
    <row r="142" s="1" customFormat="1" hidden="1" customHeight="1" spans="1:27">
      <c r="A142" s="12"/>
      <c r="B142" s="12"/>
      <c r="C142" s="1" t="s">
        <v>943</v>
      </c>
      <c r="D142" s="1" t="s">
        <v>944</v>
      </c>
      <c r="E142" s="1">
        <v>4</v>
      </c>
      <c r="F142" s="1" t="s">
        <v>945</v>
      </c>
      <c r="G142" s="40" t="s">
        <v>946</v>
      </c>
      <c r="H142" s="39" t="s">
        <v>946</v>
      </c>
      <c r="I142" s="41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12">
        <f t="shared" si="44"/>
        <v>78</v>
      </c>
      <c r="S142" s="12">
        <f t="shared" si="45"/>
        <v>78</v>
      </c>
      <c r="T142" s="12">
        <v>99.94</v>
      </c>
      <c r="U142" s="39" t="s">
        <v>948</v>
      </c>
      <c r="V142" s="39" t="s">
        <v>948</v>
      </c>
      <c r="X142" s="1" t="s">
        <v>158</v>
      </c>
      <c r="Y142" s="1">
        <v>0</v>
      </c>
      <c r="Z142" s="12"/>
      <c r="AA142" s="12"/>
    </row>
    <row r="143" s="1" customFormat="1" hidden="1" customHeight="1" spans="1:27">
      <c r="A143" s="12"/>
      <c r="B143" s="12"/>
      <c r="C143" s="1" t="s">
        <v>949</v>
      </c>
      <c r="D143" s="1" t="s">
        <v>950</v>
      </c>
      <c r="E143" s="1">
        <v>4</v>
      </c>
      <c r="F143" s="1" t="s">
        <v>951</v>
      </c>
      <c r="G143" s="40" t="s">
        <v>952</v>
      </c>
      <c r="H143" s="39" t="s">
        <v>952</v>
      </c>
      <c r="I143" s="41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12">
        <f t="shared" si="44"/>
        <v>80</v>
      </c>
      <c r="S143" s="12">
        <f t="shared" si="45"/>
        <v>82</v>
      </c>
      <c r="T143" s="12">
        <v>99.96</v>
      </c>
      <c r="U143" s="39" t="s">
        <v>954</v>
      </c>
      <c r="V143" s="39" t="s">
        <v>954</v>
      </c>
      <c r="X143" s="1" t="s">
        <v>158</v>
      </c>
      <c r="Y143" s="1">
        <v>0</v>
      </c>
      <c r="Z143" s="12"/>
      <c r="AA143" s="12"/>
    </row>
    <row r="144" s="1" customFormat="1" hidden="1" customHeight="1" spans="1:27">
      <c r="A144" s="12"/>
      <c r="B144" s="12"/>
      <c r="C144" s="1" t="s">
        <v>955</v>
      </c>
      <c r="D144" s="1" t="s">
        <v>956</v>
      </c>
      <c r="E144" s="1">
        <v>4</v>
      </c>
      <c r="F144" s="1" t="s">
        <v>957</v>
      </c>
      <c r="G144" s="40" t="s">
        <v>958</v>
      </c>
      <c r="H144" s="39" t="s">
        <v>958</v>
      </c>
      <c r="I144" s="41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12">
        <f t="shared" si="44"/>
        <v>82</v>
      </c>
      <c r="S144" s="12">
        <f t="shared" si="45"/>
        <v>86</v>
      </c>
      <c r="T144" s="12">
        <v>99.98</v>
      </c>
      <c r="U144" s="39" t="s">
        <v>960</v>
      </c>
      <c r="V144" s="39" t="s">
        <v>960</v>
      </c>
      <c r="X144" s="1" t="s">
        <v>158</v>
      </c>
      <c r="Y144" s="1">
        <v>0</v>
      </c>
      <c r="Z144" s="12"/>
      <c r="AA144" s="12"/>
    </row>
    <row r="145" s="1" customFormat="1" hidden="1" customHeight="1" spans="1:27">
      <c r="A145" s="12"/>
      <c r="B145" s="12"/>
      <c r="C145" s="1" t="s">
        <v>961</v>
      </c>
      <c r="D145" s="1" t="s">
        <v>962</v>
      </c>
      <c r="E145" s="1">
        <v>4</v>
      </c>
      <c r="F145" s="1" t="s">
        <v>963</v>
      </c>
      <c r="G145" s="13" t="s">
        <v>964</v>
      </c>
      <c r="H145" s="1" t="s">
        <v>964</v>
      </c>
      <c r="I145" s="17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12">
        <f t="shared" si="44"/>
        <v>84</v>
      </c>
      <c r="S145" s="12">
        <f t="shared" si="45"/>
        <v>90</v>
      </c>
      <c r="T145" s="12">
        <v>99.99</v>
      </c>
      <c r="U145" s="39" t="s">
        <v>966</v>
      </c>
      <c r="V145" s="39" t="s">
        <v>966</v>
      </c>
      <c r="X145" s="1" t="s">
        <v>158</v>
      </c>
      <c r="Y145" s="1">
        <v>0</v>
      </c>
      <c r="Z145" s="12"/>
      <c r="AA145" s="12"/>
    </row>
    <row r="146" s="3" customFormat="1" hidden="1" customHeight="1" spans="1:27">
      <c r="A146" s="20"/>
      <c r="B146" s="20"/>
      <c r="C146" s="45" t="s">
        <v>967</v>
      </c>
      <c r="D146" s="45" t="s">
        <v>968</v>
      </c>
      <c r="E146" s="3">
        <v>5</v>
      </c>
      <c r="F146" s="3" t="s">
        <v>969</v>
      </c>
      <c r="G146" s="21" t="s">
        <v>970</v>
      </c>
      <c r="H146" s="3" t="s">
        <v>971</v>
      </c>
      <c r="I146" s="22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20">
        <f t="shared" ref="R146:R160" si="54">R145+3</f>
        <v>87</v>
      </c>
      <c r="S146" s="20">
        <v>150</v>
      </c>
      <c r="T146" s="20">
        <v>99.99</v>
      </c>
      <c r="U146" s="45" t="s">
        <v>974</v>
      </c>
      <c r="V146" s="45" t="s">
        <v>974</v>
      </c>
      <c r="X146" s="3" t="s">
        <v>158</v>
      </c>
      <c r="Y146" s="3">
        <v>0</v>
      </c>
    </row>
    <row r="147" s="1" customFormat="1" hidden="1" customHeight="1" spans="1:27">
      <c r="A147" s="12"/>
      <c r="B147" s="12"/>
      <c r="C147" s="39" t="s">
        <v>975</v>
      </c>
      <c r="D147" s="39" t="s">
        <v>976</v>
      </c>
      <c r="E147" s="1">
        <v>5</v>
      </c>
      <c r="F147" s="1" t="s">
        <v>977</v>
      </c>
      <c r="G147" s="13" t="s">
        <v>978</v>
      </c>
      <c r="H147" s="13" t="s">
        <v>979</v>
      </c>
      <c r="I147" s="17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12">
        <f t="shared" si="54"/>
        <v>90</v>
      </c>
      <c r="S147" s="12">
        <f t="shared" si="45"/>
        <v>154</v>
      </c>
      <c r="T147" s="12">
        <v>99.99</v>
      </c>
      <c r="U147" s="39" t="s">
        <v>982</v>
      </c>
      <c r="V147" s="39" t="s">
        <v>982</v>
      </c>
      <c r="X147" s="1" t="s">
        <v>158</v>
      </c>
      <c r="Y147" s="1">
        <v>0</v>
      </c>
    </row>
    <row r="148" s="1" customFormat="1" hidden="1" customHeight="1" spans="1:27">
      <c r="A148" s="12"/>
      <c r="B148" s="12"/>
      <c r="C148" s="39" t="s">
        <v>983</v>
      </c>
      <c r="D148" s="39" t="s">
        <v>984</v>
      </c>
      <c r="E148" s="1">
        <v>5</v>
      </c>
      <c r="F148" s="1" t="s">
        <v>985</v>
      </c>
      <c r="G148" s="13" t="s">
        <v>986</v>
      </c>
      <c r="H148" s="13" t="s">
        <v>987</v>
      </c>
      <c r="I148" s="17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12">
        <f t="shared" si="54"/>
        <v>93</v>
      </c>
      <c r="S148" s="12">
        <f t="shared" si="45"/>
        <v>158</v>
      </c>
      <c r="T148" s="12">
        <v>99.99</v>
      </c>
      <c r="U148" s="39" t="s">
        <v>990</v>
      </c>
      <c r="V148" s="39" t="s">
        <v>990</v>
      </c>
      <c r="X148" s="1" t="s">
        <v>158</v>
      </c>
      <c r="Y148" s="1">
        <v>0</v>
      </c>
    </row>
    <row r="149" s="1" customFormat="1" hidden="1" customHeight="1" spans="1:27">
      <c r="A149" s="12"/>
      <c r="B149" s="12"/>
      <c r="C149" s="39" t="s">
        <v>991</v>
      </c>
      <c r="D149" s="39" t="s">
        <v>992</v>
      </c>
      <c r="E149" s="1">
        <v>5</v>
      </c>
      <c r="F149" s="1" t="s">
        <v>993</v>
      </c>
      <c r="G149" s="13" t="s">
        <v>994</v>
      </c>
      <c r="H149" s="13" t="s">
        <v>995</v>
      </c>
      <c r="I149" s="17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12">
        <f t="shared" si="54"/>
        <v>96</v>
      </c>
      <c r="S149" s="12">
        <f t="shared" si="45"/>
        <v>162</v>
      </c>
      <c r="T149" s="12">
        <v>99.99</v>
      </c>
      <c r="U149" s="39" t="s">
        <v>998</v>
      </c>
      <c r="V149" s="39" t="s">
        <v>998</v>
      </c>
      <c r="X149" s="1" t="s">
        <v>158</v>
      </c>
      <c r="Y149" s="1">
        <v>0</v>
      </c>
    </row>
    <row r="150" s="1" customFormat="1" hidden="1" customHeight="1" spans="1:27">
      <c r="A150" s="12"/>
      <c r="B150" s="12"/>
      <c r="C150" s="39" t="s">
        <v>999</v>
      </c>
      <c r="D150" s="39" t="s">
        <v>1000</v>
      </c>
      <c r="E150" s="1">
        <v>5</v>
      </c>
      <c r="F150" s="1" t="s">
        <v>1001</v>
      </c>
      <c r="G150" s="13" t="s">
        <v>1002</v>
      </c>
      <c r="H150" s="13" t="s">
        <v>1003</v>
      </c>
      <c r="I150" s="17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12">
        <f t="shared" si="54"/>
        <v>99</v>
      </c>
      <c r="S150" s="12">
        <f t="shared" si="45"/>
        <v>166</v>
      </c>
      <c r="T150" s="12">
        <v>99.99</v>
      </c>
      <c r="U150" s="39" t="s">
        <v>1006</v>
      </c>
      <c r="V150" s="39" t="s">
        <v>1006</v>
      </c>
      <c r="X150" s="1" t="s">
        <v>158</v>
      </c>
      <c r="Y150" s="1">
        <v>0</v>
      </c>
    </row>
    <row r="151" s="1" customFormat="1" hidden="1" customHeight="1" spans="1:27">
      <c r="A151" s="12"/>
      <c r="B151" s="12"/>
      <c r="C151" s="39" t="s">
        <v>1007</v>
      </c>
      <c r="D151" s="39" t="s">
        <v>1008</v>
      </c>
      <c r="E151" s="1">
        <v>5</v>
      </c>
      <c r="F151" s="1" t="s">
        <v>1009</v>
      </c>
      <c r="G151" s="1" t="s">
        <v>1010</v>
      </c>
      <c r="H151" s="13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12">
        <f t="shared" si="54"/>
        <v>102</v>
      </c>
      <c r="S151" s="12">
        <f t="shared" si="45"/>
        <v>170</v>
      </c>
      <c r="T151" s="12">
        <v>99.99</v>
      </c>
      <c r="U151" s="39" t="s">
        <v>1015</v>
      </c>
      <c r="V151" s="39" t="s">
        <v>1015</v>
      </c>
      <c r="X151" s="1" t="s">
        <v>158</v>
      </c>
      <c r="Y151" s="1">
        <v>0</v>
      </c>
      <c r="Z151" s="12"/>
      <c r="AA151" s="12"/>
    </row>
    <row r="152" s="1" customFormat="1" hidden="1" customHeight="1" spans="1:27">
      <c r="A152" s="12"/>
      <c r="B152" s="12"/>
      <c r="C152" s="39" t="s">
        <v>1016</v>
      </c>
      <c r="D152" s="39" t="s">
        <v>1017</v>
      </c>
      <c r="E152" s="1">
        <v>5</v>
      </c>
      <c r="F152" s="1" t="s">
        <v>1018</v>
      </c>
      <c r="G152" s="1" t="s">
        <v>1019</v>
      </c>
      <c r="H152" s="13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12">
        <f t="shared" si="54"/>
        <v>105</v>
      </c>
      <c r="S152" s="12">
        <f t="shared" si="45"/>
        <v>174</v>
      </c>
      <c r="T152" s="12">
        <v>99.99</v>
      </c>
      <c r="U152" s="39" t="s">
        <v>1024</v>
      </c>
      <c r="V152" s="39" t="s">
        <v>1024</v>
      </c>
      <c r="X152" s="1" t="s">
        <v>158</v>
      </c>
      <c r="Y152" s="1">
        <v>0</v>
      </c>
      <c r="Z152" s="12"/>
      <c r="AA152" s="12"/>
    </row>
    <row r="153" s="1" customFormat="1" hidden="1" customHeight="1" spans="1:27">
      <c r="A153" s="12"/>
      <c r="B153" s="12"/>
      <c r="C153" s="39" t="s">
        <v>1025</v>
      </c>
      <c r="D153" s="39" t="s">
        <v>1026</v>
      </c>
      <c r="E153" s="1">
        <v>5</v>
      </c>
      <c r="F153" s="1" t="s">
        <v>1027</v>
      </c>
      <c r="G153" s="1" t="s">
        <v>1028</v>
      </c>
      <c r="H153" s="13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12">
        <f t="shared" si="54"/>
        <v>108</v>
      </c>
      <c r="S153" s="12">
        <f t="shared" si="45"/>
        <v>178</v>
      </c>
      <c r="T153" s="12">
        <v>99.99</v>
      </c>
      <c r="U153" s="39" t="s">
        <v>1033</v>
      </c>
      <c r="V153" s="39" t="s">
        <v>1033</v>
      </c>
      <c r="X153" s="1" t="s">
        <v>158</v>
      </c>
      <c r="Y153" s="1">
        <v>0</v>
      </c>
      <c r="Z153" s="12"/>
      <c r="AA153" s="12"/>
    </row>
    <row r="154" s="1" customFormat="1" hidden="1" customHeight="1" spans="1:27">
      <c r="A154" s="12"/>
      <c r="B154" s="12"/>
      <c r="C154" s="39" t="s">
        <v>1034</v>
      </c>
      <c r="D154" s="39" t="s">
        <v>1035</v>
      </c>
      <c r="E154" s="1">
        <v>5</v>
      </c>
      <c r="F154" s="1" t="s">
        <v>1036</v>
      </c>
      <c r="G154" s="1" t="s">
        <v>1037</v>
      </c>
      <c r="H154" s="13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12">
        <f t="shared" si="54"/>
        <v>111</v>
      </c>
      <c r="S154" s="12">
        <f t="shared" si="45"/>
        <v>182</v>
      </c>
      <c r="T154" s="12">
        <v>99.99</v>
      </c>
      <c r="U154" s="39" t="s">
        <v>1042</v>
      </c>
      <c r="V154" s="39" t="s">
        <v>1042</v>
      </c>
      <c r="X154" s="1" t="s">
        <v>158</v>
      </c>
      <c r="Y154" s="1">
        <v>0</v>
      </c>
      <c r="Z154" s="12"/>
      <c r="AA154" s="12"/>
    </row>
    <row r="155" s="1" customFormat="1" hidden="1" customHeight="1" spans="1:27">
      <c r="A155" s="12"/>
      <c r="B155" s="12"/>
      <c r="C155" s="39" t="s">
        <v>1043</v>
      </c>
      <c r="D155" s="39" t="s">
        <v>1044</v>
      </c>
      <c r="E155" s="1">
        <v>5</v>
      </c>
      <c r="F155" s="1" t="s">
        <v>1045</v>
      </c>
      <c r="G155" s="1" t="s">
        <v>1046</v>
      </c>
      <c r="H155" s="13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12">
        <f t="shared" si="54"/>
        <v>114</v>
      </c>
      <c r="S155" s="12">
        <f t="shared" si="45"/>
        <v>186</v>
      </c>
      <c r="T155" s="12">
        <v>99.99</v>
      </c>
      <c r="U155" s="39" t="s">
        <v>1051</v>
      </c>
      <c r="V155" s="39" t="s">
        <v>1051</v>
      </c>
      <c r="X155" s="1" t="s">
        <v>158</v>
      </c>
      <c r="Y155" s="1">
        <v>0</v>
      </c>
      <c r="Z155" s="12"/>
      <c r="AA155" s="12"/>
    </row>
    <row r="156" s="1" customFormat="1" hidden="1" customHeight="1" spans="1:27">
      <c r="A156" s="12"/>
      <c r="B156" s="12"/>
      <c r="C156" s="39" t="s">
        <v>1052</v>
      </c>
      <c r="D156" s="39" t="s">
        <v>1053</v>
      </c>
      <c r="E156" s="1">
        <v>5</v>
      </c>
      <c r="F156" s="1" t="s">
        <v>1054</v>
      </c>
      <c r="G156" s="1" t="s">
        <v>1055</v>
      </c>
      <c r="H156" s="13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12">
        <f t="shared" si="54"/>
        <v>117</v>
      </c>
      <c r="S156" s="12">
        <f t="shared" si="45"/>
        <v>190</v>
      </c>
      <c r="T156" s="12">
        <v>99.99</v>
      </c>
      <c r="U156" s="39" t="s">
        <v>1060</v>
      </c>
      <c r="V156" s="39" t="s">
        <v>1060</v>
      </c>
      <c r="X156" s="1" t="s">
        <v>158</v>
      </c>
      <c r="Y156" s="1">
        <v>0</v>
      </c>
      <c r="Z156" s="12"/>
      <c r="AA156" s="12"/>
    </row>
    <row r="157" s="1" customFormat="1" hidden="1" customHeight="1" spans="1:27">
      <c r="A157" s="12"/>
      <c r="B157" s="12"/>
      <c r="C157" s="39" t="s">
        <v>1061</v>
      </c>
      <c r="D157" s="39" t="s">
        <v>1062</v>
      </c>
      <c r="E157" s="1">
        <v>5</v>
      </c>
      <c r="F157" s="1" t="s">
        <v>1063</v>
      </c>
      <c r="G157" s="1" t="s">
        <v>1064</v>
      </c>
      <c r="H157" s="13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12">
        <f t="shared" si="54"/>
        <v>120</v>
      </c>
      <c r="S157" s="12">
        <f t="shared" si="45"/>
        <v>194</v>
      </c>
      <c r="T157" s="12">
        <v>99.99</v>
      </c>
      <c r="U157" s="39" t="s">
        <v>1069</v>
      </c>
      <c r="V157" s="39" t="s">
        <v>1069</v>
      </c>
      <c r="X157" s="1" t="s">
        <v>158</v>
      </c>
      <c r="Y157" s="1">
        <v>0</v>
      </c>
      <c r="Z157" s="12"/>
      <c r="AA157" s="12"/>
    </row>
    <row r="158" s="1" customFormat="1" hidden="1" customHeight="1" spans="1:27">
      <c r="A158" s="12"/>
      <c r="B158" s="12"/>
      <c r="C158" s="39" t="s">
        <v>1070</v>
      </c>
      <c r="D158" s="39" t="s">
        <v>1071</v>
      </c>
      <c r="E158" s="1">
        <v>5</v>
      </c>
      <c r="F158" s="1" t="s">
        <v>1072</v>
      </c>
      <c r="G158" s="1" t="s">
        <v>1073</v>
      </c>
      <c r="H158" s="13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12">
        <f t="shared" si="54"/>
        <v>123</v>
      </c>
      <c r="S158" s="12">
        <f t="shared" si="45"/>
        <v>198</v>
      </c>
      <c r="T158" s="12">
        <v>99.99</v>
      </c>
      <c r="U158" s="39" t="s">
        <v>1078</v>
      </c>
      <c r="V158" s="39" t="s">
        <v>1078</v>
      </c>
      <c r="X158" s="1" t="s">
        <v>158</v>
      </c>
      <c r="Y158" s="1">
        <v>0</v>
      </c>
      <c r="Z158" s="12"/>
      <c r="AA158" s="12"/>
    </row>
    <row r="159" s="1" customFormat="1" hidden="1" customHeight="1" spans="1:27">
      <c r="A159" s="12"/>
      <c r="B159" s="12"/>
      <c r="C159" s="39" t="s">
        <v>1079</v>
      </c>
      <c r="D159" s="39" t="s">
        <v>1080</v>
      </c>
      <c r="E159" s="1">
        <v>5</v>
      </c>
      <c r="F159" s="1" t="s">
        <v>1081</v>
      </c>
      <c r="G159" s="1" t="s">
        <v>1082</v>
      </c>
      <c r="H159" s="13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12">
        <f t="shared" si="54"/>
        <v>126</v>
      </c>
      <c r="S159" s="12">
        <f t="shared" si="45"/>
        <v>202</v>
      </c>
      <c r="T159" s="12">
        <v>99.99</v>
      </c>
      <c r="U159" s="39" t="s">
        <v>1087</v>
      </c>
      <c r="V159" s="39" t="s">
        <v>1087</v>
      </c>
      <c r="X159" s="1" t="s">
        <v>158</v>
      </c>
      <c r="Y159" s="1">
        <v>0</v>
      </c>
      <c r="Z159" s="12"/>
      <c r="AA159" s="12"/>
    </row>
    <row r="160" s="1" customFormat="1" hidden="1" customHeight="1" spans="1:27">
      <c r="A160" s="12"/>
      <c r="B160" s="12"/>
      <c r="C160" s="39" t="s">
        <v>1088</v>
      </c>
      <c r="D160" s="39" t="s">
        <v>1089</v>
      </c>
      <c r="E160" s="1">
        <v>5</v>
      </c>
      <c r="F160" s="1" t="s">
        <v>1090</v>
      </c>
      <c r="G160" s="1" t="s">
        <v>1091</v>
      </c>
      <c r="H160" s="13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12">
        <f t="shared" si="54"/>
        <v>129</v>
      </c>
      <c r="S160" s="12">
        <f t="shared" si="45"/>
        <v>206</v>
      </c>
      <c r="T160" s="12">
        <v>99.99</v>
      </c>
      <c r="U160" s="39" t="s">
        <v>1096</v>
      </c>
      <c r="V160" s="39" t="s">
        <v>1096</v>
      </c>
      <c r="X160" s="1" t="s">
        <v>158</v>
      </c>
      <c r="Y160" s="1">
        <v>0</v>
      </c>
      <c r="Z160" s="12"/>
      <c r="AA160" s="12"/>
    </row>
    <row r="161" s="1" customFormat="1" hidden="1" customHeight="1" spans="1:27">
      <c r="A161" s="12"/>
      <c r="B161" s="12"/>
      <c r="C161" s="39" t="s">
        <v>1097</v>
      </c>
      <c r="D161" s="39" t="s">
        <v>1098</v>
      </c>
      <c r="E161" s="1">
        <v>5</v>
      </c>
      <c r="F161" s="1" t="s">
        <v>1099</v>
      </c>
      <c r="G161" s="1" t="s">
        <v>1100</v>
      </c>
      <c r="H161" s="13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12">
        <f>R160+4</f>
        <v>133</v>
      </c>
      <c r="S161" s="12">
        <f>S160+5</f>
        <v>211</v>
      </c>
      <c r="T161" s="12">
        <v>99.99</v>
      </c>
      <c r="U161" s="39" t="s">
        <v>1105</v>
      </c>
      <c r="V161" s="39" t="s">
        <v>1105</v>
      </c>
      <c r="X161" s="1" t="s">
        <v>158</v>
      </c>
      <c r="Y161" s="1">
        <v>0</v>
      </c>
      <c r="Z161" s="12"/>
      <c r="AA161" s="12"/>
    </row>
    <row r="162" s="1" customFormat="1" hidden="1" customHeight="1" spans="1:27">
      <c r="A162" s="12"/>
      <c r="B162" s="12"/>
      <c r="C162" s="39" t="s">
        <v>1106</v>
      </c>
      <c r="D162" s="39" t="s">
        <v>1107</v>
      </c>
      <c r="E162" s="1">
        <v>5</v>
      </c>
      <c r="F162" s="1" t="s">
        <v>1108</v>
      </c>
      <c r="G162" s="1" t="s">
        <v>1109</v>
      </c>
      <c r="H162" s="13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12">
        <f>R161+4</f>
        <v>137</v>
      </c>
      <c r="S162" s="12">
        <f>S161+5</f>
        <v>216</v>
      </c>
      <c r="T162" s="12">
        <v>99.99</v>
      </c>
      <c r="U162" s="39" t="s">
        <v>1114</v>
      </c>
      <c r="V162" s="39" t="s">
        <v>1114</v>
      </c>
      <c r="X162" s="1" t="s">
        <v>158</v>
      </c>
      <c r="Y162" s="1">
        <v>0</v>
      </c>
      <c r="Z162" s="12"/>
      <c r="AA162" s="12"/>
    </row>
    <row r="163" s="1" customFormat="1" hidden="1" customHeight="1" spans="1:27">
      <c r="A163" s="12"/>
      <c r="B163" s="12"/>
      <c r="C163" s="39" t="s">
        <v>1115</v>
      </c>
      <c r="D163" s="39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46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12">
        <f>R162+4</f>
        <v>141</v>
      </c>
      <c r="S163" s="12">
        <f>S162+5</f>
        <v>221</v>
      </c>
      <c r="T163" s="12">
        <v>99.99</v>
      </c>
      <c r="U163" s="39" t="s">
        <v>1123</v>
      </c>
      <c r="V163" s="39" t="s">
        <v>1123</v>
      </c>
      <c r="X163" s="1" t="s">
        <v>158</v>
      </c>
      <c r="Y163" s="1">
        <v>0</v>
      </c>
      <c r="Z163" s="12"/>
      <c r="AA163" s="12"/>
    </row>
    <row r="164" s="4" customFormat="1" hidden="1" customHeight="1" spans="1:27">
      <c r="A164" s="24"/>
      <c r="B164" s="24"/>
      <c r="C164" s="47" t="s">
        <v>1124</v>
      </c>
      <c r="D164" s="47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48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24">
        <f>R163+4</f>
        <v>145</v>
      </c>
      <c r="S164" s="24">
        <f>S163+5</f>
        <v>226</v>
      </c>
      <c r="T164" s="24">
        <v>99.99</v>
      </c>
      <c r="U164" s="47" t="s">
        <v>1132</v>
      </c>
      <c r="V164" s="47" t="s">
        <v>1132</v>
      </c>
      <c r="X164" s="4" t="s">
        <v>158</v>
      </c>
      <c r="Y164" s="4">
        <v>0</v>
      </c>
      <c r="Z164" s="24"/>
      <c r="AA164" s="24"/>
    </row>
    <row r="165" s="1" customFormat="1" hidden="1" customHeight="1" spans="1:27">
      <c r="A165" s="12"/>
      <c r="B165" s="12"/>
      <c r="C165" s="39" t="s">
        <v>1133</v>
      </c>
      <c r="D165" s="39" t="s">
        <v>1134</v>
      </c>
      <c r="E165" s="1">
        <v>5</v>
      </c>
      <c r="F165" s="1" t="s">
        <v>1135</v>
      </c>
      <c r="G165" s="46" t="s">
        <v>1136</v>
      </c>
      <c r="H165" s="46" t="s">
        <v>1137</v>
      </c>
      <c r="I165" s="46" t="s">
        <v>1138</v>
      </c>
      <c r="J165" s="46" t="s">
        <v>1139</v>
      </c>
      <c r="L165" s="46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12">
        <f>R164+4</f>
        <v>149</v>
      </c>
      <c r="S165" s="12">
        <f>S164+5</f>
        <v>231</v>
      </c>
      <c r="T165" s="12">
        <v>99.99</v>
      </c>
      <c r="U165" s="39" t="s">
        <v>1141</v>
      </c>
      <c r="V165" s="39" t="s">
        <v>1141</v>
      </c>
      <c r="X165" s="1" t="s">
        <v>158</v>
      </c>
      <c r="Y165" s="1">
        <v>0</v>
      </c>
      <c r="Z165" s="12"/>
      <c r="AA165" s="12"/>
    </row>
    <row r="166" hidden="1" customHeight="1" spans="1:27">
      <c r="C166" s="39" t="s">
        <v>1142</v>
      </c>
      <c r="D166" s="39" t="s">
        <v>1143</v>
      </c>
      <c r="E166" s="1">
        <v>5</v>
      </c>
      <c r="F166" s="1" t="s">
        <v>1144</v>
      </c>
      <c r="G166" s="46" t="s">
        <v>1145</v>
      </c>
      <c r="H166" s="46" t="s">
        <v>1146</v>
      </c>
      <c r="I166" s="46" t="s">
        <v>1147</v>
      </c>
      <c r="J166" s="46" t="s">
        <v>1148</v>
      </c>
      <c r="K166" s="1"/>
      <c r="L166" s="46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12">
        <f>R165+5</f>
        <v>154</v>
      </c>
      <c r="S166" s="12">
        <f>S165+6</f>
        <v>237</v>
      </c>
      <c r="T166" s="12">
        <v>99.99</v>
      </c>
      <c r="U166" s="39" t="s">
        <v>1150</v>
      </c>
      <c r="V166" s="39" t="s">
        <v>1150</v>
      </c>
      <c r="X166" s="1" t="s">
        <v>158</v>
      </c>
      <c r="Y166" s="1">
        <v>0</v>
      </c>
    </row>
    <row r="167" hidden="1" customHeight="1" spans="1:27">
      <c r="C167" s="39" t="s">
        <v>1151</v>
      </c>
      <c r="D167" s="39" t="s">
        <v>1152</v>
      </c>
      <c r="E167" s="1">
        <v>5</v>
      </c>
      <c r="F167" s="1" t="s">
        <v>1153</v>
      </c>
      <c r="G167" s="46" t="s">
        <v>1154</v>
      </c>
      <c r="H167" s="46" t="s">
        <v>1155</v>
      </c>
      <c r="I167" s="46" t="s">
        <v>1156</v>
      </c>
      <c r="J167" s="46" t="s">
        <v>1157</v>
      </c>
      <c r="K167" s="1"/>
      <c r="L167" s="46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12">
        <f>R166+5</f>
        <v>159</v>
      </c>
      <c r="S167" s="12">
        <f>S166+6</f>
        <v>243</v>
      </c>
      <c r="T167" s="12">
        <v>99.99</v>
      </c>
      <c r="U167" s="39" t="s">
        <v>1159</v>
      </c>
      <c r="V167" s="39" t="s">
        <v>1159</v>
      </c>
      <c r="X167" s="1" t="s">
        <v>158</v>
      </c>
      <c r="Y167" s="1">
        <v>0</v>
      </c>
    </row>
    <row r="168" hidden="1" customHeight="1" spans="1:27">
      <c r="C168" s="39" t="s">
        <v>1160</v>
      </c>
      <c r="D168" s="39" t="s">
        <v>1161</v>
      </c>
      <c r="E168" s="1">
        <v>5</v>
      </c>
      <c r="F168" s="1" t="s">
        <v>1162</v>
      </c>
      <c r="G168" s="46" t="s">
        <v>1163</v>
      </c>
      <c r="H168" s="46" t="s">
        <v>1164</v>
      </c>
      <c r="I168" s="46" t="s">
        <v>1165</v>
      </c>
      <c r="J168" s="46" t="s">
        <v>1166</v>
      </c>
      <c r="K168" s="1"/>
      <c r="L168" s="46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12">
        <f>R167+5</f>
        <v>164</v>
      </c>
      <c r="S168" s="12">
        <f>S167+6</f>
        <v>249</v>
      </c>
      <c r="T168" s="12">
        <v>99.99</v>
      </c>
      <c r="U168" s="39" t="s">
        <v>1168</v>
      </c>
      <c r="V168" s="39" t="s">
        <v>1168</v>
      </c>
      <c r="X168" s="1" t="s">
        <v>158</v>
      </c>
      <c r="Y168" s="1">
        <v>0</v>
      </c>
    </row>
    <row r="169" hidden="1" customHeight="1" spans="1:27">
      <c r="C169" s="39" t="s">
        <v>1169</v>
      </c>
      <c r="D169" s="39" t="s">
        <v>1170</v>
      </c>
      <c r="E169" s="1">
        <v>5</v>
      </c>
      <c r="F169" s="1" t="s">
        <v>1171</v>
      </c>
      <c r="G169" s="46" t="s">
        <v>1172</v>
      </c>
      <c r="H169" s="46" t="s">
        <v>1173</v>
      </c>
      <c r="I169" s="46" t="s">
        <v>1174</v>
      </c>
      <c r="J169" s="46" t="s">
        <v>1175</v>
      </c>
      <c r="K169" s="1"/>
      <c r="L169" s="46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12">
        <f>R168+5</f>
        <v>169</v>
      </c>
      <c r="S169" s="12">
        <f>S168+6</f>
        <v>255</v>
      </c>
      <c r="T169" s="12">
        <v>99.99</v>
      </c>
      <c r="U169" s="39" t="s">
        <v>1177</v>
      </c>
      <c r="V169" s="39" t="s">
        <v>1177</v>
      </c>
      <c r="X169" s="1" t="s">
        <v>158</v>
      </c>
      <c r="Y169" s="1">
        <v>0</v>
      </c>
    </row>
    <row r="170" hidden="1" customHeight="1" spans="1:27">
      <c r="C170" s="39" t="s">
        <v>1178</v>
      </c>
      <c r="D170" s="39" t="s">
        <v>1179</v>
      </c>
      <c r="E170" s="1">
        <v>5</v>
      </c>
      <c r="F170" s="1" t="s">
        <v>462</v>
      </c>
      <c r="G170" s="46" t="s">
        <v>1180</v>
      </c>
      <c r="H170" s="46" t="s">
        <v>1181</v>
      </c>
      <c r="I170" s="46" t="s">
        <v>1182</v>
      </c>
      <c r="J170" s="46" t="s">
        <v>1183</v>
      </c>
      <c r="K170" s="1"/>
      <c r="L170" s="46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12">
        <f>R169+5</f>
        <v>174</v>
      </c>
      <c r="S170" s="12">
        <f>S169+6</f>
        <v>261</v>
      </c>
      <c r="T170" s="12">
        <v>99.99</v>
      </c>
      <c r="U170" s="39" t="s">
        <v>1185</v>
      </c>
      <c r="V170" s="39" t="s">
        <v>1185</v>
      </c>
      <c r="X170" s="1" t="s">
        <v>158</v>
      </c>
      <c r="Y170" s="1">
        <v>0</v>
      </c>
    </row>
    <row r="171" s="1" customFormat="1" hidden="1" customHeight="1" spans="1:27">
      <c r="A171" s="12"/>
      <c r="B171" s="12"/>
      <c r="C171" s="39" t="s">
        <v>1186</v>
      </c>
      <c r="D171" s="39" t="s">
        <v>1187</v>
      </c>
      <c r="E171" s="1">
        <v>5</v>
      </c>
      <c r="F171" s="1" t="s">
        <v>1188</v>
      </c>
      <c r="G171" s="46" t="s">
        <v>1189</v>
      </c>
      <c r="H171" s="46" t="s">
        <v>1190</v>
      </c>
      <c r="I171" s="46" t="s">
        <v>1191</v>
      </c>
      <c r="J171" s="46" t="s">
        <v>1192</v>
      </c>
      <c r="L171" s="46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12">
        <f t="shared" ref="R171:R175" si="60">R170+6</f>
        <v>180</v>
      </c>
      <c r="S171" s="12">
        <f t="shared" ref="S171:S175" si="61">S170+7</f>
        <v>268</v>
      </c>
      <c r="T171" s="12">
        <v>99.99</v>
      </c>
      <c r="U171" s="39" t="s">
        <v>1194</v>
      </c>
      <c r="V171" s="39" t="s">
        <v>1194</v>
      </c>
      <c r="X171" s="1" t="s">
        <v>158</v>
      </c>
      <c r="Y171" s="1">
        <v>0</v>
      </c>
      <c r="Z171" s="12"/>
      <c r="AA171" s="12"/>
    </row>
    <row r="172" s="1" customFormat="1" hidden="1" customHeight="1" spans="1:27">
      <c r="A172" s="12"/>
      <c r="B172" s="12"/>
      <c r="C172" s="39" t="s">
        <v>1195</v>
      </c>
      <c r="D172" s="39" t="s">
        <v>1196</v>
      </c>
      <c r="E172" s="1">
        <v>5</v>
      </c>
      <c r="F172" s="1" t="s">
        <v>1197</v>
      </c>
      <c r="G172" s="46" t="s">
        <v>1198</v>
      </c>
      <c r="H172" s="46" t="s">
        <v>1199</v>
      </c>
      <c r="I172" s="46" t="s">
        <v>1200</v>
      </c>
      <c r="J172" s="46" t="s">
        <v>1201</v>
      </c>
      <c r="L172" s="46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12">
        <f t="shared" si="60"/>
        <v>186</v>
      </c>
      <c r="S172" s="12">
        <f t="shared" si="61"/>
        <v>275</v>
      </c>
      <c r="T172" s="12">
        <v>99.99</v>
      </c>
      <c r="U172" s="39" t="s">
        <v>1203</v>
      </c>
      <c r="V172" s="39" t="s">
        <v>1203</v>
      </c>
      <c r="X172" s="1" t="s">
        <v>158</v>
      </c>
      <c r="Y172" s="1">
        <v>0</v>
      </c>
      <c r="Z172" s="12"/>
      <c r="AA172" s="12"/>
    </row>
    <row r="173" s="1" customFormat="1" hidden="1" customHeight="1" spans="1:27">
      <c r="A173" s="12"/>
      <c r="B173" s="12"/>
      <c r="C173" s="39" t="s">
        <v>1204</v>
      </c>
      <c r="D173" s="39" t="s">
        <v>1205</v>
      </c>
      <c r="E173" s="1">
        <v>5</v>
      </c>
      <c r="F173" s="1" t="s">
        <v>1206</v>
      </c>
      <c r="G173" s="46" t="s">
        <v>1207</v>
      </c>
      <c r="H173" s="46" t="s">
        <v>1208</v>
      </c>
      <c r="I173" s="46" t="s">
        <v>1209</v>
      </c>
      <c r="J173" s="46" t="s">
        <v>1210</v>
      </c>
      <c r="L173" s="46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12">
        <f t="shared" si="60"/>
        <v>192</v>
      </c>
      <c r="S173" s="12">
        <f t="shared" si="61"/>
        <v>282</v>
      </c>
      <c r="T173" s="12">
        <v>99.99</v>
      </c>
      <c r="U173" s="39" t="s">
        <v>1212</v>
      </c>
      <c r="V173" s="39" t="s">
        <v>1212</v>
      </c>
      <c r="X173" s="1" t="s">
        <v>158</v>
      </c>
      <c r="Y173" s="1">
        <v>0</v>
      </c>
      <c r="Z173" s="12"/>
      <c r="AA173" s="12"/>
    </row>
    <row r="174" s="1" customFormat="1" hidden="1" customHeight="1" spans="1:27">
      <c r="A174" s="12"/>
      <c r="B174" s="12"/>
      <c r="C174" s="39" t="s">
        <v>1213</v>
      </c>
      <c r="D174" s="39" t="s">
        <v>1214</v>
      </c>
      <c r="E174" s="1">
        <v>5</v>
      </c>
      <c r="F174" s="1" t="s">
        <v>1215</v>
      </c>
      <c r="G174" s="46" t="s">
        <v>1216</v>
      </c>
      <c r="H174" s="46" t="s">
        <v>1217</v>
      </c>
      <c r="I174" s="46" t="s">
        <v>1218</v>
      </c>
      <c r="J174" s="46" t="s">
        <v>1219</v>
      </c>
      <c r="L174" s="46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12">
        <f t="shared" si="60"/>
        <v>198</v>
      </c>
      <c r="S174" s="12">
        <f t="shared" si="61"/>
        <v>289</v>
      </c>
      <c r="T174" s="12">
        <v>99.99</v>
      </c>
      <c r="U174" s="39" t="s">
        <v>1221</v>
      </c>
      <c r="V174" s="39" t="s">
        <v>1221</v>
      </c>
      <c r="X174" s="1" t="s">
        <v>158</v>
      </c>
      <c r="Y174" s="1">
        <v>0</v>
      </c>
      <c r="Z174" s="12"/>
      <c r="AA174" s="12"/>
    </row>
    <row r="175" s="1" customFormat="1" customHeight="1" spans="1:27">
      <c r="A175" s="12"/>
      <c r="B175" s="12"/>
      <c r="C175" s="39" t="s">
        <v>1222</v>
      </c>
      <c r="D175" s="39" t="s">
        <v>1223</v>
      </c>
      <c r="E175" s="1">
        <v>5</v>
      </c>
      <c r="F175" s="1" t="s">
        <v>1224</v>
      </c>
      <c r="G175" s="46" t="s">
        <v>1225</v>
      </c>
      <c r="H175" s="46" t="s">
        <v>1226</v>
      </c>
      <c r="I175" s="46" t="s">
        <v>1227</v>
      </c>
      <c r="J175" s="46" t="s">
        <v>1228</v>
      </c>
      <c r="L175" s="46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12">
        <f t="shared" si="60"/>
        <v>204</v>
      </c>
      <c r="S175" s="12">
        <f t="shared" si="61"/>
        <v>296</v>
      </c>
      <c r="T175" s="12">
        <v>99.99</v>
      </c>
      <c r="U175" s="39" t="s">
        <v>1230</v>
      </c>
      <c r="V175" s="39" t="s">
        <v>1230</v>
      </c>
      <c r="X175" s="1" t="s">
        <v>158</v>
      </c>
      <c r="Y175" s="1">
        <v>0</v>
      </c>
      <c r="Z175" s="12"/>
      <c r="AA175" s="12"/>
    </row>
    <row r="176" s="1" customFormat="1" customHeight="1" spans="1:27">
      <c r="A176" s="12"/>
      <c r="B176" s="12"/>
      <c r="C176" s="39" t="s">
        <v>1231</v>
      </c>
      <c r="D176" s="39" t="s">
        <v>1232</v>
      </c>
      <c r="E176" s="1">
        <v>5</v>
      </c>
      <c r="F176" s="1" t="s">
        <v>1233</v>
      </c>
      <c r="G176" s="46" t="s">
        <v>1234</v>
      </c>
      <c r="H176" s="46" t="s">
        <v>1235</v>
      </c>
      <c r="I176" s="46" t="s">
        <v>1236</v>
      </c>
      <c r="J176" s="46" t="s">
        <v>1237</v>
      </c>
      <c r="L176" s="46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12">
        <f t="shared" ref="R176:R180" si="64">R175+7</f>
        <v>211</v>
      </c>
      <c r="S176" s="12">
        <f t="shared" ref="S176:S185" si="65">S175+8</f>
        <v>304</v>
      </c>
      <c r="T176" s="12">
        <v>99.99</v>
      </c>
      <c r="U176" s="39" t="s">
        <v>1239</v>
      </c>
      <c r="V176" s="39" t="s">
        <v>1239</v>
      </c>
      <c r="X176" s="1" t="s">
        <v>158</v>
      </c>
      <c r="Y176" s="1">
        <v>0</v>
      </c>
      <c r="Z176" s="12"/>
      <c r="AA176" s="12"/>
    </row>
    <row r="177" s="1" customFormat="1" customHeight="1" spans="1:27">
      <c r="A177" s="12"/>
      <c r="B177" s="12"/>
      <c r="C177" s="39" t="s">
        <v>1240</v>
      </c>
      <c r="D177" s="39" t="s">
        <v>1241</v>
      </c>
      <c r="E177" s="1">
        <v>5</v>
      </c>
      <c r="F177" s="1" t="s">
        <v>1242</v>
      </c>
      <c r="G177" s="46" t="s">
        <v>1243</v>
      </c>
      <c r="H177" s="46" t="s">
        <v>1244</v>
      </c>
      <c r="I177" s="46" t="s">
        <v>1245</v>
      </c>
      <c r="J177" s="46" t="s">
        <v>1246</v>
      </c>
      <c r="L177" s="46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12">
        <f t="shared" si="64"/>
        <v>218</v>
      </c>
      <c r="S177" s="12">
        <f t="shared" si="65"/>
        <v>312</v>
      </c>
      <c r="T177" s="12">
        <v>99.99</v>
      </c>
      <c r="U177" s="39" t="s">
        <v>1248</v>
      </c>
      <c r="V177" s="39" t="s">
        <v>1248</v>
      </c>
      <c r="X177" s="1" t="s">
        <v>158</v>
      </c>
      <c r="Y177" s="1">
        <v>0</v>
      </c>
      <c r="Z177" s="12"/>
      <c r="AA177" s="12"/>
    </row>
    <row r="178" s="1" customFormat="1" customHeight="1" spans="1:27">
      <c r="A178" s="12"/>
      <c r="B178" s="12"/>
      <c r="C178" s="39" t="s">
        <v>1249</v>
      </c>
      <c r="D178" s="39" t="s">
        <v>1250</v>
      </c>
      <c r="E178" s="1">
        <v>5</v>
      </c>
      <c r="F178" s="1" t="s">
        <v>1251</v>
      </c>
      <c r="G178" s="46" t="s">
        <v>1252</v>
      </c>
      <c r="H178" s="46" t="s">
        <v>1253</v>
      </c>
      <c r="I178" s="46" t="s">
        <v>1254</v>
      </c>
      <c r="J178" s="46" t="s">
        <v>1255</v>
      </c>
      <c r="L178" s="46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12">
        <f t="shared" si="64"/>
        <v>225</v>
      </c>
      <c r="S178" s="12">
        <f t="shared" si="65"/>
        <v>320</v>
      </c>
      <c r="T178" s="12">
        <v>99.99</v>
      </c>
      <c r="U178" s="39" t="s">
        <v>1257</v>
      </c>
      <c r="V178" s="39" t="s">
        <v>1257</v>
      </c>
      <c r="X178" s="1" t="s">
        <v>158</v>
      </c>
      <c r="Y178" s="1">
        <v>0</v>
      </c>
      <c r="Z178" s="12"/>
      <c r="AA178" s="12"/>
    </row>
    <row r="179" s="1" customFormat="1" customHeight="1" spans="1:27">
      <c r="A179" s="12"/>
      <c r="B179" s="12"/>
      <c r="C179" s="39" t="s">
        <v>1258</v>
      </c>
      <c r="D179" s="39" t="s">
        <v>1259</v>
      </c>
      <c r="E179" s="1">
        <v>5</v>
      </c>
      <c r="F179" s="1" t="s">
        <v>1260</v>
      </c>
      <c r="G179" s="46" t="s">
        <v>1261</v>
      </c>
      <c r="H179" s="46" t="s">
        <v>1262</v>
      </c>
      <c r="I179" s="46" t="s">
        <v>1263</v>
      </c>
      <c r="J179" s="46" t="s">
        <v>1264</v>
      </c>
      <c r="L179" s="46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12">
        <f t="shared" si="64"/>
        <v>232</v>
      </c>
      <c r="S179" s="12">
        <f t="shared" si="65"/>
        <v>328</v>
      </c>
      <c r="T179" s="12">
        <v>99.99</v>
      </c>
      <c r="U179" s="39" t="s">
        <v>1266</v>
      </c>
      <c r="V179" s="39" t="s">
        <v>1266</v>
      </c>
      <c r="X179" s="1" t="s">
        <v>158</v>
      </c>
      <c r="Y179" s="1">
        <v>0</v>
      </c>
      <c r="Z179" s="12"/>
      <c r="AA179" s="12"/>
    </row>
    <row r="180" s="1" customFormat="1" customHeight="1" spans="1:27">
      <c r="A180" s="12"/>
      <c r="B180" s="12"/>
      <c r="C180" s="39" t="s">
        <v>1267</v>
      </c>
      <c r="D180" s="39" t="s">
        <v>1268</v>
      </c>
      <c r="E180" s="1">
        <v>5</v>
      </c>
      <c r="F180" s="1" t="s">
        <v>1269</v>
      </c>
      <c r="G180" s="46" t="s">
        <v>1270</v>
      </c>
      <c r="H180" s="46" t="s">
        <v>1271</v>
      </c>
      <c r="I180" s="46" t="s">
        <v>1272</v>
      </c>
      <c r="J180" s="46" t="s">
        <v>1273</v>
      </c>
      <c r="L180" s="46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12">
        <f t="shared" si="64"/>
        <v>239</v>
      </c>
      <c r="S180" s="12">
        <f t="shared" si="65"/>
        <v>336</v>
      </c>
      <c r="T180" s="12">
        <v>99.99</v>
      </c>
      <c r="U180" s="39" t="s">
        <v>1275</v>
      </c>
      <c r="V180" s="39" t="s">
        <v>1275</v>
      </c>
      <c r="X180" s="1" t="s">
        <v>158</v>
      </c>
      <c r="Y180" s="1">
        <v>0</v>
      </c>
      <c r="Z180" s="12"/>
      <c r="AA180" s="12"/>
    </row>
    <row r="181" s="3" customFormat="1" customHeight="1" spans="1:27">
      <c r="A181" s="20"/>
      <c r="B181" s="20"/>
      <c r="C181" s="45" t="s">
        <v>1276</v>
      </c>
      <c r="D181" s="45" t="s">
        <v>1277</v>
      </c>
      <c r="E181" s="3">
        <v>6</v>
      </c>
      <c r="F181" s="3" t="s">
        <v>1278</v>
      </c>
      <c r="G181" s="49" t="s">
        <v>1279</v>
      </c>
      <c r="H181" s="49" t="s">
        <v>1280</v>
      </c>
      <c r="I181" s="49" t="s">
        <v>1281</v>
      </c>
      <c r="J181" s="49" t="s">
        <v>1282</v>
      </c>
      <c r="K181" s="45" t="s">
        <v>1283</v>
      </c>
      <c r="L181" s="49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20">
        <f t="shared" ref="R181:R185" si="66">R180+9</f>
        <v>248</v>
      </c>
      <c r="S181" s="20">
        <f>S180+10</f>
        <v>346</v>
      </c>
      <c r="T181" s="20">
        <v>99.99</v>
      </c>
      <c r="U181" s="45" t="s">
        <v>1285</v>
      </c>
      <c r="V181" s="45" t="s">
        <v>1285</v>
      </c>
      <c r="X181" s="3" t="s">
        <v>158</v>
      </c>
      <c r="Y181" s="3">
        <v>0</v>
      </c>
    </row>
    <row r="182" s="5" customFormat="1" customHeight="1" spans="1:27">
      <c r="A182" s="16"/>
      <c r="B182" s="16"/>
      <c r="C182" s="50" t="s">
        <v>1286</v>
      </c>
      <c r="D182" s="50" t="s">
        <v>1287</v>
      </c>
      <c r="E182" s="5">
        <v>6</v>
      </c>
      <c r="F182" s="5" t="s">
        <v>1288</v>
      </c>
      <c r="G182" s="46" t="s">
        <v>1289</v>
      </c>
      <c r="H182" s="46" t="s">
        <v>1290</v>
      </c>
      <c r="I182" s="46" t="s">
        <v>1291</v>
      </c>
      <c r="J182" s="46" t="s">
        <v>1292</v>
      </c>
      <c r="K182" s="50" t="s">
        <v>1293</v>
      </c>
      <c r="L182" s="46" t="s">
        <v>1294</v>
      </c>
      <c r="M182" s="5">
        <f t="shared" ref="M182:M185" si="67">M181+1000</f>
        <v>44000</v>
      </c>
      <c r="N182" s="5">
        <f t="shared" ref="N182:N185" si="68">N181+1000</f>
        <v>44000</v>
      </c>
      <c r="O182" s="5">
        <f t="shared" ref="O182:O185" si="69">O181+500</f>
        <v>22500</v>
      </c>
      <c r="P182" s="5">
        <f t="shared" ref="P182:P185" si="70">P181+500</f>
        <v>22500</v>
      </c>
      <c r="Q182" s="5">
        <f t="shared" ref="Q182:Q215" si="71">Q181+5</f>
        <v>105</v>
      </c>
      <c r="R182" s="16">
        <f t="shared" si="66"/>
        <v>257</v>
      </c>
      <c r="S182" s="12">
        <f>S181+10</f>
        <v>356</v>
      </c>
      <c r="T182" s="16">
        <v>99.99</v>
      </c>
      <c r="U182" s="50" t="s">
        <v>1295</v>
      </c>
      <c r="V182" s="50" t="s">
        <v>1295</v>
      </c>
      <c r="X182" s="5" t="s">
        <v>158</v>
      </c>
      <c r="Y182" s="5">
        <v>0</v>
      </c>
    </row>
    <row r="183" s="1" customFormat="1" customHeight="1" spans="1:27">
      <c r="A183" s="12"/>
      <c r="B183" s="12"/>
      <c r="C183" s="39" t="s">
        <v>1296</v>
      </c>
      <c r="D183" s="39" t="s">
        <v>1297</v>
      </c>
      <c r="E183" s="1">
        <v>6</v>
      </c>
      <c r="F183" s="1" t="s">
        <v>1298</v>
      </c>
      <c r="G183" s="46" t="s">
        <v>1299</v>
      </c>
      <c r="H183" s="46" t="s">
        <v>1300</v>
      </c>
      <c r="I183" s="46" t="s">
        <v>1301</v>
      </c>
      <c r="J183" s="46" t="s">
        <v>1302</v>
      </c>
      <c r="K183" s="50" t="s">
        <v>1303</v>
      </c>
      <c r="L183" s="46" t="s">
        <v>1304</v>
      </c>
      <c r="M183" s="5">
        <f t="shared" si="67"/>
        <v>45000</v>
      </c>
      <c r="N183" s="5">
        <f t="shared" si="68"/>
        <v>45000</v>
      </c>
      <c r="O183" s="5">
        <f t="shared" si="69"/>
        <v>23000</v>
      </c>
      <c r="P183" s="5">
        <f t="shared" si="70"/>
        <v>23000</v>
      </c>
      <c r="Q183" s="1">
        <f t="shared" si="71"/>
        <v>110</v>
      </c>
      <c r="R183" s="16">
        <f t="shared" si="66"/>
        <v>266</v>
      </c>
      <c r="S183" s="12">
        <f>S182+10</f>
        <v>366</v>
      </c>
      <c r="T183" s="12">
        <v>99.99</v>
      </c>
      <c r="U183" s="50" t="s">
        <v>513</v>
      </c>
      <c r="V183" s="50" t="s">
        <v>513</v>
      </c>
      <c r="X183" s="1" t="s">
        <v>158</v>
      </c>
      <c r="Y183" s="1">
        <v>0</v>
      </c>
    </row>
    <row r="184" s="1" customFormat="1" customHeight="1" spans="1:27">
      <c r="A184" s="12"/>
      <c r="B184" s="12"/>
      <c r="C184" s="39" t="s">
        <v>1305</v>
      </c>
      <c r="D184" s="39" t="s">
        <v>1306</v>
      </c>
      <c r="E184" s="1">
        <v>6</v>
      </c>
      <c r="F184" s="1" t="s">
        <v>1307</v>
      </c>
      <c r="G184" s="46" t="s">
        <v>1308</v>
      </c>
      <c r="H184" s="46" t="s">
        <v>1309</v>
      </c>
      <c r="I184" s="46" t="s">
        <v>1310</v>
      </c>
      <c r="J184" s="46" t="s">
        <v>1311</v>
      </c>
      <c r="K184" s="50" t="s">
        <v>1312</v>
      </c>
      <c r="L184" s="46" t="s">
        <v>1279</v>
      </c>
      <c r="M184" s="5">
        <f t="shared" si="67"/>
        <v>46000</v>
      </c>
      <c r="N184" s="5">
        <f t="shared" si="68"/>
        <v>46000</v>
      </c>
      <c r="O184" s="5">
        <f t="shared" si="69"/>
        <v>23500</v>
      </c>
      <c r="P184" s="5">
        <f t="shared" si="70"/>
        <v>23500</v>
      </c>
      <c r="Q184" s="1">
        <f t="shared" si="71"/>
        <v>115</v>
      </c>
      <c r="R184" s="16">
        <f t="shared" si="66"/>
        <v>275</v>
      </c>
      <c r="S184" s="12">
        <f>S183+10</f>
        <v>376</v>
      </c>
      <c r="T184" s="12">
        <v>99.99</v>
      </c>
      <c r="U184" s="50" t="s">
        <v>1313</v>
      </c>
      <c r="V184" s="50" t="s">
        <v>1313</v>
      </c>
      <c r="X184" s="1" t="s">
        <v>158</v>
      </c>
      <c r="Y184" s="1">
        <v>0</v>
      </c>
    </row>
    <row r="185" s="1" customFormat="1" customHeight="1" spans="1:27">
      <c r="A185" s="12"/>
      <c r="B185" s="12"/>
      <c r="C185" s="39" t="s">
        <v>1314</v>
      </c>
      <c r="D185" s="39" t="s">
        <v>1315</v>
      </c>
      <c r="E185" s="1">
        <v>6</v>
      </c>
      <c r="F185" s="1" t="s">
        <v>1316</v>
      </c>
      <c r="G185" s="46" t="s">
        <v>1317</v>
      </c>
      <c r="H185" s="46" t="s">
        <v>1318</v>
      </c>
      <c r="I185" s="46" t="s">
        <v>1319</v>
      </c>
      <c r="J185" s="46" t="s">
        <v>1320</v>
      </c>
      <c r="K185" s="50" t="s">
        <v>1321</v>
      </c>
      <c r="L185" s="46" t="s">
        <v>1289</v>
      </c>
      <c r="M185" s="5">
        <f t="shared" si="67"/>
        <v>47000</v>
      </c>
      <c r="N185" s="5">
        <f t="shared" si="68"/>
        <v>47000</v>
      </c>
      <c r="O185" s="5">
        <f t="shared" si="69"/>
        <v>24000</v>
      </c>
      <c r="P185" s="5">
        <f t="shared" si="70"/>
        <v>24000</v>
      </c>
      <c r="Q185" s="1">
        <f t="shared" si="71"/>
        <v>120</v>
      </c>
      <c r="R185" s="16">
        <f t="shared" si="66"/>
        <v>284</v>
      </c>
      <c r="S185" s="12">
        <f>S184+10</f>
        <v>386</v>
      </c>
      <c r="T185" s="12">
        <v>99.99</v>
      </c>
      <c r="U185" s="50" t="s">
        <v>1322</v>
      </c>
      <c r="V185" s="50" t="s">
        <v>1322</v>
      </c>
      <c r="X185" s="1" t="s">
        <v>158</v>
      </c>
      <c r="Y185" s="1">
        <v>0</v>
      </c>
    </row>
    <row r="186" s="6" customFormat="1" customHeight="1" spans="1:27">
      <c r="A186" s="27"/>
      <c r="B186" s="27"/>
      <c r="C186" s="51" t="s">
        <v>1323</v>
      </c>
      <c r="D186" s="51" t="s">
        <v>1324</v>
      </c>
      <c r="E186" s="6">
        <v>6</v>
      </c>
      <c r="F186" s="6" t="s">
        <v>1325</v>
      </c>
      <c r="G186" s="46" t="s">
        <v>1326</v>
      </c>
      <c r="H186" s="52" t="s">
        <v>1327</v>
      </c>
      <c r="I186" s="52" t="s">
        <v>1328</v>
      </c>
      <c r="J186" s="52" t="s">
        <v>1329</v>
      </c>
      <c r="K186" s="50" t="s">
        <v>1330</v>
      </c>
      <c r="L186" s="52" t="s">
        <v>1331</v>
      </c>
      <c r="M186" s="6">
        <f t="shared" si="50"/>
        <v>47600</v>
      </c>
      <c r="N186" s="6">
        <f t="shared" si="51"/>
        <v>47600</v>
      </c>
      <c r="O186" s="6">
        <f t="shared" ref="O181:O205" si="72">O185+250</f>
        <v>24250</v>
      </c>
      <c r="P186" s="6">
        <f t="shared" ref="P181:P205" si="73">P185+250</f>
        <v>24250</v>
      </c>
      <c r="Q186" s="6">
        <f t="shared" si="71"/>
        <v>125</v>
      </c>
      <c r="R186" s="27">
        <f t="shared" ref="R186:R215" si="74">R185+10</f>
        <v>294</v>
      </c>
      <c r="S186" s="27">
        <f t="shared" ref="S186:S190" si="75">S185+12</f>
        <v>398</v>
      </c>
      <c r="T186" s="27">
        <v>99.99</v>
      </c>
      <c r="U186" s="51" t="s">
        <v>1332</v>
      </c>
      <c r="V186" s="51" t="s">
        <v>1332</v>
      </c>
      <c r="X186" s="6" t="s">
        <v>158</v>
      </c>
      <c r="Y186" s="6">
        <v>0</v>
      </c>
      <c r="Z186" s="27"/>
      <c r="AA186" s="27"/>
    </row>
    <row r="187" s="6" customFormat="1" customHeight="1" spans="1:27">
      <c r="A187" s="27"/>
      <c r="B187" s="27"/>
      <c r="C187" s="51" t="s">
        <v>1333</v>
      </c>
      <c r="D187" s="51" t="s">
        <v>1334</v>
      </c>
      <c r="E187" s="6">
        <v>6</v>
      </c>
      <c r="F187" s="6" t="s">
        <v>1335</v>
      </c>
      <c r="G187" s="46" t="s">
        <v>1336</v>
      </c>
      <c r="H187" s="52" t="s">
        <v>1337</v>
      </c>
      <c r="I187" s="52" t="s">
        <v>1338</v>
      </c>
      <c r="J187" s="52" t="s">
        <v>1339</v>
      </c>
      <c r="K187" s="50" t="s">
        <v>1340</v>
      </c>
      <c r="L187" s="52" t="s">
        <v>1341</v>
      </c>
      <c r="M187" s="6">
        <f t="shared" si="50"/>
        <v>48200</v>
      </c>
      <c r="N187" s="6">
        <f t="shared" si="51"/>
        <v>48200</v>
      </c>
      <c r="O187" s="6">
        <f t="shared" si="72"/>
        <v>24500</v>
      </c>
      <c r="P187" s="6">
        <f t="shared" si="73"/>
        <v>24500</v>
      </c>
      <c r="Q187" s="6">
        <f t="shared" si="71"/>
        <v>130</v>
      </c>
      <c r="R187" s="27">
        <f t="shared" si="74"/>
        <v>304</v>
      </c>
      <c r="S187" s="27">
        <f t="shared" si="75"/>
        <v>410</v>
      </c>
      <c r="T187" s="27">
        <v>99.99</v>
      </c>
      <c r="U187" s="51" t="s">
        <v>1342</v>
      </c>
      <c r="V187" s="51" t="s">
        <v>1342</v>
      </c>
      <c r="X187" s="6" t="s">
        <v>158</v>
      </c>
      <c r="Y187" s="6">
        <v>0</v>
      </c>
      <c r="Z187" s="27"/>
      <c r="AA187" s="27"/>
    </row>
    <row r="188" s="6" customFormat="1" customHeight="1" spans="1:27">
      <c r="A188" s="27"/>
      <c r="B188" s="27"/>
      <c r="C188" s="51" t="s">
        <v>1343</v>
      </c>
      <c r="D188" s="51" t="s">
        <v>1344</v>
      </c>
      <c r="E188" s="6">
        <v>6</v>
      </c>
      <c r="F188" s="6" t="s">
        <v>1345</v>
      </c>
      <c r="G188" s="46" t="s">
        <v>1346</v>
      </c>
      <c r="H188" s="52" t="s">
        <v>1347</v>
      </c>
      <c r="I188" s="52" t="s">
        <v>1348</v>
      </c>
      <c r="J188" s="52" t="s">
        <v>1349</v>
      </c>
      <c r="K188" s="50" t="s">
        <v>1350</v>
      </c>
      <c r="L188" s="52" t="s">
        <v>1351</v>
      </c>
      <c r="M188" s="6">
        <f t="shared" si="50"/>
        <v>48800</v>
      </c>
      <c r="N188" s="6">
        <f t="shared" si="51"/>
        <v>48800</v>
      </c>
      <c r="O188" s="6">
        <f t="shared" si="72"/>
        <v>24750</v>
      </c>
      <c r="P188" s="6">
        <f t="shared" si="73"/>
        <v>24750</v>
      </c>
      <c r="Q188" s="6">
        <f t="shared" si="71"/>
        <v>135</v>
      </c>
      <c r="R188" s="27">
        <f t="shared" si="74"/>
        <v>314</v>
      </c>
      <c r="S188" s="27">
        <f t="shared" si="75"/>
        <v>422</v>
      </c>
      <c r="T188" s="27">
        <v>99.99</v>
      </c>
      <c r="U188" s="51" t="s">
        <v>1352</v>
      </c>
      <c r="V188" s="51" t="s">
        <v>1352</v>
      </c>
      <c r="X188" s="6" t="s">
        <v>158</v>
      </c>
      <c r="Y188" s="6">
        <v>0</v>
      </c>
      <c r="Z188" s="27"/>
      <c r="AA188" s="27"/>
    </row>
    <row r="189" s="6" customFormat="1" customHeight="1" spans="1:27">
      <c r="A189" s="27"/>
      <c r="B189" s="27"/>
      <c r="C189" s="51" t="s">
        <v>1353</v>
      </c>
      <c r="D189" s="51" t="s">
        <v>1354</v>
      </c>
      <c r="E189" s="6">
        <v>6</v>
      </c>
      <c r="F189" s="6" t="s">
        <v>1355</v>
      </c>
      <c r="G189" s="46" t="s">
        <v>1356</v>
      </c>
      <c r="H189" s="52" t="s">
        <v>1357</v>
      </c>
      <c r="I189" s="52" t="s">
        <v>1358</v>
      </c>
      <c r="J189" s="52" t="s">
        <v>1359</v>
      </c>
      <c r="K189" s="50" t="s">
        <v>1360</v>
      </c>
      <c r="L189" s="52" t="s">
        <v>1317</v>
      </c>
      <c r="M189" s="6">
        <f t="shared" si="50"/>
        <v>49400</v>
      </c>
      <c r="N189" s="6">
        <f t="shared" si="51"/>
        <v>49400</v>
      </c>
      <c r="O189" s="6">
        <f t="shared" si="72"/>
        <v>25000</v>
      </c>
      <c r="P189" s="6">
        <f t="shared" si="73"/>
        <v>25000</v>
      </c>
      <c r="Q189" s="6">
        <f t="shared" si="71"/>
        <v>140</v>
      </c>
      <c r="R189" s="27">
        <f t="shared" si="74"/>
        <v>324</v>
      </c>
      <c r="S189" s="27">
        <f t="shared" si="75"/>
        <v>434</v>
      </c>
      <c r="T189" s="27">
        <v>99.99</v>
      </c>
      <c r="U189" s="51" t="s">
        <v>1361</v>
      </c>
      <c r="V189" s="51" t="s">
        <v>1361</v>
      </c>
      <c r="X189" s="6" t="s">
        <v>158</v>
      </c>
      <c r="Y189" s="6">
        <v>0</v>
      </c>
      <c r="Z189" s="27"/>
      <c r="AA189" s="27"/>
    </row>
    <row r="190" s="6" customFormat="1" customHeight="1" spans="1:27">
      <c r="A190" s="27"/>
      <c r="B190" s="27"/>
      <c r="C190" s="51" t="s">
        <v>1362</v>
      </c>
      <c r="D190" s="51" t="s">
        <v>1363</v>
      </c>
      <c r="E190" s="6">
        <v>6</v>
      </c>
      <c r="F190" s="6" t="s">
        <v>1364</v>
      </c>
      <c r="G190" s="46" t="s">
        <v>1365</v>
      </c>
      <c r="H190" s="52" t="s">
        <v>1281</v>
      </c>
      <c r="I190" s="52" t="s">
        <v>1366</v>
      </c>
      <c r="J190" s="52" t="s">
        <v>1367</v>
      </c>
      <c r="K190" s="50" t="s">
        <v>1368</v>
      </c>
      <c r="L190" s="52" t="s">
        <v>1326</v>
      </c>
      <c r="M190" s="6">
        <f t="shared" si="50"/>
        <v>50000</v>
      </c>
      <c r="N190" s="6">
        <f t="shared" si="51"/>
        <v>50000</v>
      </c>
      <c r="O190" s="6">
        <f t="shared" si="72"/>
        <v>25250</v>
      </c>
      <c r="P190" s="6">
        <f t="shared" si="73"/>
        <v>25250</v>
      </c>
      <c r="Q190" s="6">
        <f t="shared" si="71"/>
        <v>145</v>
      </c>
      <c r="R190" s="27">
        <f t="shared" si="74"/>
        <v>334</v>
      </c>
      <c r="S190" s="27">
        <f t="shared" si="75"/>
        <v>446</v>
      </c>
      <c r="T190" s="27">
        <v>99.99</v>
      </c>
      <c r="U190" s="51" t="s">
        <v>1369</v>
      </c>
      <c r="V190" s="51" t="s">
        <v>1369</v>
      </c>
      <c r="X190" s="6" t="s">
        <v>158</v>
      </c>
      <c r="Y190" s="6">
        <v>0</v>
      </c>
      <c r="Z190" s="27"/>
      <c r="AA190" s="27"/>
    </row>
    <row r="191" s="6" customFormat="1" customHeight="1" spans="1:27">
      <c r="A191" s="27"/>
      <c r="B191" s="27"/>
      <c r="C191" s="51" t="s">
        <v>1370</v>
      </c>
      <c r="D191" s="51" t="s">
        <v>1371</v>
      </c>
      <c r="E191" s="6">
        <v>6</v>
      </c>
      <c r="F191" s="6" t="s">
        <v>1372</v>
      </c>
      <c r="G191" s="46" t="s">
        <v>1373</v>
      </c>
      <c r="H191" s="52" t="s">
        <v>1281</v>
      </c>
      <c r="I191" s="52" t="s">
        <v>1374</v>
      </c>
      <c r="J191" s="52" t="s">
        <v>1220</v>
      </c>
      <c r="K191" s="50" t="s">
        <v>1375</v>
      </c>
      <c r="L191" s="52" t="s">
        <v>1376</v>
      </c>
      <c r="M191" s="6">
        <f t="shared" si="50"/>
        <v>50600</v>
      </c>
      <c r="N191" s="6">
        <f t="shared" si="51"/>
        <v>50600</v>
      </c>
      <c r="O191" s="6">
        <f t="shared" si="72"/>
        <v>25500</v>
      </c>
      <c r="P191" s="6">
        <f t="shared" si="73"/>
        <v>25500</v>
      </c>
      <c r="Q191" s="6">
        <f t="shared" si="71"/>
        <v>150</v>
      </c>
      <c r="R191" s="27">
        <f t="shared" si="74"/>
        <v>344</v>
      </c>
      <c r="S191" s="27">
        <f>S190+10</f>
        <v>456</v>
      </c>
      <c r="T191" s="27">
        <v>99.99</v>
      </c>
      <c r="U191" s="51" t="s">
        <v>1377</v>
      </c>
      <c r="V191" s="51" t="s">
        <v>1377</v>
      </c>
      <c r="X191" s="6" t="s">
        <v>158</v>
      </c>
      <c r="Y191" s="6">
        <v>0</v>
      </c>
      <c r="Z191" s="27"/>
      <c r="AA191" s="27"/>
    </row>
    <row r="192" s="6" customFormat="1" customHeight="1" spans="1:27">
      <c r="A192" s="27"/>
      <c r="B192" s="27"/>
      <c r="C192" s="51" t="s">
        <v>1378</v>
      </c>
      <c r="D192" s="51" t="s">
        <v>1379</v>
      </c>
      <c r="E192" s="6">
        <v>6</v>
      </c>
      <c r="F192" s="6" t="s">
        <v>1380</v>
      </c>
      <c r="G192" s="46" t="s">
        <v>1381</v>
      </c>
      <c r="H192" s="52" t="s">
        <v>1281</v>
      </c>
      <c r="I192" s="52" t="s">
        <v>1382</v>
      </c>
      <c r="J192" s="52" t="s">
        <v>1383</v>
      </c>
      <c r="K192" s="50" t="s">
        <v>1384</v>
      </c>
      <c r="L192" s="52" t="s">
        <v>1385</v>
      </c>
      <c r="M192" s="6">
        <f t="shared" si="50"/>
        <v>51200</v>
      </c>
      <c r="N192" s="6">
        <f t="shared" si="51"/>
        <v>51200</v>
      </c>
      <c r="O192" s="6">
        <f t="shared" si="72"/>
        <v>25750</v>
      </c>
      <c r="P192" s="6">
        <f t="shared" si="73"/>
        <v>25750</v>
      </c>
      <c r="Q192" s="6">
        <f t="shared" si="71"/>
        <v>155</v>
      </c>
      <c r="R192" s="27">
        <f t="shared" si="74"/>
        <v>354</v>
      </c>
      <c r="S192" s="27">
        <f>S191+10</f>
        <v>466</v>
      </c>
      <c r="T192" s="27">
        <v>99.99</v>
      </c>
      <c r="U192" s="51" t="s">
        <v>1386</v>
      </c>
      <c r="V192" s="51" t="s">
        <v>1386</v>
      </c>
      <c r="X192" s="6" t="s">
        <v>158</v>
      </c>
      <c r="Y192" s="6">
        <v>0</v>
      </c>
      <c r="Z192" s="27"/>
      <c r="AA192" s="27"/>
    </row>
    <row r="193" s="6" customFormat="1" customHeight="1" spans="1:27">
      <c r="A193" s="27"/>
      <c r="B193" s="27"/>
      <c r="C193" s="51" t="s">
        <v>1387</v>
      </c>
      <c r="D193" s="51" t="s">
        <v>1388</v>
      </c>
      <c r="E193" s="6">
        <v>6</v>
      </c>
      <c r="F193" s="6" t="s">
        <v>1389</v>
      </c>
      <c r="G193" s="46" t="s">
        <v>1390</v>
      </c>
      <c r="H193" s="52" t="s">
        <v>1281</v>
      </c>
      <c r="I193" s="52" t="s">
        <v>1391</v>
      </c>
      <c r="J193" s="52" t="s">
        <v>1392</v>
      </c>
      <c r="K193" s="50" t="s">
        <v>1393</v>
      </c>
      <c r="L193" s="52" t="s">
        <v>1346</v>
      </c>
      <c r="M193" s="6">
        <f t="shared" si="50"/>
        <v>51800</v>
      </c>
      <c r="N193" s="6">
        <f t="shared" si="51"/>
        <v>51800</v>
      </c>
      <c r="O193" s="6">
        <f t="shared" si="72"/>
        <v>26000</v>
      </c>
      <c r="P193" s="6">
        <f t="shared" si="73"/>
        <v>26000</v>
      </c>
      <c r="Q193" s="6">
        <f t="shared" si="71"/>
        <v>160</v>
      </c>
      <c r="R193" s="27">
        <f t="shared" si="74"/>
        <v>364</v>
      </c>
      <c r="S193" s="27">
        <f>S192+10</f>
        <v>476</v>
      </c>
      <c r="T193" s="27">
        <v>99.99</v>
      </c>
      <c r="U193" s="51" t="s">
        <v>1394</v>
      </c>
      <c r="V193" s="51" t="s">
        <v>1394</v>
      </c>
      <c r="X193" s="6" t="s">
        <v>158</v>
      </c>
      <c r="Y193" s="6">
        <v>0</v>
      </c>
      <c r="Z193" s="27"/>
      <c r="AA193" s="27"/>
    </row>
    <row r="194" s="6" customFormat="1" customHeight="1" spans="1:27">
      <c r="A194" s="27"/>
      <c r="B194" s="27"/>
      <c r="C194" s="51" t="s">
        <v>1395</v>
      </c>
      <c r="D194" s="51" t="s">
        <v>1396</v>
      </c>
      <c r="E194" s="6">
        <v>6</v>
      </c>
      <c r="F194" s="6" t="s">
        <v>1397</v>
      </c>
      <c r="G194" s="46" t="s">
        <v>1191</v>
      </c>
      <c r="H194" s="52" t="s">
        <v>1281</v>
      </c>
      <c r="I194" s="52" t="s">
        <v>1398</v>
      </c>
      <c r="J194" s="52" t="s">
        <v>1399</v>
      </c>
      <c r="K194" s="50" t="s">
        <v>1400</v>
      </c>
      <c r="L194" s="52" t="s">
        <v>1401</v>
      </c>
      <c r="M194" s="6">
        <f t="shared" si="50"/>
        <v>52400</v>
      </c>
      <c r="N194" s="6">
        <f t="shared" si="51"/>
        <v>52400</v>
      </c>
      <c r="O194" s="6">
        <f t="shared" si="72"/>
        <v>26250</v>
      </c>
      <c r="P194" s="6">
        <f t="shared" si="73"/>
        <v>26250</v>
      </c>
      <c r="Q194" s="6">
        <f t="shared" si="71"/>
        <v>165</v>
      </c>
      <c r="R194" s="27">
        <f t="shared" si="74"/>
        <v>374</v>
      </c>
      <c r="S194" s="27">
        <f>S193+10</f>
        <v>486</v>
      </c>
      <c r="T194" s="27">
        <v>99.99</v>
      </c>
      <c r="U194" s="51" t="s">
        <v>1402</v>
      </c>
      <c r="V194" s="51" t="s">
        <v>1402</v>
      </c>
      <c r="X194" s="6" t="s">
        <v>158</v>
      </c>
      <c r="Y194" s="6">
        <v>0</v>
      </c>
      <c r="Z194" s="27"/>
      <c r="AA194" s="27"/>
    </row>
    <row r="195" s="6" customFormat="1" customHeight="1" spans="1:27">
      <c r="A195" s="27"/>
      <c r="B195" s="27"/>
      <c r="C195" s="51" t="s">
        <v>1403</v>
      </c>
      <c r="D195" s="51" t="s">
        <v>1404</v>
      </c>
      <c r="E195" s="6">
        <v>6</v>
      </c>
      <c r="F195" s="6" t="s">
        <v>1405</v>
      </c>
      <c r="G195" s="46" t="s">
        <v>1406</v>
      </c>
      <c r="H195" s="52" t="s">
        <v>1281</v>
      </c>
      <c r="I195" s="52" t="s">
        <v>1407</v>
      </c>
      <c r="J195" s="52" t="s">
        <v>1408</v>
      </c>
      <c r="K195" s="50" t="s">
        <v>1409</v>
      </c>
      <c r="L195" s="52" t="s">
        <v>1410</v>
      </c>
      <c r="M195" s="6">
        <f t="shared" si="50"/>
        <v>53000</v>
      </c>
      <c r="N195" s="6">
        <f t="shared" si="51"/>
        <v>53000</v>
      </c>
      <c r="O195" s="6">
        <f t="shared" si="72"/>
        <v>26500</v>
      </c>
      <c r="P195" s="6">
        <f t="shared" si="73"/>
        <v>26500</v>
      </c>
      <c r="Q195" s="6">
        <f t="shared" si="71"/>
        <v>170</v>
      </c>
      <c r="R195" s="27">
        <f t="shared" si="74"/>
        <v>384</v>
      </c>
      <c r="S195" s="27">
        <f>S194+10</f>
        <v>496</v>
      </c>
      <c r="T195" s="27">
        <v>99.99</v>
      </c>
      <c r="U195" s="51" t="s">
        <v>520</v>
      </c>
      <c r="V195" s="51" t="s">
        <v>520</v>
      </c>
      <c r="X195" s="6" t="s">
        <v>158</v>
      </c>
      <c r="Y195" s="6">
        <v>0</v>
      </c>
      <c r="Z195" s="27"/>
      <c r="AA195" s="27"/>
    </row>
    <row r="196" s="6" customFormat="1" customHeight="1" spans="1:27">
      <c r="A196" s="27"/>
      <c r="B196" s="27"/>
      <c r="C196" s="51" t="s">
        <v>1411</v>
      </c>
      <c r="D196" s="51" t="s">
        <v>1412</v>
      </c>
      <c r="E196" s="6">
        <v>6</v>
      </c>
      <c r="F196" s="6" t="s">
        <v>1413</v>
      </c>
      <c r="G196" s="46" t="s">
        <v>1414</v>
      </c>
      <c r="H196" s="52" t="s">
        <v>1281</v>
      </c>
      <c r="I196" s="52" t="s">
        <v>1415</v>
      </c>
      <c r="J196" s="52" t="s">
        <v>1416</v>
      </c>
      <c r="K196" s="50" t="s">
        <v>1417</v>
      </c>
      <c r="L196" s="52" t="s">
        <v>1365</v>
      </c>
      <c r="M196" s="6">
        <f t="shared" si="50"/>
        <v>53600</v>
      </c>
      <c r="N196" s="6">
        <f t="shared" si="51"/>
        <v>53600</v>
      </c>
      <c r="O196" s="6">
        <f t="shared" si="72"/>
        <v>26750</v>
      </c>
      <c r="P196" s="6">
        <f t="shared" si="73"/>
        <v>26750</v>
      </c>
      <c r="Q196" s="6">
        <f t="shared" si="71"/>
        <v>175</v>
      </c>
      <c r="R196" s="27">
        <f t="shared" si="74"/>
        <v>394</v>
      </c>
      <c r="S196" s="27">
        <f>S195+10</f>
        <v>506</v>
      </c>
      <c r="T196" s="27">
        <v>99.99</v>
      </c>
      <c r="U196" s="51" t="s">
        <v>1418</v>
      </c>
      <c r="V196" s="51" t="s">
        <v>1418</v>
      </c>
      <c r="X196" s="6" t="s">
        <v>158</v>
      </c>
      <c r="Y196" s="6">
        <v>0</v>
      </c>
      <c r="Z196" s="27"/>
      <c r="AA196" s="27"/>
    </row>
    <row r="197" s="7" customFormat="1" customHeight="1" spans="1:27">
      <c r="A197" s="9"/>
      <c r="B197" s="9"/>
      <c r="C197" s="53" t="s">
        <v>1419</v>
      </c>
      <c r="D197" s="53" t="s">
        <v>1420</v>
      </c>
      <c r="E197" s="7">
        <v>6</v>
      </c>
      <c r="F197" s="7" t="s">
        <v>1421</v>
      </c>
      <c r="G197" s="46" t="s">
        <v>1422</v>
      </c>
      <c r="H197" s="52" t="s">
        <v>1281</v>
      </c>
      <c r="I197" s="52" t="s">
        <v>1423</v>
      </c>
      <c r="J197" s="52" t="s">
        <v>1424</v>
      </c>
      <c r="K197" s="50" t="s">
        <v>1425</v>
      </c>
      <c r="L197" s="52" t="s">
        <v>1373</v>
      </c>
      <c r="M197" s="7">
        <f t="shared" si="50"/>
        <v>54200</v>
      </c>
      <c r="N197" s="7">
        <f t="shared" si="51"/>
        <v>54200</v>
      </c>
      <c r="O197" s="7">
        <f t="shared" si="72"/>
        <v>27000</v>
      </c>
      <c r="P197" s="7">
        <f t="shared" si="73"/>
        <v>27000</v>
      </c>
      <c r="Q197" s="7">
        <f t="shared" si="71"/>
        <v>180</v>
      </c>
      <c r="R197" s="9">
        <f t="shared" si="74"/>
        <v>404</v>
      </c>
      <c r="S197" s="9">
        <f>S196+10</f>
        <v>516</v>
      </c>
      <c r="T197" s="9">
        <v>99.99</v>
      </c>
      <c r="U197" s="53" t="s">
        <v>1426</v>
      </c>
      <c r="V197" s="53" t="s">
        <v>1426</v>
      </c>
      <c r="X197" s="7" t="s">
        <v>158</v>
      </c>
      <c r="Y197" s="7">
        <v>0</v>
      </c>
      <c r="Z197" s="9"/>
      <c r="AA197" s="9"/>
    </row>
    <row r="198" s="7" customFormat="1" customHeight="1" spans="1:27">
      <c r="A198" s="9"/>
      <c r="B198" s="9"/>
      <c r="C198" s="53" t="s">
        <v>1427</v>
      </c>
      <c r="D198" s="53" t="s">
        <v>1428</v>
      </c>
      <c r="E198" s="7">
        <v>6</v>
      </c>
      <c r="F198" s="7" t="s">
        <v>1429</v>
      </c>
      <c r="G198" s="46" t="s">
        <v>1337</v>
      </c>
      <c r="H198" s="52" t="s">
        <v>1281</v>
      </c>
      <c r="I198" s="52" t="s">
        <v>1430</v>
      </c>
      <c r="J198" s="52" t="s">
        <v>1431</v>
      </c>
      <c r="K198" s="50" t="s">
        <v>1432</v>
      </c>
      <c r="L198" s="52" t="s">
        <v>1381</v>
      </c>
      <c r="M198" s="7">
        <f t="shared" si="50"/>
        <v>54800</v>
      </c>
      <c r="N198" s="7">
        <f t="shared" si="51"/>
        <v>54800</v>
      </c>
      <c r="O198" s="7">
        <f t="shared" si="72"/>
        <v>27250</v>
      </c>
      <c r="P198" s="7">
        <f t="shared" si="73"/>
        <v>27250</v>
      </c>
      <c r="Q198" s="7">
        <f t="shared" si="71"/>
        <v>185</v>
      </c>
      <c r="R198" s="9">
        <f t="shared" si="74"/>
        <v>414</v>
      </c>
      <c r="S198" s="9">
        <f>S197+10</f>
        <v>526</v>
      </c>
      <c r="T198" s="9">
        <v>99.99</v>
      </c>
      <c r="U198" s="53" t="s">
        <v>1433</v>
      </c>
      <c r="V198" s="53" t="s">
        <v>1433</v>
      </c>
      <c r="X198" s="7" t="s">
        <v>158</v>
      </c>
      <c r="Y198" s="7">
        <v>0</v>
      </c>
      <c r="Z198" s="9"/>
      <c r="AA198" s="9"/>
    </row>
    <row r="199" s="7" customFormat="1" customHeight="1" spans="1:27">
      <c r="A199" s="9"/>
      <c r="B199" s="9"/>
      <c r="C199" s="53" t="s">
        <v>1434</v>
      </c>
      <c r="D199" s="53" t="s">
        <v>1435</v>
      </c>
      <c r="E199" s="7">
        <v>6</v>
      </c>
      <c r="F199" s="7" t="s">
        <v>1436</v>
      </c>
      <c r="G199" s="46" t="s">
        <v>1437</v>
      </c>
      <c r="H199" s="52" t="s">
        <v>1281</v>
      </c>
      <c r="I199" s="52" t="s">
        <v>1438</v>
      </c>
      <c r="J199" s="52" t="s">
        <v>1439</v>
      </c>
      <c r="K199" s="50" t="s">
        <v>1440</v>
      </c>
      <c r="L199" s="52" t="s">
        <v>1390</v>
      </c>
      <c r="M199" s="7">
        <f t="shared" si="50"/>
        <v>55400</v>
      </c>
      <c r="N199" s="7">
        <f t="shared" si="51"/>
        <v>55400</v>
      </c>
      <c r="O199" s="7">
        <f t="shared" si="72"/>
        <v>27500</v>
      </c>
      <c r="P199" s="7">
        <f t="shared" si="73"/>
        <v>27500</v>
      </c>
      <c r="Q199" s="7">
        <f t="shared" si="71"/>
        <v>190</v>
      </c>
      <c r="R199" s="9">
        <f t="shared" si="74"/>
        <v>424</v>
      </c>
      <c r="S199" s="9">
        <f>S198+10</f>
        <v>536</v>
      </c>
      <c r="T199" s="9">
        <v>99.99</v>
      </c>
      <c r="U199" s="53" t="s">
        <v>1441</v>
      </c>
      <c r="V199" s="53" t="s">
        <v>1441</v>
      </c>
      <c r="X199" s="7" t="s">
        <v>158</v>
      </c>
      <c r="Y199" s="7">
        <v>0</v>
      </c>
      <c r="Z199" s="9"/>
      <c r="AA199" s="9"/>
    </row>
    <row r="200" s="7" customFormat="1" customHeight="1" spans="1:27">
      <c r="A200" s="9"/>
      <c r="B200" s="9"/>
      <c r="C200" s="53" t="s">
        <v>1442</v>
      </c>
      <c r="D200" s="53" t="s">
        <v>1443</v>
      </c>
      <c r="E200" s="7">
        <v>6</v>
      </c>
      <c r="F200" s="7" t="s">
        <v>1444</v>
      </c>
      <c r="G200" s="46" t="s">
        <v>1445</v>
      </c>
      <c r="H200" s="52" t="s">
        <v>1281</v>
      </c>
      <c r="I200" s="52" t="s">
        <v>1446</v>
      </c>
      <c r="J200" s="52" t="s">
        <v>1447</v>
      </c>
      <c r="K200" s="50" t="s">
        <v>1448</v>
      </c>
      <c r="L200" s="52" t="s">
        <v>1191</v>
      </c>
      <c r="M200" s="7">
        <f t="shared" si="50"/>
        <v>56000</v>
      </c>
      <c r="N200" s="7">
        <f t="shared" si="51"/>
        <v>56000</v>
      </c>
      <c r="O200" s="7">
        <f t="shared" si="72"/>
        <v>27750</v>
      </c>
      <c r="P200" s="7">
        <f t="shared" si="73"/>
        <v>27750</v>
      </c>
      <c r="Q200" s="7">
        <f t="shared" si="71"/>
        <v>195</v>
      </c>
      <c r="R200" s="9">
        <f t="shared" si="74"/>
        <v>434</v>
      </c>
      <c r="S200" s="9">
        <f>S199+10</f>
        <v>546</v>
      </c>
      <c r="T200" s="9">
        <v>99.99</v>
      </c>
      <c r="U200" s="53" t="s">
        <v>1449</v>
      </c>
      <c r="V200" s="53" t="s">
        <v>1449</v>
      </c>
      <c r="X200" s="7" t="s">
        <v>158</v>
      </c>
      <c r="Y200" s="7">
        <v>0</v>
      </c>
      <c r="Z200" s="9"/>
      <c r="AA200" s="9"/>
    </row>
    <row r="201" s="8" customFormat="1" customHeight="1" spans="1:27">
      <c r="C201" s="54" t="s">
        <v>1450</v>
      </c>
      <c r="D201" s="54" t="s">
        <v>1451</v>
      </c>
      <c r="E201" s="29">
        <v>6</v>
      </c>
      <c r="F201" s="29" t="s">
        <v>1452</v>
      </c>
      <c r="G201" s="55" t="s">
        <v>1357</v>
      </c>
      <c r="H201" s="56" t="s">
        <v>1281</v>
      </c>
      <c r="I201" s="56" t="s">
        <v>1453</v>
      </c>
      <c r="J201" s="56" t="s">
        <v>1284</v>
      </c>
      <c r="K201" s="57" t="s">
        <v>1292</v>
      </c>
      <c r="L201" s="56" t="s">
        <v>1406</v>
      </c>
      <c r="M201" s="33">
        <f t="shared" ref="M201:M210" si="76">M200+5000</f>
        <v>61000</v>
      </c>
      <c r="N201" s="33">
        <f t="shared" ref="N201:N210" si="77">N200+5000</f>
        <v>61000</v>
      </c>
      <c r="O201" s="33">
        <f t="shared" ref="O201:O210" si="78">O200+5000</f>
        <v>32750</v>
      </c>
      <c r="P201" s="33">
        <f t="shared" ref="P201:P210" si="79">P200+5000</f>
        <v>32750</v>
      </c>
      <c r="Q201" s="33">
        <f t="shared" ref="Q201:Q210" si="80">Q200+6</f>
        <v>201</v>
      </c>
      <c r="R201" s="34">
        <f t="shared" ref="R201:R215" si="81">R200+15</f>
        <v>449</v>
      </c>
      <c r="S201" s="34">
        <f>S200+15</f>
        <v>561</v>
      </c>
      <c r="T201" s="8">
        <v>99.99</v>
      </c>
      <c r="U201" s="58" t="s">
        <v>1454</v>
      </c>
      <c r="V201" s="58" t="s">
        <v>1454</v>
      </c>
      <c r="W201" s="29"/>
      <c r="X201" s="29" t="s">
        <v>158</v>
      </c>
      <c r="Y201" s="29">
        <v>0</v>
      </c>
    </row>
    <row r="202" s="9" customFormat="1" customHeight="1" spans="1:27">
      <c r="C202" s="53" t="s">
        <v>1455</v>
      </c>
      <c r="D202" s="53" t="s">
        <v>1456</v>
      </c>
      <c r="E202" s="7">
        <v>6</v>
      </c>
      <c r="F202" s="7" t="s">
        <v>1457</v>
      </c>
      <c r="G202" s="52" t="s">
        <v>1458</v>
      </c>
      <c r="H202" s="52" t="s">
        <v>1281</v>
      </c>
      <c r="I202" s="52" t="s">
        <v>1459</v>
      </c>
      <c r="J202" s="52" t="s">
        <v>1460</v>
      </c>
      <c r="K202" s="50" t="s">
        <v>1461</v>
      </c>
      <c r="L202" s="52" t="s">
        <v>1414</v>
      </c>
      <c r="M202" s="7">
        <f t="shared" si="76"/>
        <v>66000</v>
      </c>
      <c r="N202" s="7">
        <f t="shared" si="77"/>
        <v>66000</v>
      </c>
      <c r="O202" s="7">
        <f t="shared" si="78"/>
        <v>37750</v>
      </c>
      <c r="P202" s="7">
        <f t="shared" si="79"/>
        <v>37750</v>
      </c>
      <c r="Q202" s="7">
        <f t="shared" si="80"/>
        <v>207</v>
      </c>
      <c r="R202" s="9">
        <f t="shared" si="81"/>
        <v>464</v>
      </c>
      <c r="S202" s="9">
        <f t="shared" ref="S201:S215" si="82">S201+15</f>
        <v>576</v>
      </c>
      <c r="T202" s="9">
        <v>99.99</v>
      </c>
      <c r="U202" s="53" t="s">
        <v>1462</v>
      </c>
      <c r="V202" s="53" t="s">
        <v>1462</v>
      </c>
      <c r="W202" s="7"/>
      <c r="X202" s="7" t="s">
        <v>158</v>
      </c>
      <c r="Y202" s="7">
        <v>0</v>
      </c>
    </row>
    <row r="203" s="9" customFormat="1" customHeight="1" spans="1:27">
      <c r="C203" s="53" t="s">
        <v>1463</v>
      </c>
      <c r="D203" s="53" t="s">
        <v>1464</v>
      </c>
      <c r="E203" s="7">
        <v>6</v>
      </c>
      <c r="F203" s="7" t="s">
        <v>1465</v>
      </c>
      <c r="G203" s="52" t="s">
        <v>1466</v>
      </c>
      <c r="H203" s="52" t="s">
        <v>1281</v>
      </c>
      <c r="I203" s="52" t="s">
        <v>1467</v>
      </c>
      <c r="J203" s="52" t="s">
        <v>1468</v>
      </c>
      <c r="K203" s="50" t="s">
        <v>1320</v>
      </c>
      <c r="L203" s="52" t="s">
        <v>1422</v>
      </c>
      <c r="M203" s="7">
        <f t="shared" si="76"/>
        <v>71000</v>
      </c>
      <c r="N203" s="7">
        <f t="shared" si="77"/>
        <v>71000</v>
      </c>
      <c r="O203" s="7">
        <f t="shared" si="78"/>
        <v>42750</v>
      </c>
      <c r="P203" s="7">
        <f t="shared" si="79"/>
        <v>42750</v>
      </c>
      <c r="Q203" s="7">
        <f t="shared" si="80"/>
        <v>213</v>
      </c>
      <c r="R203" s="9">
        <f t="shared" si="81"/>
        <v>479</v>
      </c>
      <c r="S203" s="9">
        <f t="shared" si="82"/>
        <v>591</v>
      </c>
      <c r="T203" s="9">
        <v>99.99</v>
      </c>
      <c r="U203" s="53" t="s">
        <v>527</v>
      </c>
      <c r="V203" s="53" t="s">
        <v>527</v>
      </c>
      <c r="W203" s="7"/>
      <c r="X203" s="7" t="s">
        <v>158</v>
      </c>
      <c r="Y203" s="7">
        <v>0</v>
      </c>
    </row>
    <row r="204" s="9" customFormat="1" customHeight="1" spans="1:27">
      <c r="C204" s="53" t="s">
        <v>1469</v>
      </c>
      <c r="D204" s="53" t="s">
        <v>1470</v>
      </c>
      <c r="E204" s="7">
        <v>6</v>
      </c>
      <c r="F204" s="7" t="s">
        <v>1471</v>
      </c>
      <c r="G204" s="52" t="s">
        <v>1472</v>
      </c>
      <c r="H204" s="52" t="s">
        <v>1281</v>
      </c>
      <c r="I204" s="52" t="s">
        <v>1473</v>
      </c>
      <c r="J204" s="52" t="s">
        <v>1474</v>
      </c>
      <c r="K204" s="50" t="s">
        <v>1475</v>
      </c>
      <c r="L204" s="52" t="s">
        <v>1337</v>
      </c>
      <c r="M204" s="7">
        <f t="shared" si="76"/>
        <v>76000</v>
      </c>
      <c r="N204" s="7">
        <f t="shared" si="77"/>
        <v>76000</v>
      </c>
      <c r="O204" s="7">
        <f t="shared" si="78"/>
        <v>47750</v>
      </c>
      <c r="P204" s="7">
        <f t="shared" si="79"/>
        <v>47750</v>
      </c>
      <c r="Q204" s="7">
        <f t="shared" si="80"/>
        <v>219</v>
      </c>
      <c r="R204" s="9">
        <f t="shared" si="81"/>
        <v>494</v>
      </c>
      <c r="S204" s="9">
        <f t="shared" si="82"/>
        <v>606</v>
      </c>
      <c r="T204" s="9">
        <v>99.99</v>
      </c>
      <c r="U204" s="53" t="s">
        <v>1476</v>
      </c>
      <c r="V204" s="53" t="s">
        <v>1476</v>
      </c>
      <c r="W204" s="7"/>
      <c r="X204" s="7" t="s">
        <v>158</v>
      </c>
      <c r="Y204" s="7">
        <v>0</v>
      </c>
    </row>
    <row r="205" s="9" customFormat="1" customHeight="1" spans="1:27">
      <c r="C205" s="53" t="s">
        <v>1477</v>
      </c>
      <c r="D205" s="53" t="s">
        <v>1478</v>
      </c>
      <c r="E205" s="7">
        <v>6</v>
      </c>
      <c r="F205" s="7" t="s">
        <v>1479</v>
      </c>
      <c r="G205" s="52" t="s">
        <v>1480</v>
      </c>
      <c r="H205" s="52" t="s">
        <v>1281</v>
      </c>
      <c r="I205" s="52" t="s">
        <v>1481</v>
      </c>
      <c r="J205" s="52" t="s">
        <v>1294</v>
      </c>
      <c r="K205" s="50" t="s">
        <v>1349</v>
      </c>
      <c r="L205" s="52" t="s">
        <v>1437</v>
      </c>
      <c r="M205" s="7">
        <f t="shared" si="76"/>
        <v>81000</v>
      </c>
      <c r="N205" s="7">
        <f t="shared" si="77"/>
        <v>81000</v>
      </c>
      <c r="O205" s="7">
        <f t="shared" si="78"/>
        <v>52750</v>
      </c>
      <c r="P205" s="7">
        <f t="shared" si="79"/>
        <v>52750</v>
      </c>
      <c r="Q205" s="7">
        <f t="shared" si="80"/>
        <v>225</v>
      </c>
      <c r="R205" s="9">
        <f t="shared" si="81"/>
        <v>509</v>
      </c>
      <c r="S205" s="9">
        <f t="shared" si="82"/>
        <v>621</v>
      </c>
      <c r="T205" s="9">
        <v>99.99</v>
      </c>
      <c r="U205" s="53" t="s">
        <v>1482</v>
      </c>
      <c r="V205" s="53" t="s">
        <v>1482</v>
      </c>
      <c r="W205" s="7"/>
      <c r="X205" s="7" t="s">
        <v>158</v>
      </c>
      <c r="Y205" s="7">
        <v>0</v>
      </c>
    </row>
    <row r="206" s="10" customFormat="1" customHeight="1" spans="1:27">
      <c r="A206" s="35"/>
      <c r="B206" s="35"/>
      <c r="C206" s="59" t="s">
        <v>1483</v>
      </c>
      <c r="D206" s="59" t="s">
        <v>1484</v>
      </c>
      <c r="E206" s="10">
        <v>6</v>
      </c>
      <c r="F206" s="10" t="s">
        <v>1485</v>
      </c>
      <c r="G206" s="60" t="s">
        <v>1486</v>
      </c>
      <c r="H206" s="60" t="s">
        <v>1281</v>
      </c>
      <c r="I206" s="52" t="s">
        <v>1487</v>
      </c>
      <c r="J206" s="60" t="s">
        <v>1488</v>
      </c>
      <c r="K206" s="50" t="s">
        <v>1489</v>
      </c>
      <c r="L206" s="52" t="s">
        <v>1445</v>
      </c>
      <c r="M206" s="7">
        <f t="shared" ref="M206:M210" si="83">M205+10000</f>
        <v>91000</v>
      </c>
      <c r="N206" s="7">
        <f t="shared" ref="N206:N210" si="84">N205+10000</f>
        <v>91000</v>
      </c>
      <c r="O206" s="7">
        <f t="shared" ref="O206:O210" si="85">O205+10000</f>
        <v>62750</v>
      </c>
      <c r="P206" s="7">
        <f t="shared" ref="P206:P210" si="86">P205+10000</f>
        <v>62750</v>
      </c>
      <c r="Q206" s="10">
        <f t="shared" si="80"/>
        <v>231</v>
      </c>
      <c r="R206" s="9">
        <f t="shared" si="81"/>
        <v>524</v>
      </c>
      <c r="S206" s="9">
        <f t="shared" si="82"/>
        <v>636</v>
      </c>
      <c r="T206" s="35">
        <v>99.99</v>
      </c>
      <c r="U206" s="53" t="s">
        <v>1490</v>
      </c>
      <c r="V206" s="53" t="s">
        <v>1490</v>
      </c>
      <c r="X206" s="10" t="s">
        <v>158</v>
      </c>
      <c r="Y206" s="10">
        <v>0</v>
      </c>
      <c r="Z206" s="35"/>
      <c r="AA206" s="35"/>
    </row>
    <row r="207" s="7" customFormat="1" customHeight="1" spans="1:27">
      <c r="A207" s="9"/>
      <c r="B207" s="9"/>
      <c r="C207" s="53" t="s">
        <v>1491</v>
      </c>
      <c r="D207" s="53" t="s">
        <v>1492</v>
      </c>
      <c r="E207" s="7">
        <v>6</v>
      </c>
      <c r="F207" s="7" t="s">
        <v>1493</v>
      </c>
      <c r="G207" s="52" t="s">
        <v>1494</v>
      </c>
      <c r="H207" s="52" t="s">
        <v>1281</v>
      </c>
      <c r="I207" s="52" t="s">
        <v>1495</v>
      </c>
      <c r="J207" s="52" t="s">
        <v>1496</v>
      </c>
      <c r="K207" s="50" t="s">
        <v>1220</v>
      </c>
      <c r="L207" s="52" t="s">
        <v>1357</v>
      </c>
      <c r="M207" s="7">
        <f t="shared" si="83"/>
        <v>101000</v>
      </c>
      <c r="N207" s="7">
        <f t="shared" si="84"/>
        <v>101000</v>
      </c>
      <c r="O207" s="7">
        <f t="shared" si="85"/>
        <v>72750</v>
      </c>
      <c r="P207" s="7">
        <f t="shared" si="86"/>
        <v>72750</v>
      </c>
      <c r="Q207" s="29">
        <f t="shared" si="80"/>
        <v>237</v>
      </c>
      <c r="R207" s="9">
        <f t="shared" si="81"/>
        <v>539</v>
      </c>
      <c r="S207" s="9">
        <f t="shared" si="82"/>
        <v>651</v>
      </c>
      <c r="T207" s="9">
        <v>99.99</v>
      </c>
      <c r="U207" s="53" t="s">
        <v>1497</v>
      </c>
      <c r="V207" s="53" t="s">
        <v>1497</v>
      </c>
      <c r="X207" s="7" t="s">
        <v>158</v>
      </c>
      <c r="Y207" s="7">
        <v>0</v>
      </c>
      <c r="Z207" s="9"/>
      <c r="AA207" s="9"/>
    </row>
    <row r="208" s="7" customFormat="1" customHeight="1" spans="1:27">
      <c r="A208" s="9"/>
      <c r="B208" s="9"/>
      <c r="C208" s="53" t="s">
        <v>1498</v>
      </c>
      <c r="D208" s="53" t="s">
        <v>1499</v>
      </c>
      <c r="E208" s="7">
        <v>6</v>
      </c>
      <c r="F208" s="7" t="s">
        <v>1500</v>
      </c>
      <c r="G208" s="52" t="s">
        <v>1501</v>
      </c>
      <c r="H208" s="52" t="s">
        <v>1281</v>
      </c>
      <c r="I208" s="52" t="s">
        <v>1502</v>
      </c>
      <c r="J208" s="52" t="s">
        <v>1503</v>
      </c>
      <c r="K208" s="50" t="s">
        <v>1504</v>
      </c>
      <c r="L208" s="52" t="s">
        <v>1458</v>
      </c>
      <c r="M208" s="7">
        <f t="shared" si="83"/>
        <v>111000</v>
      </c>
      <c r="N208" s="7">
        <f t="shared" si="84"/>
        <v>111000</v>
      </c>
      <c r="O208" s="7">
        <f t="shared" si="85"/>
        <v>82750</v>
      </c>
      <c r="P208" s="7">
        <f t="shared" si="86"/>
        <v>82750</v>
      </c>
      <c r="Q208" s="29">
        <f t="shared" si="80"/>
        <v>243</v>
      </c>
      <c r="R208" s="9">
        <f t="shared" si="81"/>
        <v>554</v>
      </c>
      <c r="S208" s="9">
        <f t="shared" si="82"/>
        <v>666</v>
      </c>
      <c r="T208" s="9">
        <v>99.99</v>
      </c>
      <c r="U208" s="53" t="s">
        <v>1505</v>
      </c>
      <c r="V208" s="53" t="s">
        <v>1505</v>
      </c>
      <c r="X208" s="7" t="s">
        <v>158</v>
      </c>
      <c r="Y208" s="7">
        <v>0</v>
      </c>
      <c r="Z208" s="9"/>
      <c r="AA208" s="9"/>
    </row>
    <row r="209" s="7" customFormat="1" customHeight="1" spans="1:27">
      <c r="A209" s="9"/>
      <c r="B209" s="9"/>
      <c r="C209" s="53" t="s">
        <v>1506</v>
      </c>
      <c r="D209" s="53" t="s">
        <v>1507</v>
      </c>
      <c r="E209" s="7">
        <v>6</v>
      </c>
      <c r="F209" s="7" t="s">
        <v>1508</v>
      </c>
      <c r="G209" s="52" t="s">
        <v>1509</v>
      </c>
      <c r="H209" s="52" t="s">
        <v>1281</v>
      </c>
      <c r="I209" s="52" t="s">
        <v>1510</v>
      </c>
      <c r="J209" s="52" t="s">
        <v>1304</v>
      </c>
      <c r="K209" s="50" t="s">
        <v>1399</v>
      </c>
      <c r="L209" s="52" t="s">
        <v>1466</v>
      </c>
      <c r="M209" s="7">
        <f t="shared" si="83"/>
        <v>121000</v>
      </c>
      <c r="N209" s="7">
        <f t="shared" si="84"/>
        <v>121000</v>
      </c>
      <c r="O209" s="7">
        <f t="shared" si="85"/>
        <v>92750</v>
      </c>
      <c r="P209" s="7">
        <f t="shared" si="86"/>
        <v>92750</v>
      </c>
      <c r="Q209" s="29">
        <f t="shared" si="80"/>
        <v>249</v>
      </c>
      <c r="R209" s="9">
        <f t="shared" si="81"/>
        <v>569</v>
      </c>
      <c r="S209" s="9">
        <f t="shared" si="82"/>
        <v>681</v>
      </c>
      <c r="T209" s="9">
        <v>99.99</v>
      </c>
      <c r="U209" s="53" t="s">
        <v>1511</v>
      </c>
      <c r="V209" s="53" t="s">
        <v>1511</v>
      </c>
      <c r="X209" s="7" t="s">
        <v>158</v>
      </c>
      <c r="Y209" s="7">
        <v>0</v>
      </c>
      <c r="Z209" s="9"/>
      <c r="AA209" s="9"/>
    </row>
    <row r="210" s="7" customFormat="1" customHeight="1" spans="1:27">
      <c r="A210" s="9"/>
      <c r="B210" s="9"/>
      <c r="C210" s="53" t="s">
        <v>1512</v>
      </c>
      <c r="D210" s="53" t="s">
        <v>1513</v>
      </c>
      <c r="E210" s="7">
        <v>6</v>
      </c>
      <c r="F210" s="7" t="s">
        <v>1514</v>
      </c>
      <c r="G210" s="52" t="s">
        <v>1319</v>
      </c>
      <c r="H210" s="52" t="s">
        <v>1281</v>
      </c>
      <c r="I210" s="52" t="s">
        <v>1515</v>
      </c>
      <c r="J210" s="52" t="s">
        <v>1516</v>
      </c>
      <c r="K210" s="50" t="s">
        <v>1416</v>
      </c>
      <c r="L210" s="52" t="s">
        <v>1472</v>
      </c>
      <c r="M210" s="7">
        <f t="shared" si="83"/>
        <v>131000</v>
      </c>
      <c r="N210" s="7">
        <f t="shared" si="84"/>
        <v>131000</v>
      </c>
      <c r="O210" s="7">
        <f t="shared" si="85"/>
        <v>102750</v>
      </c>
      <c r="P210" s="7">
        <f t="shared" si="86"/>
        <v>102750</v>
      </c>
      <c r="Q210" s="29">
        <f t="shared" si="80"/>
        <v>255</v>
      </c>
      <c r="R210" s="9">
        <f t="shared" si="81"/>
        <v>584</v>
      </c>
      <c r="S210" s="9">
        <f t="shared" si="82"/>
        <v>696</v>
      </c>
      <c r="T210" s="9">
        <v>99.99</v>
      </c>
      <c r="U210" s="53" t="s">
        <v>1517</v>
      </c>
      <c r="V210" s="53" t="s">
        <v>1517</v>
      </c>
      <c r="X210" s="7" t="s">
        <v>158</v>
      </c>
      <c r="Y210" s="7">
        <v>0</v>
      </c>
      <c r="Z210" s="9"/>
      <c r="AA210" s="9"/>
    </row>
    <row r="211" s="11" customFormat="1" customHeight="1" spans="1:27">
      <c r="A211" s="37" t="s">
        <v>1518</v>
      </c>
      <c r="B211" s="37" t="s">
        <v>1518</v>
      </c>
      <c r="C211" s="61" t="s">
        <v>1519</v>
      </c>
      <c r="D211" s="61" t="s">
        <v>1520</v>
      </c>
      <c r="E211" s="11">
        <v>6</v>
      </c>
      <c r="F211" s="11" t="s">
        <v>1521</v>
      </c>
      <c r="G211" s="62" t="s">
        <v>1522</v>
      </c>
      <c r="H211" s="52" t="s">
        <v>1281</v>
      </c>
      <c r="I211" s="62" t="s">
        <v>1523</v>
      </c>
      <c r="J211" s="62" t="s">
        <v>1524</v>
      </c>
      <c r="L211" s="62" t="s">
        <v>1525</v>
      </c>
      <c r="M211" s="11">
        <f t="shared" ref="M205:M215" si="87">M210+600</f>
        <v>131600</v>
      </c>
      <c r="N211" s="11">
        <f t="shared" ref="N205:N215" si="88">N210+600</f>
        <v>131600</v>
      </c>
      <c r="O211" s="11">
        <f t="shared" ref="O211:O215" si="89">O210+500</f>
        <v>103250</v>
      </c>
      <c r="P211" s="11">
        <f t="shared" ref="P211:P215" si="90">P210+500</f>
        <v>103250</v>
      </c>
      <c r="Q211" s="11">
        <f t="shared" si="71"/>
        <v>260</v>
      </c>
      <c r="R211" s="9">
        <f t="shared" si="81"/>
        <v>599</v>
      </c>
      <c r="S211" s="9">
        <f t="shared" si="82"/>
        <v>711</v>
      </c>
      <c r="T211" s="37">
        <v>99.99</v>
      </c>
      <c r="U211" s="61" t="s">
        <v>1275</v>
      </c>
      <c r="V211" s="61" t="s">
        <v>1275</v>
      </c>
      <c r="X211" s="11" t="s">
        <v>158</v>
      </c>
      <c r="Y211" s="11">
        <v>0</v>
      </c>
      <c r="Z211" s="37"/>
      <c r="AA211" s="37"/>
    </row>
    <row r="212" s="11" customFormat="1" customHeight="1" spans="1:27">
      <c r="A212" s="37" t="s">
        <v>1518</v>
      </c>
      <c r="B212" s="37" t="s">
        <v>1518</v>
      </c>
      <c r="C212" s="61" t="s">
        <v>1526</v>
      </c>
      <c r="D212" s="61" t="s">
        <v>1527</v>
      </c>
      <c r="E212" s="11">
        <v>6</v>
      </c>
      <c r="F212" s="11" t="s">
        <v>1528</v>
      </c>
      <c r="G212" s="62" t="s">
        <v>1529</v>
      </c>
      <c r="H212" s="52" t="s">
        <v>1281</v>
      </c>
      <c r="I212" s="62" t="s">
        <v>1530</v>
      </c>
      <c r="J212" s="62" t="s">
        <v>1531</v>
      </c>
      <c r="L212" s="62" t="s">
        <v>1532</v>
      </c>
      <c r="M212" s="11">
        <f t="shared" si="87"/>
        <v>132200</v>
      </c>
      <c r="N212" s="11">
        <f t="shared" si="88"/>
        <v>132200</v>
      </c>
      <c r="O212" s="11">
        <f t="shared" si="89"/>
        <v>103750</v>
      </c>
      <c r="P212" s="11">
        <f t="shared" si="90"/>
        <v>103750</v>
      </c>
      <c r="Q212" s="11">
        <f t="shared" si="71"/>
        <v>265</v>
      </c>
      <c r="R212" s="9">
        <f t="shared" si="81"/>
        <v>614</v>
      </c>
      <c r="S212" s="9">
        <f t="shared" si="82"/>
        <v>726</v>
      </c>
      <c r="T212" s="37">
        <v>99.99</v>
      </c>
      <c r="U212" s="61" t="s">
        <v>1275</v>
      </c>
      <c r="V212" s="61" t="s">
        <v>1275</v>
      </c>
      <c r="X212" s="11" t="s">
        <v>158</v>
      </c>
      <c r="Y212" s="11">
        <v>0</v>
      </c>
      <c r="Z212" s="37"/>
      <c r="AA212" s="37"/>
    </row>
    <row r="213" s="11" customFormat="1" customHeight="1" spans="1:27">
      <c r="A213" s="37" t="s">
        <v>1518</v>
      </c>
      <c r="B213" s="37" t="s">
        <v>1518</v>
      </c>
      <c r="C213" s="61" t="s">
        <v>1533</v>
      </c>
      <c r="D213" s="61" t="s">
        <v>1534</v>
      </c>
      <c r="E213" s="11">
        <v>6</v>
      </c>
      <c r="F213" s="11" t="s">
        <v>1535</v>
      </c>
      <c r="G213" s="62" t="s">
        <v>1536</v>
      </c>
      <c r="H213" s="52" t="s">
        <v>1281</v>
      </c>
      <c r="I213" s="62" t="s">
        <v>1537</v>
      </c>
      <c r="J213" s="62" t="s">
        <v>1538</v>
      </c>
      <c r="L213" s="62" t="s">
        <v>1539</v>
      </c>
      <c r="M213" s="11">
        <f t="shared" si="87"/>
        <v>132800</v>
      </c>
      <c r="N213" s="11">
        <f t="shared" si="88"/>
        <v>132800</v>
      </c>
      <c r="O213" s="11">
        <f t="shared" si="89"/>
        <v>104250</v>
      </c>
      <c r="P213" s="11">
        <f t="shared" si="90"/>
        <v>104250</v>
      </c>
      <c r="Q213" s="11">
        <f t="shared" si="71"/>
        <v>270</v>
      </c>
      <c r="R213" s="9">
        <f t="shared" si="81"/>
        <v>629</v>
      </c>
      <c r="S213" s="9">
        <f t="shared" si="82"/>
        <v>741</v>
      </c>
      <c r="T213" s="37">
        <v>99.99</v>
      </c>
      <c r="U213" s="61" t="s">
        <v>1275</v>
      </c>
      <c r="V213" s="61" t="s">
        <v>1275</v>
      </c>
      <c r="X213" s="11" t="s">
        <v>158</v>
      </c>
      <c r="Y213" s="11">
        <v>0</v>
      </c>
      <c r="Z213" s="37"/>
      <c r="AA213" s="37"/>
    </row>
    <row r="214" s="11" customFormat="1" customHeight="1" spans="1:27">
      <c r="A214" s="37" t="s">
        <v>1518</v>
      </c>
      <c r="B214" s="37" t="s">
        <v>1518</v>
      </c>
      <c r="C214" s="61" t="s">
        <v>1540</v>
      </c>
      <c r="D214" s="61" t="s">
        <v>1541</v>
      </c>
      <c r="E214" s="11">
        <v>6</v>
      </c>
      <c r="F214" s="11" t="s">
        <v>1542</v>
      </c>
      <c r="G214" s="62" t="s">
        <v>1543</v>
      </c>
      <c r="H214" s="52" t="s">
        <v>1281</v>
      </c>
      <c r="I214" s="62" t="s">
        <v>1544</v>
      </c>
      <c r="J214" s="62" t="s">
        <v>1545</v>
      </c>
      <c r="L214" s="62" t="s">
        <v>1546</v>
      </c>
      <c r="M214" s="11">
        <f t="shared" si="87"/>
        <v>133400</v>
      </c>
      <c r="N214" s="11">
        <f t="shared" si="88"/>
        <v>133400</v>
      </c>
      <c r="O214" s="11">
        <f t="shared" si="89"/>
        <v>104750</v>
      </c>
      <c r="P214" s="11">
        <f t="shared" si="90"/>
        <v>104750</v>
      </c>
      <c r="Q214" s="11">
        <f t="shared" si="71"/>
        <v>275</v>
      </c>
      <c r="R214" s="9">
        <f t="shared" si="81"/>
        <v>644</v>
      </c>
      <c r="S214" s="9">
        <f t="shared" si="82"/>
        <v>756</v>
      </c>
      <c r="T214" s="37">
        <v>99.99</v>
      </c>
      <c r="U214" s="61" t="s">
        <v>1275</v>
      </c>
      <c r="V214" s="61" t="s">
        <v>1275</v>
      </c>
      <c r="X214" s="11" t="s">
        <v>158</v>
      </c>
      <c r="Y214" s="11">
        <v>0</v>
      </c>
      <c r="Z214" s="37"/>
      <c r="AA214" s="37"/>
    </row>
    <row r="215" s="11" customFormat="1" customHeight="1" spans="1:27">
      <c r="A215" s="37" t="s">
        <v>1518</v>
      </c>
      <c r="B215" s="37" t="s">
        <v>1518</v>
      </c>
      <c r="C215" s="61" t="s">
        <v>1547</v>
      </c>
      <c r="D215" s="61" t="s">
        <v>1548</v>
      </c>
      <c r="E215" s="11">
        <v>6</v>
      </c>
      <c r="F215" s="11" t="s">
        <v>1549</v>
      </c>
      <c r="G215" s="62" t="s">
        <v>1550</v>
      </c>
      <c r="H215" s="52" t="s">
        <v>1281</v>
      </c>
      <c r="I215" s="62" t="s">
        <v>1551</v>
      </c>
      <c r="J215" s="62" t="s">
        <v>1552</v>
      </c>
      <c r="L215" s="62" t="s">
        <v>1553</v>
      </c>
      <c r="M215" s="11">
        <f t="shared" si="87"/>
        <v>134000</v>
      </c>
      <c r="N215" s="11">
        <f t="shared" si="88"/>
        <v>134000</v>
      </c>
      <c r="O215" s="11">
        <f t="shared" si="89"/>
        <v>105250</v>
      </c>
      <c r="P215" s="11">
        <f t="shared" si="90"/>
        <v>105250</v>
      </c>
      <c r="Q215" s="11">
        <f t="shared" si="71"/>
        <v>280</v>
      </c>
      <c r="R215" s="9">
        <f t="shared" si="81"/>
        <v>659</v>
      </c>
      <c r="S215" s="9">
        <f t="shared" si="82"/>
        <v>771</v>
      </c>
      <c r="T215" s="37">
        <v>99.99</v>
      </c>
      <c r="U215" s="61" t="s">
        <v>1275</v>
      </c>
      <c r="V215" s="61" t="s">
        <v>1275</v>
      </c>
      <c r="X215" s="11" t="s">
        <v>158</v>
      </c>
      <c r="Y215" s="11">
        <v>0</v>
      </c>
      <c r="Z215" s="37"/>
      <c r="AA215" s="37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2026-01-23T14:39:30Z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2052-12.1.0.25186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
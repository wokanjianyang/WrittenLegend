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<sst xmlns="http://schemas.openxmlformats.org/spreadsheetml/2006/main" count="2111" uniqueCount="1555">
  <si>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</si>
  <si>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</si>
  <si>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</si>
  <si>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</si>
  <si>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</si>
  <si>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</si>
  <si>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</si>
  <si>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</si>
  <si>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</si>
  <si>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</si>
  <si>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</si>
  <si>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</si>
  <si>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</si>
  <si>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</si>
  <si>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</si>
  <si>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</si>
  <si>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</si>
  <si>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</si>
  <si>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</si>
  <si>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</si>
  <si>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</si>
  <si>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</si>
  <si>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</si>
  <si>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</si>
  <si>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</si>
  <si>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</si>
  <si>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</si>
  <si>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</si>
  <si>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</si>
  <si>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</si>
  <si>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</si>
  <si>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</si>
  <si>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</si>
  <si>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</si>
  <si>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</si>
  <si>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</si>
  <si>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</si>
  <si>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</si>
  <si>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</si>
  <si>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</si>
  <si>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</si>
  <si>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</si>
  <si>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</si>
  <si>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</si>
  <si>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</si>
  <si>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</si>
  <si>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</si>
  <si>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</si>
  <si>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</si>
  <si>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</si>
  <si>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</si>
  <si>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</si>
  <si>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</si>
  <si>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</si>
  <si>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</si>
  <si>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</si>
  <si>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</si>
  <si>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</si>
  <si>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</si>
  <si>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</si>
  <si>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</si>
  <si>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</si>
  <si>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</si>
  <si>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</si>
  <si>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</si>
  <si>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</si>
  <si>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</si>
  <si>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</si>
  <si>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</si>
  <si>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</si>
  <si>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</si>
  <si>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</si>
  <si>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</si>
  <si>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</si>
  <si>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</si>
  <si>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</si>
  <si>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</si>
  <si>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</si>
  <si>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</si>
  <si>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</si>
  <si>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</si>
  <si>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</si>
  <si>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</si>
  <si>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</si>
  <si>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</si>
  <si>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</si>
  <si>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</si>
  <si>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</si>
  <si>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</si>
  <si>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</si>
  <si>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</si>
  <si>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</si>
  <si>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</si>
  <si>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</si>
  <si>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</si>
  <si>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</si>
  <si>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</si>
  <si>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</si>
  <si>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</si>
  <si>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</si>
  <si>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</si>
  <si>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</si>
  <si>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</si>
  <si>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</si>
  <si>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</si>
  <si>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</si>
  <si>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</si>
  <si>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</si>
  <si>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</si>
  <si>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</si>
  <si>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</si>
  <si>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</si>
  <si>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</si>
  <si>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</si>
  <si>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</si>
  <si>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</si>
  <si>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</si>
  <si>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</si>
  <si>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</si>
  <si>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</si>
  <si>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</si>
  <si>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</si>
  <si>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</si>
  <si>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</si>
  <si>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</si>
  <si>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</si>
  <si>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</si>
  <si>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</si>
  <si>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</si>
  <si>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</si>
  <si>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</si>
  <si>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</si>
  <si>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</si>
  <si>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</si>
  <si>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</si>
  <si>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</si>
  <si>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</si>
  <si>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</si>
  <si>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</si>
  <si>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</si>
  <si>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</si>
  <si>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</si>
  <si>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</si>
  <si>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</si>
  <si>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</si>
  <si>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</si>
  <si>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</si>
  <si>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</si>
  <si>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</si>
  <si>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</si>
  <si>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</si>
  <si>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</si>
  <si>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</si>
  <si>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</si>
  <si>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</si>
  <si>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</si>
  <si>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</si>
  <si>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</si>
  <si>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</si>
  <si>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</si>
  <si>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</si>
  <si>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</si>
  <si>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</si>
  <si>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</si>
  <si>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</si>
  <si>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</si>
  <si>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</si>
  <si>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</si>
  <si>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</si>
  <si>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</si>
  <si>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</si>
  <si>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</si>
  <si>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</si>
  <si>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</si>
  <si>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</si>
  <si>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</si>
  <si>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</si>
  <si>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</si>
  <si>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</si>
  <si>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</si>
  <si>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</si>
  <si>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</si>
  <si>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</si>
  <si>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</si>
  <si>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</si>
  <si>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</si>
  <si>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</si>
  <si>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</si>
  <si>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</si>
  <si>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</si>
  <si>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</si>
  <si>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</si>
  <si>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</si>
  <si>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</si>
  <si>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</si>
  <si>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</si>
  <si>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</si>
  <si>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</si>
  <si>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</si>
  <si>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</si>
  <si>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</si>
  <si>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</si>
  <si>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</si>
  <si>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</si>
  <si>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</si>
  <si>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</si>
  <si>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</si>
  <si>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</si>
  <si>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</si>
  <si>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</si>
  <si>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</si>
  <si>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</si>
  <si>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</si>
  <si>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</si>
  <si>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</si>
  <si>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</si>
  <si>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</si>
  <si>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</si>
  <si>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</si>
  <si>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</si>
  <si>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</si>
  <si>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</si>
  <si>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</si>
  <si>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</si>
  <si>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</si>
  <si>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</si>
  <si>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</si>
  <si>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</si>
  <si>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</si>
  <si>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</si>
  <si>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</si>
  <si>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</si>
  <si>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</si>
  <si>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</si>
  <si>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</si>
  <si>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</si>
  <si>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</si>
  <si>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</si>
  <si>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</si>
  <si>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</si>
  <si>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</si>
  <si>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</si>
  <si>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</si>
  <si>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</si>
  <si>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</si>
  <si>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</si>
  <si>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</si>
  <si>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</si>
  <si>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</si>
  <si>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</si>
  <si>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</si>
  <si>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</si>
  <si>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</si>
  <si>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</si>
  <si>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</si>
  <si>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</si>
  <si>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</si>
  <si>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</si>
  <si>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</si>
  <si>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</si>
  <si>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</si>
  <si>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</si>
  <si>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</si>
  <si>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</si>
  <si>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</si>
  <si>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</si>
  <si>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</si>
  <si>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</si>
  <si>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</si>
  <si>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</si>
  <si>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</si>
  <si>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</si>
  <si>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</si>
  <si>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</si>
  <si>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</si>
  <si>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</si>
  <si>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</si>
  <si>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</si>
  <si>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</si>
  <si>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</si>
  <si>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</si>
  <si>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</si>
  <si>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</si>
  <si>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</si>
  <si>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</si>
  <si>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</si>
  <si>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</si>
  <si>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</si>
  <si>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</si>
  <si>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</si>
  <si>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</si>
  <si>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</si>
  <si>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</si>
  <si>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</si>
  <si>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</si>
  <si>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</si>
  <si>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</si>
  <si>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</si>
  <si>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</si>
  <si>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</si>
  <si>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</si>
  <si>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</si>
  <si>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</si>
  <si>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</si>
  <si>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</si>
  <si>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</si>
  <si>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</si>
  <si>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</si>
  <si>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</si>
  <si>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</si>
  <si>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</si>
  <si>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</si>
  <si>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</si>
  <si>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</si>
  <si>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</si>
  <si>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</si>
  <si>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</si>
  <si>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</si>
  <si>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</si>
  <si>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</si>
  <si>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</si>
  <si>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</si>
  <si>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</si>
  <si>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</si>
  <si>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</si>
  <si>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</si>
  <si>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</si>
  <si>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</si>
  <si>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</si>
  <si>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</si>
  <si>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</si>
  <si>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</si>
  <si>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</si>
  <si>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</si>
  <si>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</si>
  <si>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</si>
  <si>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</si>
  <si>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</si>
  <si>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</si>
  <si>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</si>
  <si>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</si>
  <si>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</si>
  <si>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</si>
  <si>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</si>
  <si>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</si>
  <si>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</si>
  <si>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</si>
  <si>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</si>
  <si>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</si>
  <si>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</si>
  <si>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</si>
  <si>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</si>
  <si>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</si>
  <si>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</si>
  <si>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</si>
  <si>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</si>
  <si>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</si>
  <si>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</si>
  <si>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</si>
  <si>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</si>
  <si>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</si>
  <si>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</si>
  <si>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</si>
  <si>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</si>
  <si>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</si>
  <si>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</si>
  <si>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</si>
  <si>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</si>
  <si>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</si>
  <si>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</si>
  <si>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</si>
  <si>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</si>
  <si>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</si>
  <si>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</si>
  <si>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</si>
  <si>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</si>
  <si>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</si>
  <si>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</si>
  <si>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</si>
  <si>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</si>
  <si>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</si>
  <si>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</si>
  <si>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</si>
  <si>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</si>
  <si>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</si>
  <si>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</si>
  <si>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</si>
  <si>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</si>
  <si>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</si>
  <si>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</si>
  <si>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</si>
  <si>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</si>
  <si>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</si>
  <si>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</si>
  <si>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</si>
  <si>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</si>
  <si>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</si>
  <si>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</si>
  <si>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</si>
  <si>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</si>
  <si>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</si>
  <si>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</si>
  <si>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</si>
  <si>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</si>
  <si>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</si>
  <si>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</si>
  <si>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</si>
  <si>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</si>
  <si>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</si>
  <si>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</si>
  <si>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</si>
  <si>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</si>
  <si>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</si>
  <si>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</si>
  <si>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</si>
  <si>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</si>
  <si>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</si>
  <si>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</si>
  <si>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</si>
  <si>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</si>
  <si>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</si>
  <si>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</si>
  <si>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</si>
  <si>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</si>
  <si>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</si>
  <si>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</si>
  <si>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</si>
  <si>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</si>
  <si>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</si>
  <si>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</si>
  <si>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</si>
  <si>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</si>
  <si>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</si>
  <si>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</si>
  <si>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</si>
  <si>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</si>
  <si>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</si>
  <si>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</si>
  <si>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</si>
  <si>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</si>
  <si>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</si>
  <si>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</si>
  <si>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</si>
  <si>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</si>
  <si>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</si>
  <si>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</si>
  <si>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</si>
  <si>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</si>
  <si>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</si>
  <si>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</si>
  <si>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</si>
  <si>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</si>
  <si>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</si>
  <si>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</si>
  <si>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</si>
  <si>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</si>
  <si>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</si>
  <si>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</si>
  <si>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</si>
  <si>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</si>
  <si>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</si>
  <si>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</si>
  <si>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</si>
  <si>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</si>
  <si>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</si>
  <si>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</si>
  <si>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</si>
  <si>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</si>
  <si>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</si>
  <si>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</si>
  <si>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</si>
  <si>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</si>
  <si>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</si>
  <si>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</si>
  <si>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</si>
  <si>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</si>
  <si>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</si>
  <si>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</si>
  <si>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</si>
  <si>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</si>
  <si>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</si>
  <si>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</si>
  <si>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</si>
  <si>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</si>
  <si>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</si>
  <si>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</si>
  <si>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</si>
  <si>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</si>
  <si>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</si>
  <si>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</si>
  <si>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</si>
  <si>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</si>
  <si>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</si>
  <si>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</si>
  <si>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</si>
  <si>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</si>
  <si>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</si>
  <si>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</si>
  <si>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</si>
  <si>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</si>
  <si>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</si>
  <si>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</si>
  <si>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</si>
  <si>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</si>
  <si>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</si>
  <si>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</si>
  <si>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</si>
  <si>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</si>
  <si>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</si>
  <si>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</si>
  <si>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</si>
  <si>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</si>
  <si>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</si>
  <si>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</si>
  <si>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</si>
  <si>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</si>
  <si>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</si>
  <si>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</si>
  <si>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</si>
  <si>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</si>
  <si>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</si>
  <si>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</si>
  <si>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</si>
  <si>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</si>
  <si>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</si>
  <si>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</si>
  <si>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</si>
  <si>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</si>
  <si>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</si>
  <si>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</si>
  <si>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</si>
  <si>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</si>
  <si>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</si>
  <si>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</si>
  <si>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</si>
  <si>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</si>
  <si>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</si>
  <si>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</si>
  <si>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</si>
  <si>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</si>
  <si>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</si>
  <si>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</si>
  <si>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</si>
  <si>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</si>
  <si>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</si>
  <si>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</si>
  <si>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</si>
  <si>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</si>
  <si>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</si>
  <si>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</si>
  <si>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</si>
  <si>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</si>
  <si>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</si>
  <si>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</si>
  <si>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</si>
  <si>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</si>
  <si>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</si>
  <si>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</si>
  <si>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</si>
  <si>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</si>
  <si>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</si>
  <si>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</si>
  <si>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</si>
  <si>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</si>
  <si>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</si>
  <si>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</si>
  <si>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</si>
  <si>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</si>
  <si>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</si>
  <si>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</si>
  <si>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</si>
  <si>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</si>
  <si>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</si>
  <si>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</si>
  <si>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</si>
  <si>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</si>
  <si>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</si>
  <si>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</si>
  <si>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</si>
  <si>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</si>
  <si>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</si>
  <si>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</si>
  <si>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</si>
  <si>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</si>
  <si>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</si>
  <si>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</si>
  <si>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</si>
  <si>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</si>
  <si>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</si>
  <si>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</si>
  <si>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</si>
  <si>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</si>
  <si>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</si>
  <si>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</si>
  <si>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</si>
  <si>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</si>
  <si>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</si>
  <si>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</si>
  <si>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</si>
  <si>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</si>
  <si>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</si>
  <si>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</si>
  <si>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</si>
  <si>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</si>
  <si>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</si>
  <si>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</si>
  <si>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</si>
  <si>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</si>
  <si>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</si>
  <si>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</si>
  <si>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</si>
  <si>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</si>
  <si>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</si>
  <si>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</si>
  <si>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</si>
  <si>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</si>
  <si>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</si>
  <si>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</si>
  <si>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</si>
  <si>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</si>
  <si>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</si>
  <si>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</si>
  <si>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</si>
  <si>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</si>
  <si>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</si>
  <si>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</si>
  <si>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</si>
  <si>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</si>
  <si>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</si>
  <si>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</si>
  <si>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</si>
  <si>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</si>
  <si>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</si>
  <si>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</si>
  <si>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</si>
  <si>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</si>
  <si>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</si>
  <si>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</si>
  <si>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</si>
  <si>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</si>
  <si>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</si>
  <si>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</si>
  <si>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</si>
  <si>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</si>
  <si>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</si>
  <si>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</si>
  <si>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</si>
  <si>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</si>
  <si>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</si>
  <si>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</si>
  <si>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</si>
  <si>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</si>
  <si>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</si>
  <si>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</si>
  <si>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</si>
  <si>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</si>
  <si>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</si>
  <si>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</si>
  <si>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</si>
  <si>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</si>
  <si>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</si>
  <si>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</si>
  <si>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</si>
  <si>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</si>
  <si>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</si>
  <si>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</si>
  <si>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</si>
  <si>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</si>
  <si>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</si>
  <si>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</si>
  <si>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</si>
  <si>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</si>
  <si>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</si>
  <si>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</si>
  <si>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</si>
  <si>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</si>
  <si>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</si>
  <si>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</si>
  <si>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</si>
  <si>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</si>
  <si>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</si>
  <si>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</si>
  <si>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</si>
  <si>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</si>
  <si>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</si>
  <si>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</si>
  <si>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</si>
  <si>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</si>
  <si>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</si>
  <si>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</si>
  <si>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</si>
  <si>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</si>
  <si>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</si>
  <si>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</si>
  <si>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</si>
  <si>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</si>
  <si>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</si>
  <si>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</si>
  <si>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</si>
  <si>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</si>
  <si>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</si>
  <si>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</si>
  <si>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</si>
  <si>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</si>
  <si>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</si>
  <si>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</si>
  <si>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</si>
  <si>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</si>
  <si>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</si>
  <si>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</si>
  <si>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</si>
  <si>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</si>
  <si>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</si>
  <si>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</si>
  <si>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</si>
  <si>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</si>
  <si>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</si>
  <si>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</si>
  <si>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</si>
  <si>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</si>
  <si>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</si>
  <si>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</si>
  <si>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</si>
  <si>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</si>
  <si>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</si>
  <si>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</si>
  <si>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</si>
  <si>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</si>
  <si>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</si>
  <si>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</si>
  <si>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</si>
  <si>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</si>
  <si>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</si>
  <si>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</si>
  <si>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</si>
  <si>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</si>
  <si>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</si>
  <si>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</si>
  <si>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</si>
  <si>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</si>
  <si>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</si>
  <si>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</si>
  <si>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</si>
  <si>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</si>
  <si>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</si>
  <si>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</si>
  <si>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</si>
  <si>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</si>
  <si>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</si>
  <si>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</si>
  <si>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</si>
  <si>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</si>
  <si>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</si>
  <si>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</si>
  <si>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</si>
  <si>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</si>
  <si>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</si>
  <si>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</si>
  <si>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</si>
  <si>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</si>
  <si>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</si>
  <si>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</si>
  <si>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</si>
  <si>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</si>
  <si>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</si>
  <si>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</si>
  <si>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</si>
  <si>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</si>
  <si>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</si>
  <si>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</si>
  <si>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</si>
  <si>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</si>
  <si>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</si>
  <si>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</si>
  <si>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</si>
  <si>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</si>
  <si>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</si>
  <si>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</si>
  <si>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</si>
  <si>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</si>
  <si>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</si>
  <si>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</si>
  <si>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</si>
  <si>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</si>
  <si>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</si>
  <si>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</si>
  <si>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</si>
  <si>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</si>
  <si>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</si>
  <si>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</si>
  <si>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</si>
  <si>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</si>
  <si>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</si>
  <si>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</si>
  <si>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</si>
  <si>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</si>
  <si>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</si>
  <si>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</si>
  <si>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</si>
  <si>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</si>
  <si>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</si>
  <si>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</si>
  <si>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</si>
  <si>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</si>
  <si>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</si>
  <si>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</si>
  <si>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</si>
  <si>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</si>
  <si>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</si>
  <si>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</si>
  <si>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</si>
  <si>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</si>
  <si>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</si>
  <si>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</si>
  <si>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</si>
  <si>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</si>
  <si>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</si>
  <si>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</si>
  <si>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</si>
  <si>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</si>
  <si>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</si>
  <si>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</si>
  <si>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</si>
  <si>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</si>
  <si>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</si>
  <si>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</si>
  <si>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</si>
  <si>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</si>
  <si>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</si>
  <si>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</si>
  <si>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</si>
  <si>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</si>
  <si>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</si>
  <si>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</si>
  <si>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</si>
  <si>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</si>
  <si>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</si>
  <si>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</si>
  <si>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</si>
  <si>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</si>
  <si>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</si>
  <si>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</si>
  <si>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</si>
  <si>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</si>
  <si>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</si>
  <si>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</si>
  <si>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</si>
  <si>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</si>
  <si>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</si>
  <si>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</si>
  <si>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</si>
  <si>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</si>
  <si>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</si>
  <si>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</si>
  <si>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</si>
  <si>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</si>
  <si>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</si>
  <si>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</si>
  <si>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</si>
  <si>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</si>
  <si>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</si>
  <si>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</si>
  <si>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</si>
  <si>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</si>
  <si>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</si>
  <si>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</si>
  <si>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</si>
  <si>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</si>
  <si>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</si>
  <si>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</si>
  <si>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</si>
  <si>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</si>
  <si>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</si>
  <si>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</si>
  <si>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</si>
  <si>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</si>
  <si>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</si>
  <si>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</si>
  <si>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</si>
  <si>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</si>
  <si>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</si>
  <si>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</si>
  <si>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</si>
  <si>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</si>
  <si>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</si>
  <si>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</si>
  <si>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</si>
  <si>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</si>
  <si>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</si>
  <si>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</si>
  <si>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</si>
  <si>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</si>
  <si>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</si>
  <si>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</si>
  <si>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</si>
  <si>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</si>
  <si>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</si>
  <si>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</si>
  <si>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</si>
  <si>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</si>
  <si>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</si>
  <si>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</si>
  <si>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</si>
  <si>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</si>
  <si>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</si>
  <si>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</si>
  <si>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</si>
  <si>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</si>
  <si>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</si>
  <si>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</si>
  <si>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</si>
  <si>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</si>
  <si>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</si>
  <si>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</si>
  <si>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</si>
  <si>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</si>
  <si>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</si>
  <si>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</si>
  <si>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</si>
  <si>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</si>
  <si>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</si>
  <si>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</si>
  <si>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</si>
  <si>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</si>
  <si>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</si>
  <si>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</si>
  <si>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</si>
  <si>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</si>
  <si>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</si>
  <si>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</si>
  <si>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</si>
  <si>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</si>
  <si>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</si>
  <si>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</si>
  <si>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</si>
  <si>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</si>
  <si>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</si>
  <si>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</si>
  <si>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</si>
  <si>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</si>
  <si>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</si>
  <si>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</si>
  <si>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</si>
  <si>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</si>
  <si>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</si>
  <si>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</si>
  <si>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</si>
  <si>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</si>
  <si>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</si>
  <si>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</si>
  <si>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</si>
  <si>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</si>
  <si>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</si>
  <si>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</si>
  <si>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</si>
  <si>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</si>
  <si>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</si>
  <si>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</si>
  <si>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</si>
  <si>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</si>
  <si>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</si>
  <si>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</si>
  <si>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</si>
  <si>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</si>
  <si>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</si>
  <si>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</si>
  <si>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</si>
  <si>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</si>
  <si>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</si>
  <si>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</si>
  <si>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</si>
  <si>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</si>
  <si>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</si>
  <si>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</si>
  <si>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</si>
  <si>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</si>
  <si>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</si>
  <si>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</si>
  <si>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</si>
  <si>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</si>
  <si>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</si>
  <si>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</si>
  <si>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</si>
  <si>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</si>
  <si>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</si>
  <si>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</si>
  <si>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</si>
  <si>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</si>
  <si>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</si>
  <si>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</si>
  <si>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</si>
  <si>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</si>
  <si>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</si>
  <si>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</si>
  <si>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</si>
  <si>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</si>
  <si>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</si>
  <si>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</si>
  <si>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</si>
  <si>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</si>
  <si>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</si>
  <si>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</si>
  <si>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</si>
  <si>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</si>
  <si>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</si>
  <si>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</si>
  <si>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</si>
  <si>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</si>
  <si>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</si>
  <si>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</si>
  <si>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</si>
  <si>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</si>
  <si>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</si>
  <si>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</si>
  <si>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</si>
  <si>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</si>
  <si>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</si>
  <si>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</si>
  <si>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</si>
  <si>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</si>
  <si>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</si>
  <si>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</si>
  <si>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</si>
  <si>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</si>
  <si>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</si>
  <si>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</si>
  <si>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</si>
  <si>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</si>
  <si>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</si>
  <si>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</si>
  <si>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</si>
  <si>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</si>
  <si>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</si>
  <si>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</si>
  <si>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</si>
  <si>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</si>
  <si>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</si>
  <si>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</si>
  <si>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</si>
  <si>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</si>
  <si>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</si>
  <si>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</si>
  <si>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</si>
  <si>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</si>
  <si>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</si>
  <si>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</si>
  <si>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</si>
  <si>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</si>
  <si>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</si>
  <si>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</si>
  <si>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</si>
  <si>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</si>
  <si>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</si>
  <si>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</si>
  <si>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</si>
  <si>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</si>
  <si>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</si>
  <si>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</si>
  <si>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</si>
  <si>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</si>
  <si>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</si>
  <si>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</si>
  <si>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</si>
  <si>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</si>
  <si>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</si>
  <si>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</si>
  <si>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</si>
  <si>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</si>
  <si>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</si>
  <si>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</si>
  <si>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</si>
  <si>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</si>
  <si>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</si>
  <si>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</si>
  <si>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</si>
  <si>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</si>
  <si>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</si>
  <si>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</si>
  <si>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</si>
  <si>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</si>
  <si>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</si>
  <si>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</si>
  <si>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</si>
  <si>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</si>
  <si>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</si>
  <si>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</si>
  <si>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</si>
  <si>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</si>
  <si>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</si>
  <si>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</si>
  <si>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</si>
  <si>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</si>
  <si>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</si>
  <si>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</si>
  <si>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</si>
  <si>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</si>
  <si>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</si>
  <si>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</si>
  <si>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</si>
  <si>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</si>
  <si>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</si>
  <si>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</si>
  <si>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</si>
  <si>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</si>
  <si>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</si>
  <si>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</si>
  <si>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</si>
  <si>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</si>
  <si>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</si>
  <si>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</si>
  <si>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</si>
  <si>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</si>
  <si>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</si>
  <si>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</si>
  <si>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</si>
  <si>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</si>
  <si>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</si>
  <si>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</si>
  <si>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</si>
  <si>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</si>
  <si>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</si>
  <si>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</si>
  <si>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</si>
  <si>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</si>
  <si>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</si>
  <si>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</si>
  <si>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</si>
  <si>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</si>
  <si>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</si>
  <si>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</si>
  <si>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</si>
  <si>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</si>
  <si>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</si>
  <si>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</si>
  <si>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</si>
  <si>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</si>
  <si>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</si>
  <si>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</si>
  <si>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</si>
  <si>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</si>
  <si>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</si>
  <si>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</si>
  <si>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</si>
  <si>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</si>
  <si>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</si>
  <si>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</si>
  <si>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</si>
  <si>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</si>
  <si>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</si>
  <si>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</si>
  <si>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</si>
  <si>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</si>
  <si>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</si>
  <si>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</si>
  <si>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</si>
  <si>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</si>
  <si>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</si>
  <si>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</si>
  <si>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</si>
  <si>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</si>
  <si>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</si>
  <si>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</si>
  <si>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</si>
  <si>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</si>
  <si>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</si>
  <si>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</si>
  <si>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</si>
  <si>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</si>
  <si>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</si>
  <si>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</si>
  <si>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</si>
  <si>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</si>
  <si>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</si>
  <si>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</si>
  <si>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</si>
  <si>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</si>
  <si>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</si>
  <si>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</si>
  <si>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</si>
  <si>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</si>
  <si>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</si>
  <si>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</si>
  <si>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</si>
  <si>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</si>
  <si>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</si>
  <si>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</si>
  <si>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</si>
  <si>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</si>
  <si>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</si>
  <si>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</si>
  <si>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</si>
  <si>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</si>
  <si>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</si>
  <si>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</si>
  <si>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</si>
  <si>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</si>
  <si>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</si>
  <si>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</si>
  <si>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</si>
  <si>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</si>
  <si>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</si>
  <si>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</si>
  <si>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</si>
  <si>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</si>
  <si>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</si>
  <si>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</si>
  <si>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</si>
  <si>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</si>
  <si>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</si>
  <si>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</si>
  <si>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</si>
  <si>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</si>
  <si>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</si>
  <si>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</si>
  <si>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</si>
  <si>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</si>
  <si>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</si>
  <si>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</si>
  <si>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</si>
  <si>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</si>
  <si>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</si>
  <si>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</si>
  <si>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</si>
  <si>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</si>
  <si>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</si>
  <si>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</si>
  <si>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</si>
  <si>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</si>
  <si>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</si>
  <si>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</si>
  <si>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</si>
  <si>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</si>
  <si>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</si>
  <si>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</si>
  <si>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</si>
  <si>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</si>
  <si>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</si>
  <si>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</si>
  <si>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</si>
  <si>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</si>
  <si>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</si>
  <si>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</si>
  <si>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</si>
  <si>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</si>
  <si>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</si>
  <si>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</si>
  <si>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</si>
  <si>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</si>
  <si>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</si>
  <si>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</si>
  <si>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</si>
  <si>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</si>
  <si>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</si>
  <si>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</si>
  <si>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</si>
  <si>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</si>
  <si>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</si>
  <si>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</si>
  <si>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</si>
  <si>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</si>
  <si>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</si>
  <si>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</si>
  <si>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</si>
  <si>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</si>
  <si>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</si>
  <si>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</si>
  <si>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</si>
  <si>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</si>
  <si>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</si>
  <si>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</si>
  <si>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</si>
  <si>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</si>
  <si>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</si>
  <si>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</si>
  <si>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</si>
  <si>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</si>
  <si>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</si>
  <si>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</si>
  <si>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</si>
  <si>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</si>
  <si>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</si>
  <si>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</si>
  <si>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</si>
  <si>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</si>
  <si>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</si>
  <si>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</si>
  <si>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</si>
  <si>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</si>
  <si>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</si>
  <si>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</si>
  <si>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</si>
  <si>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</si>
  <si>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</si>
  <si>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</si>
  <si>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</si>
  <si>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</si>
  <si>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</si>
  <si>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</si>
  <si>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</si>
  <si>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</si>
  <si>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</si>
  <si>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</si>
  <si>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</si>
  <si>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</si>
  <si>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</si>
  <si>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</si>
  <si>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</si>
  <si>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</si>
  <si>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</si>
  <si>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</si>
  <si>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</si>
  <si>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</si>
  <si>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</si>
  <si>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</si>
  <si>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</si>
  <si>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</si>
  <si>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</si>
  <si>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</si>
  <si>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</si>
  <si>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</si>
  <si>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</si>
  <si>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</si>
  <si>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</si>
  <si>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</si>
  <si>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</si>
  <si>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</si>
  <si>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</si>
  <si>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9E+131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</si>
  <si>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</si>
  <si>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</si>
  <si>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</si>
  <si>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</si>
  <si>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</si>
  <si>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</si>
  <si>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</si>
  <si>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</si>
  <si>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</si>
  <si>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9E+134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</si>
  <si>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</si>
  <si>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</si>
  <si>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</si>
  <si>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</si>
  <si>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</si>
  <si>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</si>
  <si>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</si>
  <si>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</si>
  <si>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</si>
  <si>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9E+137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</si>
  <si>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</si>
  <si>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</si>
  <si>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</si>
  <si>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</si>
  <si>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</si>
  <si>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</si>
  <si>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</si>
  <si>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</si>
  <si>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</si>
  <si>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9E+140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</si>
  <si>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</si>
  <si>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</si>
  <si>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</si>
  <si>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</si>
  <si>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</si>
  <si>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</si>
  <si>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</si>
  <si>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</si>
  <si>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9E+143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</si>
  <si>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</si>
  <si>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</si>
  <si>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</si>
  <si>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</si>
  <si>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</si>
  <si>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</si>
  <si>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</si>
  <si>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</si>
  <si>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</si>
  <si>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</si>
  <si>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</si>
  <si>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</si>
  <si>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</si>
  <si>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</si>
  <si>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</si>
  <si>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</si>
  <si>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</si>
  <si>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</si>
  <si>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</si>
  <si>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</si>
  <si>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</si>
  <si>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</si>
  <si>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</si>
  <si>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</si>
  <si>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</si>
  <si>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</si>
  <si>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</si>
  <si>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</si>
  <si>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</si>
  <si>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</si>
  <si>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</si>
  <si>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</si>
  <si>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</si>
  <si>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</si>
  <si>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</si>
  <si>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</si>
  <si>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</si>
  <si>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</si>
  <si>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</si>
  <si>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</si>
  <si>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</si>
  <si>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</si>
  <si>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</si>
  <si>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</si>
  <si>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</si>
  <si>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</si>
  <si>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</si>
  <si>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</si>
  <si>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</si>
  <si>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</si>
  <si>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</si>
  <si>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</si>
  <si>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</si>
  <si>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</si>
  <si>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</si>
  <si>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</si>
  <si>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</si>
  <si>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</si>
  <si>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</si>
  <si>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</si>
  <si>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</si>
  <si>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</si>
  <si>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</si>
  <si>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</si>
  <si>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1E+134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</si>
  <si>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</si>
  <si>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</si>
  <si>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</si>
  <si>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</si>
  <si>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</si>
  <si>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</si>
  <si>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</si>
  <si>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</si>
  <si>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</si>
  <si>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</si>
  <si>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</si>
  <si>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</si>
  <si>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</si>
  <si>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</si>
  <si>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</si>
  <si>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</si>
  <si>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</si>
  <si>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</si>
  <si>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</si>
  <si>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</si>
  <si>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</si>
  <si>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</si>
  <si>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</si>
  <si>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</si>
  <si>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</si>
  <si>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</si>
  <si>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</si>
  <si>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</si>
  <si>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9E+142</t>
  </si>
  <si>
    <t>1E+202</t>
  </si>
  <si>
    <t>1E+76</t>
  </si>
  <si>
    <t>1E+46</t>
  </si>
  <si>
    <t>29000000000000</t>
  </si>
  <si>
    <t>10197</t>
  </si>
  <si>
    <t>1197</t>
  </si>
  <si>
    <t>混沌邪魔教主</t>
  </si>
  <si>
    <t>9E+144</t>
  </si>
  <si>
    <t>1E+204</t>
  </si>
  <si>
    <t>1E+77</t>
  </si>
  <si>
    <t>10198</t>
  </si>
  <si>
    <t>1198</t>
  </si>
  <si>
    <t>混沌邪魔教皇</t>
  </si>
  <si>
    <t>9E+146</t>
  </si>
  <si>
    <t>1E+206</t>
  </si>
  <si>
    <t>1E+78</t>
  </si>
  <si>
    <t>1E+52</t>
  </si>
  <si>
    <t>31000000000000</t>
  </si>
  <si>
    <t>10199</t>
  </si>
  <si>
    <t>1199</t>
  </si>
  <si>
    <t>混沌虹魔猪王</t>
  </si>
  <si>
    <t>9E+148</t>
  </si>
  <si>
    <t>1E+208</t>
  </si>
  <si>
    <t>32000000000000</t>
  </si>
  <si>
    <t>#</t>
  </si>
  <si>
    <t>10200</t>
  </si>
  <si>
    <t>1200</t>
  </si>
  <si>
    <t>混沌烈焰王</t>
  </si>
  <si>
    <t>9E+107</t>
  </si>
  <si>
    <t>512E+161</t>
  </si>
  <si>
    <t>64E+65</t>
  </si>
  <si>
    <t>64E+93</t>
  </si>
  <si>
    <t>10201</t>
  </si>
  <si>
    <t>1201</t>
  </si>
  <si>
    <t>混沌大邪王</t>
  </si>
  <si>
    <t>9E+108</t>
  </si>
  <si>
    <t>512E+162</t>
  </si>
  <si>
    <t>64E+66</t>
  </si>
  <si>
    <t>64E+94</t>
  </si>
  <si>
    <t>10202</t>
  </si>
  <si>
    <t>1202</t>
  </si>
  <si>
    <t>混沌尸魔王</t>
  </si>
  <si>
    <t>9E+109</t>
  </si>
  <si>
    <t>512E+163</t>
  </si>
  <si>
    <t>64E+95</t>
  </si>
  <si>
    <t>10203</t>
  </si>
  <si>
    <t>1203</t>
  </si>
  <si>
    <t>混沌骨魔王</t>
  </si>
  <si>
    <t>9E+110</t>
  </si>
  <si>
    <t>512E+164</t>
  </si>
  <si>
    <t>64E+68</t>
  </si>
  <si>
    <t>64E+96</t>
  </si>
  <si>
    <t>10204</t>
  </si>
  <si>
    <t>1204</t>
  </si>
  <si>
    <t>混沌牛魔王</t>
  </si>
  <si>
    <t>9E+111</t>
  </si>
  <si>
    <t>512E+165</t>
  </si>
  <si>
    <t>64E+69</t>
  </si>
  <si>
    <t>64E+97</t>
  </si>
  <si>
    <t>10205</t>
  </si>
  <si>
    <t>1205</t>
  </si>
  <si>
    <t>混沌水龙王</t>
  </si>
  <si>
    <t>9E+112</t>
  </si>
  <si>
    <t>512E+166</t>
  </si>
  <si>
    <t>64E+70</t>
  </si>
  <si>
    <t>64E+98</t>
  </si>
  <si>
    <t>10206</t>
  </si>
  <si>
    <t>1206</t>
  </si>
  <si>
    <t>混沌土龙王</t>
  </si>
  <si>
    <t>9E+113</t>
  </si>
  <si>
    <t>512E+167</t>
  </si>
  <si>
    <t>64E+71</t>
  </si>
  <si>
    <t>64E+99</t>
  </si>
  <si>
    <t>10207</t>
  </si>
  <si>
    <t>1207</t>
  </si>
  <si>
    <t>混沌毒龙王</t>
  </si>
  <si>
    <t>9E+114</t>
  </si>
  <si>
    <t>512E+168</t>
  </si>
  <si>
    <t>64E+72</t>
  </si>
  <si>
    <t>64E+100</t>
  </si>
  <si>
    <t>10208</t>
  </si>
  <si>
    <t>1208</t>
  </si>
  <si>
    <t>混沌火龙王</t>
  </si>
  <si>
    <t>9E+115</t>
  </si>
  <si>
    <t>512E+169</t>
  </si>
  <si>
    <t>64E+73</t>
  </si>
  <si>
    <t>64E+101</t>
  </si>
  <si>
    <t>10209</t>
  </si>
  <si>
    <t>1209</t>
  </si>
  <si>
    <t>混沌冰龙王</t>
  </si>
  <si>
    <t>9E+116</t>
  </si>
  <si>
    <t>512E+170</t>
  </si>
  <si>
    <t>64E+74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</si>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</sst>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4" borderId="0" xfId="0" applyNumberFormat="1" applyFont="1" applyFill="1"/>
    <xf numFmtId="0" fontId="3" fillId="0" borderId="0" xfId="0" applyNumberFormat="1" applyFont="1"/>
    <xf numFmtId="0" fontId="4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0" fontId="3" fillId="0" borderId="0" xfId="0" applyNumberFormat="1" applyFont="1" applyFill="1"/>
    <xf numFmtId="176" fontId="3" fillId="0" borderId="0" xfId="0" applyNumberFormat="1" applyFont="1" applyFill="1" applyAlignment="1">
      <alignment horizontal="left"/>
    </xf>
    <xf numFmtId="0" fontId="3" fillId="4" borderId="0" xfId="0" applyFont="1" applyFill="1"/>
    <xf numFmtId="176" fontId="3" fillId="4" borderId="0" xfId="0" applyNumberFormat="1" applyFont="1" applyFill="1" applyAlignment="1">
      <alignment horizontal="left"/>
    </xf>
    <xf numFmtId="0" fontId="4" fillId="0" borderId="0" xfId="0" applyNumberFormat="1" applyFont="1"/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4" borderId="0" xfId="0" applyFont="1" applyFill="1" quotePrefix="1"/>
    <xf numFmtId="176" fontId="3" fillId="4" borderId="0" xfId="0" applyNumberFormat="1" applyFont="1" applyFill="1" applyAlignment="1" quotePrefix="1">
      <alignment horizontal="left"/>
    </xf>
    <xf numFmtId="0" fontId="4" fillId="0" borderId="0" xfId="0" applyFont="1" quotePrefix="1"/>
    <xf numFmtId="176" fontId="4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I186" sqref="I186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2" t="s">
        <v>42</v>
      </c>
      <c r="H6" s="32" t="s">
        <v>43</v>
      </c>
      <c r="I6" s="32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2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2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2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2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2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2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2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3" t="s">
        <v>505</v>
      </c>
      <c r="H71" s="32" t="s">
        <v>506</v>
      </c>
      <c r="I71" s="33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3" t="s">
        <v>512</v>
      </c>
      <c r="H72" s="32" t="s">
        <v>513</v>
      </c>
      <c r="I72" s="34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3" t="s">
        <v>519</v>
      </c>
      <c r="H73" s="32" t="s">
        <v>520</v>
      </c>
      <c r="I73" s="34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3" t="s">
        <v>526</v>
      </c>
      <c r="H74" s="32" t="s">
        <v>527</v>
      </c>
      <c r="I74" s="34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3" t="s">
        <v>533</v>
      </c>
      <c r="H75" s="32" t="s">
        <v>534</v>
      </c>
      <c r="I75" s="34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32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3" t="s">
        <v>540</v>
      </c>
      <c r="H76" s="32" t="s">
        <v>541</v>
      </c>
      <c r="I76" s="34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3" t="s">
        <v>546</v>
      </c>
      <c r="H77" s="32" t="s">
        <v>547</v>
      </c>
      <c r="I77" s="34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3" t="s">
        <v>552</v>
      </c>
      <c r="H78" s="32" t="s">
        <v>553</v>
      </c>
      <c r="I78" s="34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3" t="s">
        <v>558</v>
      </c>
      <c r="H79" s="32" t="s">
        <v>559</v>
      </c>
      <c r="I79" s="34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3" t="s">
        <v>564</v>
      </c>
      <c r="H80" s="32" t="s">
        <v>565</v>
      </c>
      <c r="I80" s="34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3" t="s">
        <v>570</v>
      </c>
      <c r="H81" s="32" t="s">
        <v>571</v>
      </c>
      <c r="I81" s="34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3" t="s">
        <v>576</v>
      </c>
      <c r="H82" s="32" t="s">
        <v>577</v>
      </c>
      <c r="I82" s="34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3" t="s">
        <v>582</v>
      </c>
      <c r="H83" s="32" t="s">
        <v>533</v>
      </c>
      <c r="I83" s="34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3" t="s">
        <v>587</v>
      </c>
      <c r="H84" s="32" t="s">
        <v>588</v>
      </c>
      <c r="I84" s="34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3" t="s">
        <v>465</v>
      </c>
      <c r="H85" s="32" t="s">
        <v>593</v>
      </c>
      <c r="I85" s="34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3" t="s">
        <v>598</v>
      </c>
      <c r="H86" s="32" t="s">
        <v>599</v>
      </c>
      <c r="I86" s="34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3" t="s">
        <v>604</v>
      </c>
      <c r="H87" s="32" t="s">
        <v>605</v>
      </c>
      <c r="I87" s="34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3" t="s">
        <v>610</v>
      </c>
      <c r="H88" s="32" t="s">
        <v>611</v>
      </c>
      <c r="I88" s="34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3" t="s">
        <v>616</v>
      </c>
      <c r="H89" s="32" t="s">
        <v>465</v>
      </c>
      <c r="I89" s="34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3" t="s">
        <v>621</v>
      </c>
      <c r="H90" s="32" t="s">
        <v>622</v>
      </c>
      <c r="I90" s="34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32" t="s">
        <v>624</v>
      </c>
      <c r="V90" s="32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3" t="s">
        <v>514</v>
      </c>
      <c r="H91" s="32" t="s">
        <v>628</v>
      </c>
      <c r="I91" s="34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32" t="s">
        <v>630</v>
      </c>
      <c r="V91" s="32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3" t="s">
        <v>634</v>
      </c>
      <c r="H92" s="32" t="s">
        <v>635</v>
      </c>
      <c r="I92" s="34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32" t="s">
        <v>637</v>
      </c>
      <c r="V92" s="32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3" t="s">
        <v>641</v>
      </c>
      <c r="H93" s="32" t="s">
        <v>642</v>
      </c>
      <c r="I93" s="34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32" t="s">
        <v>644</v>
      </c>
      <c r="V93" s="32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3" t="s">
        <v>648</v>
      </c>
      <c r="H94" s="32" t="s">
        <v>649</v>
      </c>
      <c r="I94" s="34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32" t="s">
        <v>651</v>
      </c>
      <c r="V94" s="32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3" t="s">
        <v>655</v>
      </c>
      <c r="H95" s="32" t="s">
        <v>656</v>
      </c>
      <c r="I95" s="34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32" t="s">
        <v>658</v>
      </c>
      <c r="V95" s="32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3" t="s">
        <v>662</v>
      </c>
      <c r="H96" s="32" t="s">
        <v>663</v>
      </c>
      <c r="I96" s="34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32" t="s">
        <v>665</v>
      </c>
      <c r="V96" s="32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3" t="s">
        <v>669</v>
      </c>
      <c r="H97" s="32" t="s">
        <v>670</v>
      </c>
      <c r="I97" s="34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32" t="s">
        <v>672</v>
      </c>
      <c r="V97" s="32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3" t="s">
        <v>676</v>
      </c>
      <c r="H98" s="32" t="s">
        <v>677</v>
      </c>
      <c r="I98" s="34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32" t="s">
        <v>679</v>
      </c>
      <c r="V98" s="32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3" t="s">
        <v>683</v>
      </c>
      <c r="H99" s="32" t="s">
        <v>684</v>
      </c>
      <c r="I99" s="34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32" t="s">
        <v>686</v>
      </c>
      <c r="V99" s="32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3" t="s">
        <v>689</v>
      </c>
      <c r="H100" s="32" t="s">
        <v>690</v>
      </c>
      <c r="I100" s="34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32" t="s">
        <v>692</v>
      </c>
      <c r="V100" s="32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3" t="s">
        <v>696</v>
      </c>
      <c r="H101" s="32" t="s">
        <v>697</v>
      </c>
      <c r="I101" s="34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32" t="s">
        <v>699</v>
      </c>
      <c r="V101" s="32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3" t="s">
        <v>703</v>
      </c>
      <c r="H102" s="32" t="s">
        <v>612</v>
      </c>
      <c r="I102" s="34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32" t="s">
        <v>705</v>
      </c>
      <c r="V102" s="32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3" t="s">
        <v>709</v>
      </c>
      <c r="H103" s="32" t="s">
        <v>617</v>
      </c>
      <c r="I103" s="34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32" t="s">
        <v>711</v>
      </c>
      <c r="V103" s="32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3" t="s">
        <v>715</v>
      </c>
      <c r="H104" s="32" t="s">
        <v>716</v>
      </c>
      <c r="I104" s="34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32" t="s">
        <v>718</v>
      </c>
      <c r="V104" s="32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3" t="s">
        <v>722</v>
      </c>
      <c r="H105" s="32" t="s">
        <v>723</v>
      </c>
      <c r="I105" s="34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32" t="s">
        <v>725</v>
      </c>
      <c r="V105" s="32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3" t="s">
        <v>729</v>
      </c>
      <c r="H106" s="32" t="s">
        <v>730</v>
      </c>
      <c r="I106" s="34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32" t="s">
        <v>732</v>
      </c>
      <c r="V106" s="32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3" t="s">
        <v>736</v>
      </c>
      <c r="H107" s="32" t="s">
        <v>737</v>
      </c>
      <c r="I107" s="34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32" t="s">
        <v>739</v>
      </c>
      <c r="V107" s="32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3" t="s">
        <v>743</v>
      </c>
      <c r="H108" s="32" t="s">
        <v>744</v>
      </c>
      <c r="I108" s="34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32" t="s">
        <v>746</v>
      </c>
      <c r="V108" s="32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3" t="s">
        <v>750</v>
      </c>
      <c r="H109" s="32" t="s">
        <v>751</v>
      </c>
      <c r="I109" s="34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32" t="s">
        <v>753</v>
      </c>
      <c r="V109" s="32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3" t="s">
        <v>678</v>
      </c>
      <c r="H110" s="32" t="s">
        <v>757</v>
      </c>
      <c r="I110" s="34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32" t="s">
        <v>759</v>
      </c>
      <c r="V110" s="32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5" t="s">
        <v>763</v>
      </c>
      <c r="H111" s="36" t="s">
        <v>763</v>
      </c>
      <c r="I111" s="37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6" t="s">
        <v>765</v>
      </c>
      <c r="V111" s="36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3" t="s">
        <v>769</v>
      </c>
      <c r="H112" s="32" t="s">
        <v>769</v>
      </c>
      <c r="I112" s="34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32" t="s">
        <v>771</v>
      </c>
      <c r="V112" s="32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3" t="s">
        <v>775</v>
      </c>
      <c r="H113" s="32" t="s">
        <v>775</v>
      </c>
      <c r="I113" s="34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32" t="s">
        <v>777</v>
      </c>
      <c r="V113" s="32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3" t="s">
        <v>781</v>
      </c>
      <c r="H114" s="32" t="s">
        <v>781</v>
      </c>
      <c r="I114" s="34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32" t="s">
        <v>783</v>
      </c>
      <c r="V114" s="32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3" t="s">
        <v>787</v>
      </c>
      <c r="H115" s="32" t="s">
        <v>787</v>
      </c>
      <c r="I115" s="34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32" t="s">
        <v>789</v>
      </c>
      <c r="V115" s="32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3" t="s">
        <v>793</v>
      </c>
      <c r="H116" s="32" t="s">
        <v>793</v>
      </c>
      <c r="I116" s="34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32" t="s">
        <v>795</v>
      </c>
      <c r="V116" s="32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3" t="s">
        <v>799</v>
      </c>
      <c r="H117" s="32" t="s">
        <v>799</v>
      </c>
      <c r="I117" s="34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32" t="s">
        <v>801</v>
      </c>
      <c r="V117" s="32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3" t="s">
        <v>805</v>
      </c>
      <c r="H118" s="32" t="s">
        <v>805</v>
      </c>
      <c r="I118" s="34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32" t="s">
        <v>807</v>
      </c>
      <c r="V118" s="32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3" t="s">
        <v>811</v>
      </c>
      <c r="H119" s="32" t="s">
        <v>811</v>
      </c>
      <c r="I119" s="34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32" t="s">
        <v>813</v>
      </c>
      <c r="V119" s="32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3" t="s">
        <v>817</v>
      </c>
      <c r="H120" s="32" t="s">
        <v>817</v>
      </c>
      <c r="I120" s="34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32" t="s">
        <v>819</v>
      </c>
      <c r="V120" s="32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3" t="s">
        <v>764</v>
      </c>
      <c r="H121" s="32" t="s">
        <v>764</v>
      </c>
      <c r="I121" s="34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32" t="s">
        <v>824</v>
      </c>
      <c r="V121" s="32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3" t="s">
        <v>828</v>
      </c>
      <c r="H122" s="32" t="s">
        <v>828</v>
      </c>
      <c r="I122" s="34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32" t="s">
        <v>830</v>
      </c>
      <c r="V122" s="32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3" t="s">
        <v>834</v>
      </c>
      <c r="H123" s="32" t="s">
        <v>834</v>
      </c>
      <c r="I123" s="34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32" t="s">
        <v>836</v>
      </c>
      <c r="V123" s="32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3" t="s">
        <v>840</v>
      </c>
      <c r="H124" s="32" t="s">
        <v>840</v>
      </c>
      <c r="I124" s="34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32" t="s">
        <v>842</v>
      </c>
      <c r="V124" s="32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3" t="s">
        <v>846</v>
      </c>
      <c r="H125" s="32" t="s">
        <v>846</v>
      </c>
      <c r="I125" s="34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32" t="s">
        <v>848</v>
      </c>
      <c r="V125" s="32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3" t="s">
        <v>852</v>
      </c>
      <c r="H126" s="32" t="s">
        <v>852</v>
      </c>
      <c r="I126" s="34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32" t="s">
        <v>854</v>
      </c>
      <c r="V126" s="32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3" t="s">
        <v>858</v>
      </c>
      <c r="H127" s="32" t="s">
        <v>858</v>
      </c>
      <c r="I127" s="34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32" t="s">
        <v>860</v>
      </c>
      <c r="V127" s="32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3" t="s">
        <v>864</v>
      </c>
      <c r="H128" s="32" t="s">
        <v>864</v>
      </c>
      <c r="I128" s="34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32" t="s">
        <v>866</v>
      </c>
      <c r="V128" s="32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3" t="s">
        <v>870</v>
      </c>
      <c r="H129" s="32" t="s">
        <v>870</v>
      </c>
      <c r="I129" s="34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32" t="s">
        <v>872</v>
      </c>
      <c r="V129" s="32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3" t="s">
        <v>876</v>
      </c>
      <c r="H130" s="32" t="s">
        <v>876</v>
      </c>
      <c r="I130" s="34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32" t="s">
        <v>878</v>
      </c>
      <c r="V130" s="32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3" t="s">
        <v>882</v>
      </c>
      <c r="H131" s="32" t="s">
        <v>882</v>
      </c>
      <c r="I131" s="34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32" t="s">
        <v>884</v>
      </c>
      <c r="V131" s="32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3" t="s">
        <v>888</v>
      </c>
      <c r="H132" s="32" t="s">
        <v>888</v>
      </c>
      <c r="I132" s="34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32" t="s">
        <v>890</v>
      </c>
      <c r="V132" s="32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3" t="s">
        <v>894</v>
      </c>
      <c r="H133" s="32" t="s">
        <v>894</v>
      </c>
      <c r="I133" s="34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32" t="s">
        <v>896</v>
      </c>
      <c r="V133" s="32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3" t="s">
        <v>900</v>
      </c>
      <c r="H134" s="32" t="s">
        <v>900</v>
      </c>
      <c r="I134" s="34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32" t="s">
        <v>902</v>
      </c>
      <c r="V134" s="32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3" t="s">
        <v>905</v>
      </c>
      <c r="H135" s="32" t="s">
        <v>905</v>
      </c>
      <c r="I135" s="34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32" t="s">
        <v>457</v>
      </c>
      <c r="V135" s="32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3" t="s">
        <v>910</v>
      </c>
      <c r="H136" s="32" t="s">
        <v>910</v>
      </c>
      <c r="I136" s="34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32" t="s">
        <v>912</v>
      </c>
      <c r="V136" s="32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3" t="s">
        <v>916</v>
      </c>
      <c r="H137" s="32" t="s">
        <v>916</v>
      </c>
      <c r="I137" s="34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32" t="s">
        <v>918</v>
      </c>
      <c r="V137" s="32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3" t="s">
        <v>922</v>
      </c>
      <c r="H138" s="32" t="s">
        <v>922</v>
      </c>
      <c r="I138" s="34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32" t="s">
        <v>924</v>
      </c>
      <c r="V138" s="32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3" t="s">
        <v>928</v>
      </c>
      <c r="H139" s="32" t="s">
        <v>928</v>
      </c>
      <c r="I139" s="34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32" t="s">
        <v>930</v>
      </c>
      <c r="V139" s="32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3" t="s">
        <v>934</v>
      </c>
      <c r="H140" s="32" t="s">
        <v>934</v>
      </c>
      <c r="I140" s="34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32" t="s">
        <v>936</v>
      </c>
      <c r="V140" s="32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3" t="s">
        <v>940</v>
      </c>
      <c r="H141" s="32" t="s">
        <v>940</v>
      </c>
      <c r="I141" s="34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32" t="s">
        <v>942</v>
      </c>
      <c r="V141" s="32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3" t="s">
        <v>946</v>
      </c>
      <c r="H142" s="32" t="s">
        <v>946</v>
      </c>
      <c r="I142" s="34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32" t="s">
        <v>948</v>
      </c>
      <c r="V142" s="32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3" t="s">
        <v>952</v>
      </c>
      <c r="H143" s="32" t="s">
        <v>952</v>
      </c>
      <c r="I143" s="34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32" t="s">
        <v>954</v>
      </c>
      <c r="V143" s="32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3" t="s">
        <v>958</v>
      </c>
      <c r="H144" s="32" t="s">
        <v>958</v>
      </c>
      <c r="I144" s="34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32" t="s">
        <v>960</v>
      </c>
      <c r="V144" s="32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32" t="s">
        <v>966</v>
      </c>
      <c r="V145" s="32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38" t="s">
        <v>967</v>
      </c>
      <c r="D146" s="38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38" t="s">
        <v>974</v>
      </c>
      <c r="V146" s="38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32" t="s">
        <v>975</v>
      </c>
      <c r="D147" s="32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32" t="s">
        <v>982</v>
      </c>
      <c r="V147" s="32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32" t="s">
        <v>983</v>
      </c>
      <c r="D148" s="32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32" t="s">
        <v>990</v>
      </c>
      <c r="V148" s="32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32" t="s">
        <v>991</v>
      </c>
      <c r="D149" s="32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32" t="s">
        <v>998</v>
      </c>
      <c r="V149" s="32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32" t="s">
        <v>999</v>
      </c>
      <c r="D150" s="32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32" t="s">
        <v>1006</v>
      </c>
      <c r="V150" s="32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32" t="s">
        <v>1007</v>
      </c>
      <c r="D151" s="32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32" t="s">
        <v>1015</v>
      </c>
      <c r="V151" s="32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32" t="s">
        <v>1016</v>
      </c>
      <c r="D152" s="32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32" t="s">
        <v>1024</v>
      </c>
      <c r="V152" s="32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32" t="s">
        <v>1025</v>
      </c>
      <c r="D153" s="32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32" t="s">
        <v>1033</v>
      </c>
      <c r="V153" s="32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32" t="s">
        <v>1034</v>
      </c>
      <c r="D154" s="32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32" t="s">
        <v>1042</v>
      </c>
      <c r="V154" s="32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32" t="s">
        <v>1043</v>
      </c>
      <c r="D155" s="32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32" t="s">
        <v>1051</v>
      </c>
      <c r="V155" s="32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32" t="s">
        <v>1052</v>
      </c>
      <c r="D156" s="32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32" t="s">
        <v>1060</v>
      </c>
      <c r="V156" s="32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32" t="s">
        <v>1061</v>
      </c>
      <c r="D157" s="32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32" t="s">
        <v>1069</v>
      </c>
      <c r="V157" s="32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32" t="s">
        <v>1070</v>
      </c>
      <c r="D158" s="32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32" t="s">
        <v>1078</v>
      </c>
      <c r="V158" s="32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32" t="s">
        <v>1079</v>
      </c>
      <c r="D159" s="32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32" t="s">
        <v>1087</v>
      </c>
      <c r="V159" s="32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32" t="s">
        <v>1088</v>
      </c>
      <c r="D160" s="32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32" t="s">
        <v>1096</v>
      </c>
      <c r="V160" s="32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32" t="s">
        <v>1097</v>
      </c>
      <c r="D161" s="32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32" t="s">
        <v>1105</v>
      </c>
      <c r="V161" s="32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32" t="s">
        <v>1106</v>
      </c>
      <c r="D162" s="32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32" t="s">
        <v>1114</v>
      </c>
      <c r="V162" s="32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32" t="s">
        <v>1115</v>
      </c>
      <c r="D163" s="32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9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32" t="s">
        <v>1123</v>
      </c>
      <c r="V163" s="32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40" t="s">
        <v>1124</v>
      </c>
      <c r="D164" s="40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1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40" t="s">
        <v>1132</v>
      </c>
      <c r="V164" s="40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32" t="s">
        <v>1133</v>
      </c>
      <c r="D165" s="32" t="s">
        <v>1134</v>
      </c>
      <c r="E165" s="1">
        <v>5</v>
      </c>
      <c r="F165" s="1" t="s">
        <v>1135</v>
      </c>
      <c r="G165" s="39" t="s">
        <v>1136</v>
      </c>
      <c r="H165" s="39" t="s">
        <v>1137</v>
      </c>
      <c r="I165" s="39" t="s">
        <v>1138</v>
      </c>
      <c r="J165" s="39" t="s">
        <v>1139</v>
      </c>
      <c r="L165" s="39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32" t="s">
        <v>1141</v>
      </c>
      <c r="V165" s="32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32" t="s">
        <v>1142</v>
      </c>
      <c r="D166" s="32" t="s">
        <v>1143</v>
      </c>
      <c r="E166" s="1">
        <v>5</v>
      </c>
      <c r="F166" s="1" t="s">
        <v>1144</v>
      </c>
      <c r="G166" s="39" t="s">
        <v>1145</v>
      </c>
      <c r="H166" s="39" t="s">
        <v>1146</v>
      </c>
      <c r="I166" s="39" t="s">
        <v>1147</v>
      </c>
      <c r="J166" s="39" t="s">
        <v>1148</v>
      </c>
      <c r="K166" s="1"/>
      <c r="L166" s="39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32" t="s">
        <v>1150</v>
      </c>
      <c r="V166" s="32" t="s">
        <v>1150</v>
      </c>
      <c r="X166" s="1" t="s">
        <v>158</v>
      </c>
      <c r="Y166" s="1">
        <v>0</v>
      </c>
    </row>
    <row r="167" hidden="1" customHeight="1" spans="1:27">
      <c r="C167" s="32" t="s">
        <v>1151</v>
      </c>
      <c r="D167" s="32" t="s">
        <v>1152</v>
      </c>
      <c r="E167" s="1">
        <v>5</v>
      </c>
      <c r="F167" s="1" t="s">
        <v>1153</v>
      </c>
      <c r="G167" s="39" t="s">
        <v>1154</v>
      </c>
      <c r="H167" s="39" t="s">
        <v>1155</v>
      </c>
      <c r="I167" s="39" t="s">
        <v>1156</v>
      </c>
      <c r="J167" s="39" t="s">
        <v>1157</v>
      </c>
      <c r="K167" s="1"/>
      <c r="L167" s="39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32" t="s">
        <v>1159</v>
      </c>
      <c r="V167" s="32" t="s">
        <v>1159</v>
      </c>
      <c r="X167" s="1" t="s">
        <v>158</v>
      </c>
      <c r="Y167" s="1">
        <v>0</v>
      </c>
    </row>
    <row r="168" hidden="1" customHeight="1" spans="1:27">
      <c r="C168" s="32" t="s">
        <v>1160</v>
      </c>
      <c r="D168" s="32" t="s">
        <v>1161</v>
      </c>
      <c r="E168" s="1">
        <v>5</v>
      </c>
      <c r="F168" s="1" t="s">
        <v>1162</v>
      </c>
      <c r="G168" s="39" t="s">
        <v>1163</v>
      </c>
      <c r="H168" s="39" t="s">
        <v>1164</v>
      </c>
      <c r="I168" s="39" t="s">
        <v>1165</v>
      </c>
      <c r="J168" s="39" t="s">
        <v>1166</v>
      </c>
      <c r="K168" s="1"/>
      <c r="L168" s="39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32" t="s">
        <v>1168</v>
      </c>
      <c r="V168" s="32" t="s">
        <v>1168</v>
      </c>
      <c r="X168" s="1" t="s">
        <v>158</v>
      </c>
      <c r="Y168" s="1">
        <v>0</v>
      </c>
    </row>
    <row r="169" hidden="1" customHeight="1" spans="1:27">
      <c r="C169" s="32" t="s">
        <v>1169</v>
      </c>
      <c r="D169" s="32" t="s">
        <v>1170</v>
      </c>
      <c r="E169" s="1">
        <v>5</v>
      </c>
      <c r="F169" s="1" t="s">
        <v>1171</v>
      </c>
      <c r="G169" s="39" t="s">
        <v>1172</v>
      </c>
      <c r="H169" s="39" t="s">
        <v>1173</v>
      </c>
      <c r="I169" s="39" t="s">
        <v>1174</v>
      </c>
      <c r="J169" s="39" t="s">
        <v>1175</v>
      </c>
      <c r="K169" s="1"/>
      <c r="L169" s="39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32" t="s">
        <v>1177</v>
      </c>
      <c r="V169" s="32" t="s">
        <v>1177</v>
      </c>
      <c r="X169" s="1" t="s">
        <v>158</v>
      </c>
      <c r="Y169" s="1">
        <v>0</v>
      </c>
    </row>
    <row r="170" hidden="1" customHeight="1" spans="1:27">
      <c r="C170" s="32" t="s">
        <v>1178</v>
      </c>
      <c r="D170" s="32" t="s">
        <v>1179</v>
      </c>
      <c r="E170" s="1">
        <v>5</v>
      </c>
      <c r="F170" s="1" t="s">
        <v>462</v>
      </c>
      <c r="G170" s="39" t="s">
        <v>1180</v>
      </c>
      <c r="H170" s="39" t="s">
        <v>1181</v>
      </c>
      <c r="I170" s="39" t="s">
        <v>1182</v>
      </c>
      <c r="J170" s="39" t="s">
        <v>1183</v>
      </c>
      <c r="K170" s="1"/>
      <c r="L170" s="39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32" t="s">
        <v>1185</v>
      </c>
      <c r="V170" s="32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32" t="s">
        <v>1186</v>
      </c>
      <c r="D171" s="32" t="s">
        <v>1187</v>
      </c>
      <c r="E171" s="1">
        <v>5</v>
      </c>
      <c r="F171" s="1" t="s">
        <v>1188</v>
      </c>
      <c r="G171" s="39" t="s">
        <v>1189</v>
      </c>
      <c r="H171" s="39" t="s">
        <v>1190</v>
      </c>
      <c r="I171" s="39" t="s">
        <v>1191</v>
      </c>
      <c r="J171" s="39" t="s">
        <v>1192</v>
      </c>
      <c r="L171" s="39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32" t="s">
        <v>1194</v>
      </c>
      <c r="V171" s="32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32" t="s">
        <v>1195</v>
      </c>
      <c r="D172" s="32" t="s">
        <v>1196</v>
      </c>
      <c r="E172" s="1">
        <v>5</v>
      </c>
      <c r="F172" s="1" t="s">
        <v>1197</v>
      </c>
      <c r="G172" s="39" t="s">
        <v>1198</v>
      </c>
      <c r="H172" s="39" t="s">
        <v>1199</v>
      </c>
      <c r="I172" s="39" t="s">
        <v>1200</v>
      </c>
      <c r="J172" s="39" t="s">
        <v>1201</v>
      </c>
      <c r="L172" s="39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32" t="s">
        <v>1203</v>
      </c>
      <c r="V172" s="32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32" t="s">
        <v>1204</v>
      </c>
      <c r="D173" s="32" t="s">
        <v>1205</v>
      </c>
      <c r="E173" s="1">
        <v>5</v>
      </c>
      <c r="F173" s="1" t="s">
        <v>1206</v>
      </c>
      <c r="G173" s="39" t="s">
        <v>1207</v>
      </c>
      <c r="H173" s="39" t="s">
        <v>1208</v>
      </c>
      <c r="I173" s="39" t="s">
        <v>1209</v>
      </c>
      <c r="J173" s="39" t="s">
        <v>1210</v>
      </c>
      <c r="L173" s="39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32" t="s">
        <v>1212</v>
      </c>
      <c r="V173" s="32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32" t="s">
        <v>1213</v>
      </c>
      <c r="D174" s="32" t="s">
        <v>1214</v>
      </c>
      <c r="E174" s="1">
        <v>5</v>
      </c>
      <c r="F174" s="1" t="s">
        <v>1215</v>
      </c>
      <c r="G174" s="39" t="s">
        <v>1216</v>
      </c>
      <c r="H174" s="39" t="s">
        <v>1217</v>
      </c>
      <c r="I174" s="39" t="s">
        <v>1218</v>
      </c>
      <c r="J174" s="39" t="s">
        <v>1219</v>
      </c>
      <c r="L174" s="39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32" t="s">
        <v>1221</v>
      </c>
      <c r="V174" s="32" t="s">
        <v>1221</v>
      </c>
      <c r="X174" s="1" t="s">
        <v>158</v>
      </c>
      <c r="Y174" s="1">
        <v>0</v>
      </c>
      <c r="Z174" s="11"/>
      <c r="AA174" s="11"/>
    </row>
    <row r="175" s="1" customFormat="1" customHeight="1" spans="1:27">
      <c r="A175" s="11"/>
      <c r="B175" s="11"/>
      <c r="C175" s="32" t="s">
        <v>1222</v>
      </c>
      <c r="D175" s="32" t="s">
        <v>1223</v>
      </c>
      <c r="E175" s="1">
        <v>5</v>
      </c>
      <c r="F175" s="1" t="s">
        <v>1224</v>
      </c>
      <c r="G175" s="39" t="s">
        <v>1225</v>
      </c>
      <c r="H175" s="39" t="s">
        <v>1226</v>
      </c>
      <c r="I175" s="39" t="s">
        <v>1227</v>
      </c>
      <c r="J175" s="39" t="s">
        <v>1228</v>
      </c>
      <c r="L175" s="39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32" t="s">
        <v>1230</v>
      </c>
      <c r="V175" s="32" t="s">
        <v>1230</v>
      </c>
      <c r="X175" s="1" t="s">
        <v>158</v>
      </c>
      <c r="Y175" s="1">
        <v>0</v>
      </c>
      <c r="Z175" s="11"/>
      <c r="AA175" s="11"/>
    </row>
    <row r="176" s="1" customFormat="1" customHeight="1" spans="1:27">
      <c r="A176" s="11"/>
      <c r="B176" s="11"/>
      <c r="C176" s="32" t="s">
        <v>1231</v>
      </c>
      <c r="D176" s="32" t="s">
        <v>1232</v>
      </c>
      <c r="E176" s="1">
        <v>5</v>
      </c>
      <c r="F176" s="1" t="s">
        <v>1233</v>
      </c>
      <c r="G176" s="39" t="s">
        <v>1234</v>
      </c>
      <c r="H176" s="39" t="s">
        <v>1235</v>
      </c>
      <c r="I176" s="39" t="s">
        <v>1236</v>
      </c>
      <c r="J176" s="39" t="s">
        <v>1237</v>
      </c>
      <c r="L176" s="39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32" t="s">
        <v>1239</v>
      </c>
      <c r="V176" s="32" t="s">
        <v>1239</v>
      </c>
      <c r="X176" s="1" t="s">
        <v>158</v>
      </c>
      <c r="Y176" s="1">
        <v>0</v>
      </c>
      <c r="Z176" s="11"/>
      <c r="AA176" s="11"/>
    </row>
    <row r="177" s="1" customFormat="1" customHeight="1" spans="1:27">
      <c r="A177" s="11"/>
      <c r="B177" s="11"/>
      <c r="C177" s="32" t="s">
        <v>1240</v>
      </c>
      <c r="D177" s="32" t="s">
        <v>1241</v>
      </c>
      <c r="E177" s="1">
        <v>5</v>
      </c>
      <c r="F177" s="1" t="s">
        <v>1242</v>
      </c>
      <c r="G177" s="39" t="s">
        <v>1243</v>
      </c>
      <c r="H177" s="39" t="s">
        <v>1244</v>
      </c>
      <c r="I177" s="39" t="s">
        <v>1245</v>
      </c>
      <c r="J177" s="39" t="s">
        <v>1246</v>
      </c>
      <c r="L177" s="39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32" t="s">
        <v>1248</v>
      </c>
      <c r="V177" s="32" t="s">
        <v>1248</v>
      </c>
      <c r="X177" s="1" t="s">
        <v>158</v>
      </c>
      <c r="Y177" s="1">
        <v>0</v>
      </c>
      <c r="Z177" s="11"/>
      <c r="AA177" s="11"/>
    </row>
    <row r="178" s="1" customFormat="1" customHeight="1" spans="1:27">
      <c r="A178" s="11"/>
      <c r="B178" s="11"/>
      <c r="C178" s="32" t="s">
        <v>1249</v>
      </c>
      <c r="D178" s="32" t="s">
        <v>1250</v>
      </c>
      <c r="E178" s="1">
        <v>5</v>
      </c>
      <c r="F178" s="1" t="s">
        <v>1251</v>
      </c>
      <c r="G178" s="39" t="s">
        <v>1252</v>
      </c>
      <c r="H178" s="39" t="s">
        <v>1253</v>
      </c>
      <c r="I178" s="39" t="s">
        <v>1254</v>
      </c>
      <c r="J178" s="39" t="s">
        <v>1255</v>
      </c>
      <c r="L178" s="39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32" t="s">
        <v>1257</v>
      </c>
      <c r="V178" s="32" t="s">
        <v>1257</v>
      </c>
      <c r="X178" s="1" t="s">
        <v>158</v>
      </c>
      <c r="Y178" s="1">
        <v>0</v>
      </c>
      <c r="Z178" s="11"/>
      <c r="AA178" s="11"/>
    </row>
    <row r="179" s="1" customFormat="1" customHeight="1" spans="1:27">
      <c r="A179" s="11"/>
      <c r="B179" s="11"/>
      <c r="C179" s="32" t="s">
        <v>1258</v>
      </c>
      <c r="D179" s="32" t="s">
        <v>1259</v>
      </c>
      <c r="E179" s="1">
        <v>5</v>
      </c>
      <c r="F179" s="1" t="s">
        <v>1260</v>
      </c>
      <c r="G179" s="39" t="s">
        <v>1261</v>
      </c>
      <c r="H179" s="39" t="s">
        <v>1262</v>
      </c>
      <c r="I179" s="39" t="s">
        <v>1263</v>
      </c>
      <c r="J179" s="39" t="s">
        <v>1264</v>
      </c>
      <c r="L179" s="39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32" t="s">
        <v>1266</v>
      </c>
      <c r="V179" s="32" t="s">
        <v>1266</v>
      </c>
      <c r="X179" s="1" t="s">
        <v>158</v>
      </c>
      <c r="Y179" s="1">
        <v>0</v>
      </c>
      <c r="Z179" s="11"/>
      <c r="AA179" s="11"/>
    </row>
    <row r="180" s="1" customFormat="1" customHeight="1" spans="1:27">
      <c r="A180" s="11"/>
      <c r="B180" s="11"/>
      <c r="C180" s="32" t="s">
        <v>1267</v>
      </c>
      <c r="D180" s="32" t="s">
        <v>1268</v>
      </c>
      <c r="E180" s="1">
        <v>5</v>
      </c>
      <c r="F180" s="1" t="s">
        <v>1269</v>
      </c>
      <c r="G180" s="39" t="s">
        <v>1270</v>
      </c>
      <c r="H180" s="39" t="s">
        <v>1271</v>
      </c>
      <c r="I180" s="39" t="s">
        <v>1272</v>
      </c>
      <c r="J180" s="39" t="s">
        <v>1273</v>
      </c>
      <c r="L180" s="39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32" t="s">
        <v>1275</v>
      </c>
      <c r="V180" s="32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38" t="s">
        <v>1276</v>
      </c>
      <c r="D181" s="38" t="s">
        <v>1277</v>
      </c>
      <c r="E181" s="3">
        <v>6</v>
      </c>
      <c r="F181" s="3" t="s">
        <v>1278</v>
      </c>
      <c r="G181" s="42" t="s">
        <v>1279</v>
      </c>
      <c r="H181" s="42" t="s">
        <v>1280</v>
      </c>
      <c r="I181" s="42" t="s">
        <v>1281</v>
      </c>
      <c r="J181" s="42" t="s">
        <v>1282</v>
      </c>
      <c r="K181" s="38" t="s">
        <v>1283</v>
      </c>
      <c r="L181" s="42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 t="shared" ref="S181:S215" si="67">S180+10</f>
        <v>346</v>
      </c>
      <c r="T181" s="19">
        <v>99.99</v>
      </c>
      <c r="U181" s="38" t="s">
        <v>1285</v>
      </c>
      <c r="V181" s="38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3" t="s">
        <v>1286</v>
      </c>
      <c r="D182" s="43" t="s">
        <v>1287</v>
      </c>
      <c r="E182" s="5">
        <v>6</v>
      </c>
      <c r="F182" s="5" t="s">
        <v>1288</v>
      </c>
      <c r="G182" s="39" t="s">
        <v>1289</v>
      </c>
      <c r="H182" s="39" t="s">
        <v>1290</v>
      </c>
      <c r="I182" s="39" t="s">
        <v>1291</v>
      </c>
      <c r="J182" s="39" t="s">
        <v>1292</v>
      </c>
      <c r="K182" s="43" t="s">
        <v>1293</v>
      </c>
      <c r="L182" s="39" t="s">
        <v>1294</v>
      </c>
      <c r="M182" s="5">
        <f t="shared" ref="M182:M185" si="68">M181+1000</f>
        <v>44000</v>
      </c>
      <c r="N182" s="5">
        <f t="shared" ref="N182:N185" si="69">N181+1000</f>
        <v>44000</v>
      </c>
      <c r="O182" s="5">
        <f t="shared" ref="O182:O185" si="70">O181+500</f>
        <v>22500</v>
      </c>
      <c r="P182" s="5">
        <f t="shared" ref="P182:P185" si="71">P181+500</f>
        <v>22500</v>
      </c>
      <c r="Q182" s="5">
        <f t="shared" ref="Q182:Q215" si="72">Q181+5</f>
        <v>105</v>
      </c>
      <c r="R182" s="15">
        <f t="shared" si="66"/>
        <v>257</v>
      </c>
      <c r="S182" s="11">
        <f t="shared" si="67"/>
        <v>356</v>
      </c>
      <c r="T182" s="15">
        <v>99.99</v>
      </c>
      <c r="U182" s="43" t="s">
        <v>1295</v>
      </c>
      <c r="V182" s="43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32" t="s">
        <v>1296</v>
      </c>
      <c r="D183" s="32" t="s">
        <v>1297</v>
      </c>
      <c r="E183" s="1">
        <v>6</v>
      </c>
      <c r="F183" s="1" t="s">
        <v>1298</v>
      </c>
      <c r="G183" s="39" t="s">
        <v>1299</v>
      </c>
      <c r="H183" s="39" t="s">
        <v>1300</v>
      </c>
      <c r="I183" s="39" t="s">
        <v>1301</v>
      </c>
      <c r="J183" s="39" t="s">
        <v>1302</v>
      </c>
      <c r="K183" s="43" t="s">
        <v>1303</v>
      </c>
      <c r="L183" s="39" t="s">
        <v>1304</v>
      </c>
      <c r="M183" s="5">
        <f t="shared" si="68"/>
        <v>45000</v>
      </c>
      <c r="N183" s="5">
        <f t="shared" si="69"/>
        <v>45000</v>
      </c>
      <c r="O183" s="5">
        <f t="shared" si="70"/>
        <v>23000</v>
      </c>
      <c r="P183" s="5">
        <f t="shared" si="71"/>
        <v>23000</v>
      </c>
      <c r="Q183" s="1">
        <f t="shared" si="72"/>
        <v>110</v>
      </c>
      <c r="R183" s="15">
        <f t="shared" si="66"/>
        <v>266</v>
      </c>
      <c r="S183" s="11">
        <f t="shared" si="67"/>
        <v>366</v>
      </c>
      <c r="T183" s="11">
        <v>99.99</v>
      </c>
      <c r="U183" s="43" t="s">
        <v>513</v>
      </c>
      <c r="V183" s="43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32" t="s">
        <v>1305</v>
      </c>
      <c r="D184" s="32" t="s">
        <v>1306</v>
      </c>
      <c r="E184" s="1">
        <v>6</v>
      </c>
      <c r="F184" s="1" t="s">
        <v>1307</v>
      </c>
      <c r="G184" s="39" t="s">
        <v>1308</v>
      </c>
      <c r="H184" s="39" t="s">
        <v>1309</v>
      </c>
      <c r="I184" s="39" t="s">
        <v>1310</v>
      </c>
      <c r="J184" s="39" t="s">
        <v>1311</v>
      </c>
      <c r="K184" s="43" t="s">
        <v>1312</v>
      </c>
      <c r="L184" s="39" t="s">
        <v>1279</v>
      </c>
      <c r="M184" s="5">
        <f t="shared" si="68"/>
        <v>46000</v>
      </c>
      <c r="N184" s="5">
        <f t="shared" si="69"/>
        <v>46000</v>
      </c>
      <c r="O184" s="5">
        <f t="shared" si="70"/>
        <v>23500</v>
      </c>
      <c r="P184" s="5">
        <f t="shared" si="71"/>
        <v>23500</v>
      </c>
      <c r="Q184" s="1">
        <f t="shared" si="72"/>
        <v>115</v>
      </c>
      <c r="R184" s="15">
        <f t="shared" si="66"/>
        <v>275</v>
      </c>
      <c r="S184" s="11">
        <f t="shared" si="67"/>
        <v>376</v>
      </c>
      <c r="T184" s="11">
        <v>99.99</v>
      </c>
      <c r="U184" s="43" t="s">
        <v>1313</v>
      </c>
      <c r="V184" s="43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32" t="s">
        <v>1314</v>
      </c>
      <c r="D185" s="32" t="s">
        <v>1315</v>
      </c>
      <c r="E185" s="1">
        <v>6</v>
      </c>
      <c r="F185" s="1" t="s">
        <v>1316</v>
      </c>
      <c r="G185" s="39" t="s">
        <v>1317</v>
      </c>
      <c r="H185" s="39" t="s">
        <v>1318</v>
      </c>
      <c r="I185" s="39" t="s">
        <v>1319</v>
      </c>
      <c r="J185" s="39" t="s">
        <v>1320</v>
      </c>
      <c r="K185" s="43" t="s">
        <v>1321</v>
      </c>
      <c r="L185" s="39" t="s">
        <v>1289</v>
      </c>
      <c r="M185" s="5">
        <f t="shared" si="68"/>
        <v>47000</v>
      </c>
      <c r="N185" s="5">
        <f t="shared" si="69"/>
        <v>47000</v>
      </c>
      <c r="O185" s="5">
        <f t="shared" si="70"/>
        <v>24000</v>
      </c>
      <c r="P185" s="5">
        <f t="shared" si="71"/>
        <v>24000</v>
      </c>
      <c r="Q185" s="1">
        <f t="shared" si="72"/>
        <v>120</v>
      </c>
      <c r="R185" s="15">
        <f t="shared" si="66"/>
        <v>284</v>
      </c>
      <c r="S185" s="11">
        <f t="shared" si="67"/>
        <v>386</v>
      </c>
      <c r="T185" s="11">
        <v>99.99</v>
      </c>
      <c r="U185" s="43" t="s">
        <v>1322</v>
      </c>
      <c r="V185" s="43" t="s">
        <v>1322</v>
      </c>
      <c r="X185" s="1" t="s">
        <v>158</v>
      </c>
      <c r="Y185" s="1">
        <v>0</v>
      </c>
    </row>
    <row r="186" s="6" customFormat="1" customHeight="1" spans="1:27">
      <c r="A186" s="26"/>
      <c r="B186" s="26"/>
      <c r="C186" s="44" t="s">
        <v>1323</v>
      </c>
      <c r="D186" s="44" t="s">
        <v>1324</v>
      </c>
      <c r="E186" s="6">
        <v>6</v>
      </c>
      <c r="F186" s="6" t="s">
        <v>1325</v>
      </c>
      <c r="G186" s="39" t="s">
        <v>1326</v>
      </c>
      <c r="H186" s="45" t="s">
        <v>1327</v>
      </c>
      <c r="I186" s="45" t="s">
        <v>1328</v>
      </c>
      <c r="J186" s="45" t="s">
        <v>1329</v>
      </c>
      <c r="K186" s="43" t="s">
        <v>1330</v>
      </c>
      <c r="L186" s="45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3">O185+250</f>
        <v>24250</v>
      </c>
      <c r="P186" s="6">
        <f t="shared" ref="P181:P205" si="74">P185+250</f>
        <v>24250</v>
      </c>
      <c r="Q186" s="6">
        <f t="shared" si="72"/>
        <v>125</v>
      </c>
      <c r="R186" s="26">
        <f t="shared" ref="R186:R215" si="75">R185+10</f>
        <v>294</v>
      </c>
      <c r="S186" s="26">
        <f t="shared" ref="S186:S190" si="76">S185+12</f>
        <v>398</v>
      </c>
      <c r="T186" s="26">
        <v>99.99</v>
      </c>
      <c r="U186" s="44" t="s">
        <v>1332</v>
      </c>
      <c r="V186" s="44" t="s">
        <v>1332</v>
      </c>
      <c r="X186" s="6" t="s">
        <v>158</v>
      </c>
      <c r="Y186" s="6">
        <v>0</v>
      </c>
      <c r="Z186" s="26"/>
      <c r="AA186" s="26"/>
    </row>
    <row r="187" s="6" customFormat="1" customHeight="1" spans="1:27">
      <c r="A187" s="26"/>
      <c r="B187" s="26"/>
      <c r="C187" s="44" t="s">
        <v>1333</v>
      </c>
      <c r="D187" s="44" t="s">
        <v>1334</v>
      </c>
      <c r="E187" s="6">
        <v>6</v>
      </c>
      <c r="F187" s="6" t="s">
        <v>1335</v>
      </c>
      <c r="G187" s="39" t="s">
        <v>1336</v>
      </c>
      <c r="H187" s="45" t="s">
        <v>1337</v>
      </c>
      <c r="I187" s="45" t="s">
        <v>1338</v>
      </c>
      <c r="J187" s="45" t="s">
        <v>1339</v>
      </c>
      <c r="K187" s="43" t="s">
        <v>1340</v>
      </c>
      <c r="L187" s="45" t="s">
        <v>1341</v>
      </c>
      <c r="M187" s="6">
        <f t="shared" si="50"/>
        <v>48200</v>
      </c>
      <c r="N187" s="6">
        <f t="shared" si="51"/>
        <v>48200</v>
      </c>
      <c r="O187" s="6">
        <f t="shared" si="73"/>
        <v>24500</v>
      </c>
      <c r="P187" s="6">
        <f t="shared" si="74"/>
        <v>24500</v>
      </c>
      <c r="Q187" s="6">
        <f t="shared" si="72"/>
        <v>130</v>
      </c>
      <c r="R187" s="26">
        <f t="shared" si="75"/>
        <v>304</v>
      </c>
      <c r="S187" s="26">
        <f t="shared" si="76"/>
        <v>410</v>
      </c>
      <c r="T187" s="26">
        <v>99.99</v>
      </c>
      <c r="U187" s="44" t="s">
        <v>1342</v>
      </c>
      <c r="V187" s="44" t="s">
        <v>1342</v>
      </c>
      <c r="X187" s="6" t="s">
        <v>158</v>
      </c>
      <c r="Y187" s="6">
        <v>0</v>
      </c>
      <c r="Z187" s="26"/>
      <c r="AA187" s="26"/>
    </row>
    <row r="188" s="6" customFormat="1" customHeight="1" spans="1:27">
      <c r="A188" s="26"/>
      <c r="B188" s="26"/>
      <c r="C188" s="44" t="s">
        <v>1343</v>
      </c>
      <c r="D188" s="44" t="s">
        <v>1344</v>
      </c>
      <c r="E188" s="6">
        <v>6</v>
      </c>
      <c r="F188" s="6" t="s">
        <v>1345</v>
      </c>
      <c r="G188" s="39" t="s">
        <v>1346</v>
      </c>
      <c r="H188" s="45" t="s">
        <v>1347</v>
      </c>
      <c r="I188" s="45" t="s">
        <v>1348</v>
      </c>
      <c r="J188" s="45" t="s">
        <v>1349</v>
      </c>
      <c r="K188" s="43" t="s">
        <v>1350</v>
      </c>
      <c r="L188" s="45" t="s">
        <v>1351</v>
      </c>
      <c r="M188" s="6">
        <f t="shared" si="50"/>
        <v>48800</v>
      </c>
      <c r="N188" s="6">
        <f t="shared" si="51"/>
        <v>48800</v>
      </c>
      <c r="O188" s="6">
        <f t="shared" si="73"/>
        <v>24750</v>
      </c>
      <c r="P188" s="6">
        <f t="shared" si="74"/>
        <v>24750</v>
      </c>
      <c r="Q188" s="6">
        <f t="shared" si="72"/>
        <v>135</v>
      </c>
      <c r="R188" s="26">
        <f t="shared" si="75"/>
        <v>314</v>
      </c>
      <c r="S188" s="26">
        <f t="shared" si="76"/>
        <v>422</v>
      </c>
      <c r="T188" s="26">
        <v>99.99</v>
      </c>
      <c r="U188" s="44" t="s">
        <v>1352</v>
      </c>
      <c r="V188" s="44" t="s">
        <v>1352</v>
      </c>
      <c r="X188" s="6" t="s">
        <v>158</v>
      </c>
      <c r="Y188" s="6">
        <v>0</v>
      </c>
      <c r="Z188" s="26"/>
      <c r="AA188" s="26"/>
    </row>
    <row r="189" s="6" customFormat="1" customHeight="1" spans="1:27">
      <c r="A189" s="26"/>
      <c r="B189" s="26"/>
      <c r="C189" s="44" t="s">
        <v>1353</v>
      </c>
      <c r="D189" s="44" t="s">
        <v>1354</v>
      </c>
      <c r="E189" s="6">
        <v>6</v>
      </c>
      <c r="F189" s="6" t="s">
        <v>1355</v>
      </c>
      <c r="G189" s="39" t="s">
        <v>1356</v>
      </c>
      <c r="H189" s="45" t="s">
        <v>1357</v>
      </c>
      <c r="I189" s="45" t="s">
        <v>1358</v>
      </c>
      <c r="J189" s="45" t="s">
        <v>1359</v>
      </c>
      <c r="K189" s="43" t="s">
        <v>1360</v>
      </c>
      <c r="L189" s="45" t="s">
        <v>1317</v>
      </c>
      <c r="M189" s="6">
        <f t="shared" si="50"/>
        <v>49400</v>
      </c>
      <c r="N189" s="6">
        <f t="shared" si="51"/>
        <v>49400</v>
      </c>
      <c r="O189" s="6">
        <f t="shared" si="73"/>
        <v>25000</v>
      </c>
      <c r="P189" s="6">
        <f t="shared" si="74"/>
        <v>25000</v>
      </c>
      <c r="Q189" s="6">
        <f t="shared" si="72"/>
        <v>140</v>
      </c>
      <c r="R189" s="26">
        <f t="shared" si="75"/>
        <v>324</v>
      </c>
      <c r="S189" s="26">
        <f t="shared" si="76"/>
        <v>434</v>
      </c>
      <c r="T189" s="26">
        <v>99.99</v>
      </c>
      <c r="U189" s="44" t="s">
        <v>1361</v>
      </c>
      <c r="V189" s="44" t="s">
        <v>1361</v>
      </c>
      <c r="X189" s="6" t="s">
        <v>158</v>
      </c>
      <c r="Y189" s="6">
        <v>0</v>
      </c>
      <c r="Z189" s="26"/>
      <c r="AA189" s="26"/>
    </row>
    <row r="190" s="6" customFormat="1" customHeight="1" spans="1:27">
      <c r="A190" s="26"/>
      <c r="B190" s="26"/>
      <c r="C190" s="44" t="s">
        <v>1362</v>
      </c>
      <c r="D190" s="44" t="s">
        <v>1363</v>
      </c>
      <c r="E190" s="6">
        <v>6</v>
      </c>
      <c r="F190" s="6" t="s">
        <v>1364</v>
      </c>
      <c r="G190" s="39" t="s">
        <v>1365</v>
      </c>
      <c r="H190" s="45" t="s">
        <v>1366</v>
      </c>
      <c r="I190" s="45" t="s">
        <v>1367</v>
      </c>
      <c r="J190" s="45" t="s">
        <v>1368</v>
      </c>
      <c r="K190" s="43" t="s">
        <v>1369</v>
      </c>
      <c r="L190" s="45" t="s">
        <v>1326</v>
      </c>
      <c r="M190" s="6">
        <f t="shared" si="50"/>
        <v>50000</v>
      </c>
      <c r="N190" s="6">
        <f t="shared" si="51"/>
        <v>50000</v>
      </c>
      <c r="O190" s="6">
        <f t="shared" si="73"/>
        <v>25250</v>
      </c>
      <c r="P190" s="6">
        <f t="shared" si="74"/>
        <v>25250</v>
      </c>
      <c r="Q190" s="6">
        <f t="shared" si="72"/>
        <v>145</v>
      </c>
      <c r="R190" s="26">
        <f t="shared" si="75"/>
        <v>334</v>
      </c>
      <c r="S190" s="26">
        <f t="shared" si="76"/>
        <v>446</v>
      </c>
      <c r="T190" s="26">
        <v>99.99</v>
      </c>
      <c r="U190" s="44" t="s">
        <v>1370</v>
      </c>
      <c r="V190" s="44" t="s">
        <v>1370</v>
      </c>
      <c r="X190" s="6" t="s">
        <v>158</v>
      </c>
      <c r="Y190" s="6">
        <v>0</v>
      </c>
      <c r="Z190" s="26"/>
      <c r="AA190" s="26"/>
    </row>
    <row r="191" s="6" customFormat="1" customHeight="1" spans="1:27">
      <c r="A191" s="26"/>
      <c r="B191" s="26"/>
      <c r="C191" s="44" t="s">
        <v>1371</v>
      </c>
      <c r="D191" s="44" t="s">
        <v>1372</v>
      </c>
      <c r="E191" s="6">
        <v>6</v>
      </c>
      <c r="F191" s="6" t="s">
        <v>1373</v>
      </c>
      <c r="G191" s="39" t="s">
        <v>1374</v>
      </c>
      <c r="H191" s="45" t="s">
        <v>1366</v>
      </c>
      <c r="I191" s="45" t="s">
        <v>1375</v>
      </c>
      <c r="J191" s="45" t="s">
        <v>1220</v>
      </c>
      <c r="K191" s="43" t="s">
        <v>1376</v>
      </c>
      <c r="L191" s="45" t="s">
        <v>1377</v>
      </c>
      <c r="M191" s="6">
        <f t="shared" si="50"/>
        <v>50600</v>
      </c>
      <c r="N191" s="6">
        <f t="shared" si="51"/>
        <v>50600</v>
      </c>
      <c r="O191" s="6">
        <f t="shared" si="73"/>
        <v>25500</v>
      </c>
      <c r="P191" s="6">
        <f t="shared" si="74"/>
        <v>25500</v>
      </c>
      <c r="Q191" s="6">
        <f t="shared" si="72"/>
        <v>150</v>
      </c>
      <c r="R191" s="26">
        <f t="shared" si="75"/>
        <v>344</v>
      </c>
      <c r="S191" s="26">
        <f t="shared" si="67"/>
        <v>456</v>
      </c>
      <c r="T191" s="26">
        <v>99.99</v>
      </c>
      <c r="U191" s="44" t="s">
        <v>1378</v>
      </c>
      <c r="V191" s="44" t="s">
        <v>1378</v>
      </c>
      <c r="X191" s="6" t="s">
        <v>158</v>
      </c>
      <c r="Y191" s="6">
        <v>0</v>
      </c>
      <c r="Z191" s="26"/>
      <c r="AA191" s="26"/>
    </row>
    <row r="192" s="6" customFormat="1" customHeight="1" spans="1:27">
      <c r="A192" s="26"/>
      <c r="B192" s="26"/>
      <c r="C192" s="44" t="s">
        <v>1379</v>
      </c>
      <c r="D192" s="44" t="s">
        <v>1380</v>
      </c>
      <c r="E192" s="6">
        <v>6</v>
      </c>
      <c r="F192" s="6" t="s">
        <v>1381</v>
      </c>
      <c r="G192" s="39" t="s">
        <v>1382</v>
      </c>
      <c r="H192" s="45" t="s">
        <v>1366</v>
      </c>
      <c r="I192" s="45" t="s">
        <v>1383</v>
      </c>
      <c r="J192" s="45" t="s">
        <v>1384</v>
      </c>
      <c r="K192" s="43" t="s">
        <v>1385</v>
      </c>
      <c r="L192" s="45" t="s">
        <v>1386</v>
      </c>
      <c r="M192" s="6">
        <f t="shared" si="50"/>
        <v>51200</v>
      </c>
      <c r="N192" s="6">
        <f t="shared" si="51"/>
        <v>51200</v>
      </c>
      <c r="O192" s="6">
        <f t="shared" si="73"/>
        <v>25750</v>
      </c>
      <c r="P192" s="6">
        <f t="shared" si="74"/>
        <v>25750</v>
      </c>
      <c r="Q192" s="6">
        <f t="shared" si="72"/>
        <v>155</v>
      </c>
      <c r="R192" s="26">
        <f t="shared" si="75"/>
        <v>354</v>
      </c>
      <c r="S192" s="26">
        <f t="shared" si="67"/>
        <v>466</v>
      </c>
      <c r="T192" s="26">
        <v>99.99</v>
      </c>
      <c r="U192" s="44" t="s">
        <v>1387</v>
      </c>
      <c r="V192" s="44" t="s">
        <v>1387</v>
      </c>
      <c r="X192" s="6" t="s">
        <v>158</v>
      </c>
      <c r="Y192" s="6">
        <v>0</v>
      </c>
      <c r="Z192" s="26"/>
      <c r="AA192" s="26"/>
    </row>
    <row r="193" s="6" customFormat="1" customHeight="1" spans="1:27">
      <c r="A193" s="26"/>
      <c r="B193" s="26"/>
      <c r="C193" s="44" t="s">
        <v>1388</v>
      </c>
      <c r="D193" s="44" t="s">
        <v>1389</v>
      </c>
      <c r="E193" s="6">
        <v>6</v>
      </c>
      <c r="F193" s="6" t="s">
        <v>1390</v>
      </c>
      <c r="G193" s="39" t="s">
        <v>1391</v>
      </c>
      <c r="H193" s="45" t="s">
        <v>1366</v>
      </c>
      <c r="I193" s="45" t="s">
        <v>1392</v>
      </c>
      <c r="J193" s="45" t="s">
        <v>1393</v>
      </c>
      <c r="K193" s="43" t="s">
        <v>1394</v>
      </c>
      <c r="L193" s="45" t="s">
        <v>1346</v>
      </c>
      <c r="M193" s="6">
        <f t="shared" si="50"/>
        <v>51800</v>
      </c>
      <c r="N193" s="6">
        <f t="shared" si="51"/>
        <v>51800</v>
      </c>
      <c r="O193" s="6">
        <f t="shared" si="73"/>
        <v>26000</v>
      </c>
      <c r="P193" s="6">
        <f t="shared" si="74"/>
        <v>26000</v>
      </c>
      <c r="Q193" s="6">
        <f t="shared" si="72"/>
        <v>160</v>
      </c>
      <c r="R193" s="26">
        <f t="shared" si="75"/>
        <v>364</v>
      </c>
      <c r="S193" s="26">
        <f t="shared" si="67"/>
        <v>476</v>
      </c>
      <c r="T193" s="26">
        <v>99.99</v>
      </c>
      <c r="U193" s="44" t="s">
        <v>1395</v>
      </c>
      <c r="V193" s="44" t="s">
        <v>1395</v>
      </c>
      <c r="X193" s="6" t="s">
        <v>158</v>
      </c>
      <c r="Y193" s="6">
        <v>0</v>
      </c>
      <c r="Z193" s="26"/>
      <c r="AA193" s="26"/>
    </row>
    <row r="194" s="6" customFormat="1" customHeight="1" spans="1:27">
      <c r="A194" s="26"/>
      <c r="B194" s="26"/>
      <c r="C194" s="44" t="s">
        <v>1396</v>
      </c>
      <c r="D194" s="44" t="s">
        <v>1397</v>
      </c>
      <c r="E194" s="6">
        <v>6</v>
      </c>
      <c r="F194" s="6" t="s">
        <v>1398</v>
      </c>
      <c r="G194" s="39" t="s">
        <v>1191</v>
      </c>
      <c r="H194" s="45" t="s">
        <v>1366</v>
      </c>
      <c r="I194" s="45" t="s">
        <v>1399</v>
      </c>
      <c r="J194" s="45" t="s">
        <v>1400</v>
      </c>
      <c r="K194" s="43" t="s">
        <v>1401</v>
      </c>
      <c r="L194" s="45" t="s">
        <v>1402</v>
      </c>
      <c r="M194" s="6">
        <f t="shared" si="50"/>
        <v>52400</v>
      </c>
      <c r="N194" s="6">
        <f t="shared" si="51"/>
        <v>52400</v>
      </c>
      <c r="O194" s="6">
        <f t="shared" si="73"/>
        <v>26250</v>
      </c>
      <c r="P194" s="6">
        <f t="shared" si="74"/>
        <v>26250</v>
      </c>
      <c r="Q194" s="6">
        <f t="shared" si="72"/>
        <v>165</v>
      </c>
      <c r="R194" s="26">
        <f t="shared" si="75"/>
        <v>374</v>
      </c>
      <c r="S194" s="26">
        <f t="shared" si="67"/>
        <v>486</v>
      </c>
      <c r="T194" s="26">
        <v>99.99</v>
      </c>
      <c r="U194" s="44" t="s">
        <v>1403</v>
      </c>
      <c r="V194" s="44" t="s">
        <v>1403</v>
      </c>
      <c r="X194" s="6" t="s">
        <v>158</v>
      </c>
      <c r="Y194" s="6">
        <v>0</v>
      </c>
      <c r="Z194" s="26"/>
      <c r="AA194" s="26"/>
    </row>
    <row r="195" s="6" customFormat="1" customHeight="1" spans="1:27">
      <c r="A195" s="26"/>
      <c r="B195" s="26"/>
      <c r="C195" s="44" t="s">
        <v>1404</v>
      </c>
      <c r="D195" s="44" t="s">
        <v>1405</v>
      </c>
      <c r="E195" s="6">
        <v>6</v>
      </c>
      <c r="F195" s="6" t="s">
        <v>1406</v>
      </c>
      <c r="G195" s="39" t="s">
        <v>1407</v>
      </c>
      <c r="H195" s="45" t="s">
        <v>1366</v>
      </c>
      <c r="I195" s="45" t="s">
        <v>1408</v>
      </c>
      <c r="J195" s="45" t="s">
        <v>1409</v>
      </c>
      <c r="K195" s="43" t="s">
        <v>1410</v>
      </c>
      <c r="L195" s="45" t="s">
        <v>1411</v>
      </c>
      <c r="M195" s="6">
        <f t="shared" si="50"/>
        <v>53000</v>
      </c>
      <c r="N195" s="6">
        <f t="shared" si="51"/>
        <v>53000</v>
      </c>
      <c r="O195" s="6">
        <f t="shared" si="73"/>
        <v>26500</v>
      </c>
      <c r="P195" s="6">
        <f t="shared" si="74"/>
        <v>26500</v>
      </c>
      <c r="Q195" s="6">
        <f t="shared" si="72"/>
        <v>170</v>
      </c>
      <c r="R195" s="26">
        <f t="shared" si="75"/>
        <v>384</v>
      </c>
      <c r="S195" s="26">
        <f t="shared" si="67"/>
        <v>496</v>
      </c>
      <c r="T195" s="26">
        <v>99.99</v>
      </c>
      <c r="U195" s="44" t="s">
        <v>520</v>
      </c>
      <c r="V195" s="44" t="s">
        <v>520</v>
      </c>
      <c r="X195" s="6" t="s">
        <v>158</v>
      </c>
      <c r="Y195" s="6">
        <v>0</v>
      </c>
      <c r="Z195" s="26"/>
      <c r="AA195" s="26"/>
    </row>
    <row r="196" s="6" customFormat="1" customHeight="1" spans="1:27">
      <c r="A196" s="26"/>
      <c r="B196" s="26"/>
      <c r="C196" s="44" t="s">
        <v>1412</v>
      </c>
      <c r="D196" s="44" t="s">
        <v>1413</v>
      </c>
      <c r="E196" s="6">
        <v>6</v>
      </c>
      <c r="F196" s="6" t="s">
        <v>1414</v>
      </c>
      <c r="G196" s="39" t="s">
        <v>1415</v>
      </c>
      <c r="H196" s="45" t="s">
        <v>1366</v>
      </c>
      <c r="I196" s="45" t="s">
        <v>1416</v>
      </c>
      <c r="J196" s="45" t="s">
        <v>1417</v>
      </c>
      <c r="K196" s="43" t="s">
        <v>1418</v>
      </c>
      <c r="L196" s="45" t="s">
        <v>1365</v>
      </c>
      <c r="M196" s="6">
        <f t="shared" si="50"/>
        <v>53600</v>
      </c>
      <c r="N196" s="6">
        <f t="shared" si="51"/>
        <v>53600</v>
      </c>
      <c r="O196" s="6">
        <f t="shared" si="73"/>
        <v>26750</v>
      </c>
      <c r="P196" s="6">
        <f t="shared" si="74"/>
        <v>26750</v>
      </c>
      <c r="Q196" s="6">
        <f t="shared" si="72"/>
        <v>175</v>
      </c>
      <c r="R196" s="26">
        <f t="shared" si="75"/>
        <v>394</v>
      </c>
      <c r="S196" s="26">
        <f t="shared" si="67"/>
        <v>506</v>
      </c>
      <c r="T196" s="26">
        <v>99.99</v>
      </c>
      <c r="U196" s="44" t="s">
        <v>1419</v>
      </c>
      <c r="V196" s="44" t="s">
        <v>1419</v>
      </c>
      <c r="X196" s="6" t="s">
        <v>158</v>
      </c>
      <c r="Y196" s="6">
        <v>0</v>
      </c>
      <c r="Z196" s="26"/>
      <c r="AA196" s="26"/>
    </row>
    <row r="197" s="7" customFormat="1" customHeight="1" spans="1:27">
      <c r="A197" s="9"/>
      <c r="B197" s="9"/>
      <c r="C197" s="46" t="s">
        <v>1420</v>
      </c>
      <c r="D197" s="46" t="s">
        <v>1421</v>
      </c>
      <c r="E197" s="7">
        <v>6</v>
      </c>
      <c r="F197" s="7" t="s">
        <v>1422</v>
      </c>
      <c r="G197" s="39" t="s">
        <v>1423</v>
      </c>
      <c r="H197" s="45" t="s">
        <v>1366</v>
      </c>
      <c r="I197" s="45" t="s">
        <v>1424</v>
      </c>
      <c r="J197" s="45" t="s">
        <v>1425</v>
      </c>
      <c r="K197" s="43" t="s">
        <v>1426</v>
      </c>
      <c r="L197" s="45" t="s">
        <v>1374</v>
      </c>
      <c r="M197" s="7">
        <f t="shared" si="50"/>
        <v>54200</v>
      </c>
      <c r="N197" s="7">
        <f t="shared" si="51"/>
        <v>54200</v>
      </c>
      <c r="O197" s="7">
        <f t="shared" si="73"/>
        <v>27000</v>
      </c>
      <c r="P197" s="7">
        <f t="shared" si="74"/>
        <v>27000</v>
      </c>
      <c r="Q197" s="7">
        <f t="shared" si="72"/>
        <v>180</v>
      </c>
      <c r="R197" s="9">
        <f t="shared" si="75"/>
        <v>404</v>
      </c>
      <c r="S197" s="9">
        <f t="shared" si="67"/>
        <v>516</v>
      </c>
      <c r="T197" s="9">
        <v>99.99</v>
      </c>
      <c r="U197" s="46" t="s">
        <v>1427</v>
      </c>
      <c r="V197" s="46" t="s">
        <v>1427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6" t="s">
        <v>1428</v>
      </c>
      <c r="D198" s="46" t="s">
        <v>1429</v>
      </c>
      <c r="E198" s="7">
        <v>6</v>
      </c>
      <c r="F198" s="7" t="s">
        <v>1430</v>
      </c>
      <c r="G198" s="39" t="s">
        <v>1431</v>
      </c>
      <c r="H198" s="45" t="s">
        <v>1366</v>
      </c>
      <c r="I198" s="45" t="s">
        <v>1432</v>
      </c>
      <c r="J198" s="45" t="s">
        <v>1433</v>
      </c>
      <c r="K198" s="43" t="s">
        <v>1434</v>
      </c>
      <c r="L198" s="45" t="s">
        <v>1382</v>
      </c>
      <c r="M198" s="7">
        <f t="shared" si="50"/>
        <v>54800</v>
      </c>
      <c r="N198" s="7">
        <f t="shared" si="51"/>
        <v>54800</v>
      </c>
      <c r="O198" s="7">
        <f t="shared" si="73"/>
        <v>27250</v>
      </c>
      <c r="P198" s="7">
        <f t="shared" si="74"/>
        <v>27250</v>
      </c>
      <c r="Q198" s="7">
        <f t="shared" si="72"/>
        <v>185</v>
      </c>
      <c r="R198" s="9">
        <f t="shared" si="75"/>
        <v>414</v>
      </c>
      <c r="S198" s="9">
        <f t="shared" si="67"/>
        <v>526</v>
      </c>
      <c r="T198" s="9">
        <v>99.99</v>
      </c>
      <c r="U198" s="46" t="s">
        <v>1435</v>
      </c>
      <c r="V198" s="46" t="s">
        <v>1435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6" t="s">
        <v>1436</v>
      </c>
      <c r="D199" s="46" t="s">
        <v>1437</v>
      </c>
      <c r="E199" s="7">
        <v>6</v>
      </c>
      <c r="F199" s="7" t="s">
        <v>1438</v>
      </c>
      <c r="G199" s="39" t="s">
        <v>1439</v>
      </c>
      <c r="H199" s="45" t="s">
        <v>1366</v>
      </c>
      <c r="I199" s="45" t="s">
        <v>1440</v>
      </c>
      <c r="J199" s="45" t="s">
        <v>1441</v>
      </c>
      <c r="K199" s="43" t="s">
        <v>1442</v>
      </c>
      <c r="L199" s="45" t="s">
        <v>1391</v>
      </c>
      <c r="M199" s="7">
        <f t="shared" si="50"/>
        <v>55400</v>
      </c>
      <c r="N199" s="7">
        <f t="shared" si="51"/>
        <v>55400</v>
      </c>
      <c r="O199" s="7">
        <f t="shared" si="73"/>
        <v>27500</v>
      </c>
      <c r="P199" s="7">
        <f t="shared" si="74"/>
        <v>27500</v>
      </c>
      <c r="Q199" s="7">
        <f t="shared" si="72"/>
        <v>190</v>
      </c>
      <c r="R199" s="9">
        <f t="shared" si="75"/>
        <v>424</v>
      </c>
      <c r="S199" s="9">
        <f t="shared" si="67"/>
        <v>536</v>
      </c>
      <c r="T199" s="9">
        <v>99.99</v>
      </c>
      <c r="U199" s="46" t="s">
        <v>1443</v>
      </c>
      <c r="V199" s="46" t="s">
        <v>1443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6" t="s">
        <v>1444</v>
      </c>
      <c r="D200" s="46" t="s">
        <v>1445</v>
      </c>
      <c r="E200" s="7">
        <v>6</v>
      </c>
      <c r="F200" s="7" t="s">
        <v>1446</v>
      </c>
      <c r="G200" s="39" t="s">
        <v>1447</v>
      </c>
      <c r="H200" s="45" t="s">
        <v>1366</v>
      </c>
      <c r="I200" s="45" t="s">
        <v>1448</v>
      </c>
      <c r="J200" s="45" t="s">
        <v>1449</v>
      </c>
      <c r="K200" s="43" t="s">
        <v>1450</v>
      </c>
      <c r="L200" s="45" t="s">
        <v>1191</v>
      </c>
      <c r="M200" s="7">
        <f t="shared" si="50"/>
        <v>56000</v>
      </c>
      <c r="N200" s="7">
        <f t="shared" si="51"/>
        <v>56000</v>
      </c>
      <c r="O200" s="7">
        <f t="shared" si="73"/>
        <v>27750</v>
      </c>
      <c r="P200" s="7">
        <f t="shared" si="74"/>
        <v>27750</v>
      </c>
      <c r="Q200" s="7">
        <f t="shared" si="72"/>
        <v>195</v>
      </c>
      <c r="R200" s="9">
        <f t="shared" si="75"/>
        <v>434</v>
      </c>
      <c r="S200" s="9">
        <f t="shared" si="67"/>
        <v>546</v>
      </c>
      <c r="T200" s="9">
        <v>99.99</v>
      </c>
      <c r="U200" s="46" t="s">
        <v>1451</v>
      </c>
      <c r="V200" s="46" t="s">
        <v>1451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7" t="s">
        <v>1452</v>
      </c>
      <c r="D201" s="47" t="s">
        <v>1453</v>
      </c>
      <c r="E201" s="28">
        <v>6</v>
      </c>
      <c r="F201" s="28" t="s">
        <v>1454</v>
      </c>
      <c r="G201" s="48" t="s">
        <v>1357</v>
      </c>
      <c r="H201" s="45" t="s">
        <v>1366</v>
      </c>
      <c r="I201" s="45" t="s">
        <v>1455</v>
      </c>
      <c r="J201" s="45" t="s">
        <v>1284</v>
      </c>
      <c r="K201" s="43" t="s">
        <v>1292</v>
      </c>
      <c r="L201" s="45" t="s">
        <v>1407</v>
      </c>
      <c r="M201" s="7">
        <f t="shared" ref="M201:M205" si="77">M200+5000</f>
        <v>61000</v>
      </c>
      <c r="N201" s="7">
        <f t="shared" ref="N201:N205" si="78">N200+5000</f>
        <v>61000</v>
      </c>
      <c r="O201" s="7">
        <f t="shared" ref="O201:O205" si="79">O200+5000</f>
        <v>32750</v>
      </c>
      <c r="P201" s="7">
        <f t="shared" ref="P201:P205" si="80">P200+5000</f>
        <v>32750</v>
      </c>
      <c r="Q201" s="7">
        <f t="shared" ref="Q201:Q205" si="81">Q200+6</f>
        <v>201</v>
      </c>
      <c r="R201" s="9">
        <f t="shared" ref="R201:R205" si="82">R200+15</f>
        <v>449</v>
      </c>
      <c r="S201" s="9">
        <f>S200+15</f>
        <v>561</v>
      </c>
      <c r="T201" s="8">
        <v>99.99</v>
      </c>
      <c r="U201" s="46" t="s">
        <v>1456</v>
      </c>
      <c r="V201" s="46" t="s">
        <v>1456</v>
      </c>
      <c r="W201" s="28"/>
      <c r="X201" s="28" t="s">
        <v>158</v>
      </c>
      <c r="Y201" s="28">
        <v>0</v>
      </c>
    </row>
    <row r="202" s="9" customFormat="1" customHeight="1" spans="1:27">
      <c r="C202" s="46" t="s">
        <v>1457</v>
      </c>
      <c r="D202" s="46" t="s">
        <v>1458</v>
      </c>
      <c r="E202" s="7">
        <v>6</v>
      </c>
      <c r="F202" s="7" t="s">
        <v>1459</v>
      </c>
      <c r="G202" s="45" t="s">
        <v>1460</v>
      </c>
      <c r="H202" s="45" t="s">
        <v>1366</v>
      </c>
      <c r="I202" s="45" t="s">
        <v>1461</v>
      </c>
      <c r="J202" s="45" t="s">
        <v>1462</v>
      </c>
      <c r="K202" s="43" t="s">
        <v>1463</v>
      </c>
      <c r="L202" s="45" t="s">
        <v>1415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05" si="83">S201+15</f>
        <v>576</v>
      </c>
      <c r="T202" s="9">
        <v>99.99</v>
      </c>
      <c r="U202" s="46" t="s">
        <v>1464</v>
      </c>
      <c r="V202" s="46" t="s">
        <v>1464</v>
      </c>
      <c r="W202" s="7"/>
      <c r="X202" s="7" t="s">
        <v>158</v>
      </c>
      <c r="Y202" s="7">
        <v>0</v>
      </c>
    </row>
    <row r="203" s="9" customFormat="1" customHeight="1" spans="1:27">
      <c r="C203" s="46" t="s">
        <v>1465</v>
      </c>
      <c r="D203" s="46" t="s">
        <v>1466</v>
      </c>
      <c r="E203" s="7">
        <v>6</v>
      </c>
      <c r="F203" s="7" t="s">
        <v>1467</v>
      </c>
      <c r="G203" s="45" t="s">
        <v>1468</v>
      </c>
      <c r="H203" s="45" t="s">
        <v>1366</v>
      </c>
      <c r="I203" s="45" t="s">
        <v>1469</v>
      </c>
      <c r="J203" s="45" t="s">
        <v>1470</v>
      </c>
      <c r="K203" s="43" t="s">
        <v>1320</v>
      </c>
      <c r="L203" s="45" t="s">
        <v>1423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6" t="s">
        <v>527</v>
      </c>
      <c r="V203" s="46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6" t="s">
        <v>1471</v>
      </c>
      <c r="D204" s="46" t="s">
        <v>1472</v>
      </c>
      <c r="E204" s="7">
        <v>6</v>
      </c>
      <c r="F204" s="7" t="s">
        <v>1473</v>
      </c>
      <c r="G204" s="45" t="s">
        <v>1474</v>
      </c>
      <c r="H204" s="45" t="s">
        <v>1366</v>
      </c>
      <c r="I204" s="45" t="s">
        <v>1475</v>
      </c>
      <c r="J204" s="45" t="s">
        <v>1476</v>
      </c>
      <c r="K204" s="43" t="s">
        <v>1477</v>
      </c>
      <c r="L204" s="45" t="s">
        <v>1431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6" t="s">
        <v>1478</v>
      </c>
      <c r="V204" s="46" t="s">
        <v>1478</v>
      </c>
      <c r="W204" s="7"/>
      <c r="X204" s="7" t="s">
        <v>158</v>
      </c>
      <c r="Y204" s="7">
        <v>0</v>
      </c>
    </row>
    <row r="205" s="9" customFormat="1" customHeight="1" spans="1:27">
      <c r="C205" s="46" t="s">
        <v>1479</v>
      </c>
      <c r="D205" s="46" t="s">
        <v>1480</v>
      </c>
      <c r="E205" s="7">
        <v>6</v>
      </c>
      <c r="F205" s="7" t="s">
        <v>1481</v>
      </c>
      <c r="G205" s="45" t="s">
        <v>1482</v>
      </c>
      <c r="H205" s="45" t="s">
        <v>1366</v>
      </c>
      <c r="I205" s="45" t="s">
        <v>1483</v>
      </c>
      <c r="J205" s="45" t="s">
        <v>1294</v>
      </c>
      <c r="K205" s="43" t="s">
        <v>1349</v>
      </c>
      <c r="L205" s="45" t="s">
        <v>1439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6" t="s">
        <v>1484</v>
      </c>
      <c r="V205" s="46" t="s">
        <v>1484</v>
      </c>
      <c r="W205" s="7"/>
      <c r="X205" s="7" t="s">
        <v>158</v>
      </c>
      <c r="Y205" s="7">
        <v>0</v>
      </c>
    </row>
    <row r="206" s="10" customFormat="1" customHeight="1" spans="1:27">
      <c r="A206" s="30" t="s">
        <v>1485</v>
      </c>
      <c r="B206" s="30" t="s">
        <v>1485</v>
      </c>
      <c r="C206" s="49" t="s">
        <v>1486</v>
      </c>
      <c r="D206" s="49" t="s">
        <v>1487</v>
      </c>
      <c r="E206" s="10">
        <v>6</v>
      </c>
      <c r="F206" s="10" t="s">
        <v>1488</v>
      </c>
      <c r="G206" s="50" t="s">
        <v>1489</v>
      </c>
      <c r="H206" s="45" t="s">
        <v>1366</v>
      </c>
      <c r="I206" s="50" t="s">
        <v>1490</v>
      </c>
      <c r="J206" s="50" t="s">
        <v>1491</v>
      </c>
      <c r="L206" s="50" t="s">
        <v>1492</v>
      </c>
      <c r="M206" s="10">
        <f t="shared" ref="M205:M215" si="84">M205+600</f>
        <v>81600</v>
      </c>
      <c r="N206" s="10">
        <f t="shared" ref="N205:N215" si="85">N205+600</f>
        <v>81600</v>
      </c>
      <c r="O206" s="10">
        <f t="shared" ref="O206:O210" si="86">O205+400</f>
        <v>53150</v>
      </c>
      <c r="P206" s="10">
        <f t="shared" ref="P206:P210" si="87">P205+400</f>
        <v>53150</v>
      </c>
      <c r="Q206" s="10">
        <f t="shared" si="72"/>
        <v>230</v>
      </c>
      <c r="R206" s="30">
        <f t="shared" si="75"/>
        <v>519</v>
      </c>
      <c r="S206" s="30">
        <f t="shared" si="67"/>
        <v>631</v>
      </c>
      <c r="T206" s="30">
        <v>99.99</v>
      </c>
      <c r="U206" s="49" t="s">
        <v>1275</v>
      </c>
      <c r="V206" s="49" t="s">
        <v>1275</v>
      </c>
      <c r="X206" s="10" t="s">
        <v>158</v>
      </c>
      <c r="Y206" s="10">
        <v>0</v>
      </c>
      <c r="Z206" s="30"/>
      <c r="AA206" s="30"/>
    </row>
    <row r="207" s="10" customFormat="1" customHeight="1" spans="1:27">
      <c r="A207" s="30" t="s">
        <v>1485</v>
      </c>
      <c r="B207" s="30" t="s">
        <v>1485</v>
      </c>
      <c r="C207" s="49" t="s">
        <v>1493</v>
      </c>
      <c r="D207" s="49" t="s">
        <v>1494</v>
      </c>
      <c r="E207" s="10">
        <v>6</v>
      </c>
      <c r="F207" s="10" t="s">
        <v>1495</v>
      </c>
      <c r="G207" s="50" t="s">
        <v>1496</v>
      </c>
      <c r="H207" s="45" t="s">
        <v>1366</v>
      </c>
      <c r="I207" s="50" t="s">
        <v>1497</v>
      </c>
      <c r="J207" s="50" t="s">
        <v>1498</v>
      </c>
      <c r="L207" s="50" t="s">
        <v>1499</v>
      </c>
      <c r="M207" s="10">
        <f t="shared" si="84"/>
        <v>82200</v>
      </c>
      <c r="N207" s="10">
        <f t="shared" si="85"/>
        <v>82200</v>
      </c>
      <c r="O207" s="10">
        <f t="shared" si="86"/>
        <v>53550</v>
      </c>
      <c r="P207" s="10">
        <f t="shared" si="87"/>
        <v>53550</v>
      </c>
      <c r="Q207" s="10">
        <f t="shared" si="72"/>
        <v>235</v>
      </c>
      <c r="R207" s="30">
        <f t="shared" si="75"/>
        <v>529</v>
      </c>
      <c r="S207" s="30">
        <f t="shared" si="67"/>
        <v>641</v>
      </c>
      <c r="T207" s="30">
        <v>99.99</v>
      </c>
      <c r="U207" s="49" t="s">
        <v>1275</v>
      </c>
      <c r="V207" s="49" t="s">
        <v>1275</v>
      </c>
      <c r="X207" s="10" t="s">
        <v>158</v>
      </c>
      <c r="Y207" s="10">
        <v>0</v>
      </c>
      <c r="Z207" s="30"/>
      <c r="AA207" s="30"/>
    </row>
    <row r="208" s="10" customFormat="1" customHeight="1" spans="1:27">
      <c r="A208" s="30" t="s">
        <v>1485</v>
      </c>
      <c r="B208" s="30" t="s">
        <v>1485</v>
      </c>
      <c r="C208" s="49" t="s">
        <v>1500</v>
      </c>
      <c r="D208" s="49" t="s">
        <v>1501</v>
      </c>
      <c r="E208" s="10">
        <v>6</v>
      </c>
      <c r="F208" s="10" t="s">
        <v>1502</v>
      </c>
      <c r="G208" s="50" t="s">
        <v>1503</v>
      </c>
      <c r="H208" s="45" t="s">
        <v>1366</v>
      </c>
      <c r="I208" s="50" t="s">
        <v>1504</v>
      </c>
      <c r="J208" s="50" t="s">
        <v>1274</v>
      </c>
      <c r="L208" s="50" t="s">
        <v>1505</v>
      </c>
      <c r="M208" s="10">
        <f t="shared" si="84"/>
        <v>82800</v>
      </c>
      <c r="N208" s="10">
        <f t="shared" si="85"/>
        <v>82800</v>
      </c>
      <c r="O208" s="10">
        <f t="shared" si="86"/>
        <v>53950</v>
      </c>
      <c r="P208" s="10">
        <f t="shared" si="87"/>
        <v>53950</v>
      </c>
      <c r="Q208" s="10">
        <f t="shared" si="72"/>
        <v>240</v>
      </c>
      <c r="R208" s="30">
        <f t="shared" si="75"/>
        <v>539</v>
      </c>
      <c r="S208" s="30">
        <f t="shared" si="67"/>
        <v>651</v>
      </c>
      <c r="T208" s="30">
        <v>99.99</v>
      </c>
      <c r="U208" s="49" t="s">
        <v>1275</v>
      </c>
      <c r="V208" s="49" t="s">
        <v>1275</v>
      </c>
      <c r="X208" s="10" t="s">
        <v>158</v>
      </c>
      <c r="Y208" s="10">
        <v>0</v>
      </c>
      <c r="Z208" s="30"/>
      <c r="AA208" s="30"/>
    </row>
    <row r="209" s="10" customFormat="1" customHeight="1" spans="1:27">
      <c r="A209" s="30" t="s">
        <v>1485</v>
      </c>
      <c r="B209" s="30" t="s">
        <v>1485</v>
      </c>
      <c r="C209" s="49" t="s">
        <v>1506</v>
      </c>
      <c r="D209" s="49" t="s">
        <v>1507</v>
      </c>
      <c r="E209" s="10">
        <v>6</v>
      </c>
      <c r="F209" s="10" t="s">
        <v>1508</v>
      </c>
      <c r="G209" s="50" t="s">
        <v>1509</v>
      </c>
      <c r="H209" s="45" t="s">
        <v>1366</v>
      </c>
      <c r="I209" s="50" t="s">
        <v>1510</v>
      </c>
      <c r="J209" s="50" t="s">
        <v>1511</v>
      </c>
      <c r="L209" s="50" t="s">
        <v>1512</v>
      </c>
      <c r="M209" s="10">
        <f t="shared" si="84"/>
        <v>83400</v>
      </c>
      <c r="N209" s="10">
        <f t="shared" si="85"/>
        <v>83400</v>
      </c>
      <c r="O209" s="10">
        <f t="shared" si="86"/>
        <v>54350</v>
      </c>
      <c r="P209" s="10">
        <f t="shared" si="87"/>
        <v>54350</v>
      </c>
      <c r="Q209" s="10">
        <f t="shared" si="72"/>
        <v>245</v>
      </c>
      <c r="R209" s="30">
        <f t="shared" si="75"/>
        <v>549</v>
      </c>
      <c r="S209" s="30">
        <f t="shared" si="67"/>
        <v>661</v>
      </c>
      <c r="T209" s="30">
        <v>99.99</v>
      </c>
      <c r="U209" s="49" t="s">
        <v>1275</v>
      </c>
      <c r="V209" s="49" t="s">
        <v>1275</v>
      </c>
      <c r="X209" s="10" t="s">
        <v>158</v>
      </c>
      <c r="Y209" s="10">
        <v>0</v>
      </c>
      <c r="Z209" s="30"/>
      <c r="AA209" s="30"/>
    </row>
    <row r="210" s="10" customFormat="1" customHeight="1" spans="1:27">
      <c r="A210" s="30" t="s">
        <v>1485</v>
      </c>
      <c r="B210" s="30" t="s">
        <v>1485</v>
      </c>
      <c r="C210" s="49" t="s">
        <v>1513</v>
      </c>
      <c r="D210" s="49" t="s">
        <v>1514</v>
      </c>
      <c r="E210" s="10">
        <v>6</v>
      </c>
      <c r="F210" s="10" t="s">
        <v>1515</v>
      </c>
      <c r="G210" s="50" t="s">
        <v>1516</v>
      </c>
      <c r="H210" s="45" t="s">
        <v>1366</v>
      </c>
      <c r="I210" s="50" t="s">
        <v>1517</v>
      </c>
      <c r="J210" s="50" t="s">
        <v>1518</v>
      </c>
      <c r="L210" s="50" t="s">
        <v>1519</v>
      </c>
      <c r="M210" s="10">
        <f t="shared" si="84"/>
        <v>84000</v>
      </c>
      <c r="N210" s="10">
        <f t="shared" si="85"/>
        <v>84000</v>
      </c>
      <c r="O210" s="10">
        <f t="shared" si="86"/>
        <v>54750</v>
      </c>
      <c r="P210" s="10">
        <f t="shared" si="87"/>
        <v>54750</v>
      </c>
      <c r="Q210" s="10">
        <f t="shared" si="72"/>
        <v>250</v>
      </c>
      <c r="R210" s="30">
        <f t="shared" si="75"/>
        <v>559</v>
      </c>
      <c r="S210" s="30">
        <f t="shared" si="67"/>
        <v>671</v>
      </c>
      <c r="T210" s="30">
        <v>99.99</v>
      </c>
      <c r="U210" s="49" t="s">
        <v>1275</v>
      </c>
      <c r="V210" s="49" t="s">
        <v>1275</v>
      </c>
      <c r="X210" s="10" t="s">
        <v>158</v>
      </c>
      <c r="Y210" s="10">
        <v>0</v>
      </c>
      <c r="Z210" s="30"/>
      <c r="AA210" s="30"/>
    </row>
    <row r="211" s="10" customFormat="1" customHeight="1" spans="1:27">
      <c r="A211" s="30" t="s">
        <v>1485</v>
      </c>
      <c r="B211" s="30" t="s">
        <v>1485</v>
      </c>
      <c r="C211" s="49" t="s">
        <v>1520</v>
      </c>
      <c r="D211" s="49" t="s">
        <v>1521</v>
      </c>
      <c r="E211" s="10">
        <v>6</v>
      </c>
      <c r="F211" s="10" t="s">
        <v>1522</v>
      </c>
      <c r="G211" s="50" t="s">
        <v>1523</v>
      </c>
      <c r="H211" s="45" t="s">
        <v>1366</v>
      </c>
      <c r="I211" s="50" t="s">
        <v>1524</v>
      </c>
      <c r="J211" s="50" t="s">
        <v>1525</v>
      </c>
      <c r="L211" s="50" t="s">
        <v>1526</v>
      </c>
      <c r="M211" s="10">
        <f t="shared" si="84"/>
        <v>84600</v>
      </c>
      <c r="N211" s="10">
        <f t="shared" si="85"/>
        <v>84600</v>
      </c>
      <c r="O211" s="10">
        <f t="shared" ref="O211:O215" si="88">O210+500</f>
        <v>55250</v>
      </c>
      <c r="P211" s="10">
        <f t="shared" ref="P211:P215" si="89">P210+500</f>
        <v>55250</v>
      </c>
      <c r="Q211" s="10">
        <f t="shared" si="72"/>
        <v>255</v>
      </c>
      <c r="R211" s="30">
        <f t="shared" si="75"/>
        <v>569</v>
      </c>
      <c r="S211" s="30">
        <f t="shared" si="67"/>
        <v>681</v>
      </c>
      <c r="T211" s="30">
        <v>99.99</v>
      </c>
      <c r="U211" s="49" t="s">
        <v>1275</v>
      </c>
      <c r="V211" s="49" t="s">
        <v>1275</v>
      </c>
      <c r="X211" s="10" t="s">
        <v>158</v>
      </c>
      <c r="Y211" s="10">
        <v>0</v>
      </c>
      <c r="Z211" s="30"/>
      <c r="AA211" s="30"/>
    </row>
    <row r="212" s="10" customFormat="1" customHeight="1" spans="1:27">
      <c r="A212" s="30" t="s">
        <v>1485</v>
      </c>
      <c r="B212" s="30" t="s">
        <v>1485</v>
      </c>
      <c r="C212" s="49" t="s">
        <v>1527</v>
      </c>
      <c r="D212" s="49" t="s">
        <v>1528</v>
      </c>
      <c r="E212" s="10">
        <v>6</v>
      </c>
      <c r="F212" s="10" t="s">
        <v>1529</v>
      </c>
      <c r="G212" s="50" t="s">
        <v>1530</v>
      </c>
      <c r="H212" s="45" t="s">
        <v>1366</v>
      </c>
      <c r="I212" s="50" t="s">
        <v>1531</v>
      </c>
      <c r="J212" s="50" t="s">
        <v>1532</v>
      </c>
      <c r="L212" s="50" t="s">
        <v>1533</v>
      </c>
      <c r="M212" s="10">
        <f t="shared" si="84"/>
        <v>85200</v>
      </c>
      <c r="N212" s="10">
        <f t="shared" si="85"/>
        <v>85200</v>
      </c>
      <c r="O212" s="10">
        <f t="shared" si="88"/>
        <v>55750</v>
      </c>
      <c r="P212" s="10">
        <f t="shared" si="89"/>
        <v>55750</v>
      </c>
      <c r="Q212" s="10">
        <f t="shared" si="72"/>
        <v>260</v>
      </c>
      <c r="R212" s="30">
        <f t="shared" si="75"/>
        <v>579</v>
      </c>
      <c r="S212" s="30">
        <f t="shared" si="67"/>
        <v>691</v>
      </c>
      <c r="T212" s="30">
        <v>99.99</v>
      </c>
      <c r="U212" s="49" t="s">
        <v>1275</v>
      </c>
      <c r="V212" s="49" t="s">
        <v>1275</v>
      </c>
      <c r="X212" s="10" t="s">
        <v>158</v>
      </c>
      <c r="Y212" s="10">
        <v>0</v>
      </c>
      <c r="Z212" s="30"/>
      <c r="AA212" s="30"/>
    </row>
    <row r="213" s="10" customFormat="1" customHeight="1" spans="1:27">
      <c r="A213" s="30" t="s">
        <v>1485</v>
      </c>
      <c r="B213" s="30" t="s">
        <v>1485</v>
      </c>
      <c r="C213" s="49" t="s">
        <v>1534</v>
      </c>
      <c r="D213" s="49" t="s">
        <v>1535</v>
      </c>
      <c r="E213" s="10">
        <v>6</v>
      </c>
      <c r="F213" s="10" t="s">
        <v>1536</v>
      </c>
      <c r="G213" s="50" t="s">
        <v>1537</v>
      </c>
      <c r="H213" s="45" t="s">
        <v>1366</v>
      </c>
      <c r="I213" s="50" t="s">
        <v>1538</v>
      </c>
      <c r="J213" s="50" t="s">
        <v>1539</v>
      </c>
      <c r="L213" s="50" t="s">
        <v>1540</v>
      </c>
      <c r="M213" s="10">
        <f t="shared" si="84"/>
        <v>85800</v>
      </c>
      <c r="N213" s="10">
        <f t="shared" si="85"/>
        <v>85800</v>
      </c>
      <c r="O213" s="10">
        <f t="shared" si="88"/>
        <v>56250</v>
      </c>
      <c r="P213" s="10">
        <f t="shared" si="89"/>
        <v>56250</v>
      </c>
      <c r="Q213" s="10">
        <f t="shared" si="72"/>
        <v>265</v>
      </c>
      <c r="R213" s="30">
        <f t="shared" si="75"/>
        <v>589</v>
      </c>
      <c r="S213" s="30">
        <f t="shared" si="67"/>
        <v>701</v>
      </c>
      <c r="T213" s="30">
        <v>99.99</v>
      </c>
      <c r="U213" s="49" t="s">
        <v>1275</v>
      </c>
      <c r="V213" s="49" t="s">
        <v>1275</v>
      </c>
      <c r="X213" s="10" t="s">
        <v>158</v>
      </c>
      <c r="Y213" s="10">
        <v>0</v>
      </c>
      <c r="Z213" s="30"/>
      <c r="AA213" s="30"/>
    </row>
    <row r="214" s="10" customFormat="1" customHeight="1" spans="1:27">
      <c r="A214" s="30" t="s">
        <v>1485</v>
      </c>
      <c r="B214" s="30" t="s">
        <v>1485</v>
      </c>
      <c r="C214" s="49" t="s">
        <v>1541</v>
      </c>
      <c r="D214" s="49" t="s">
        <v>1542</v>
      </c>
      <c r="E214" s="10">
        <v>6</v>
      </c>
      <c r="F214" s="10" t="s">
        <v>1543</v>
      </c>
      <c r="G214" s="50" t="s">
        <v>1544</v>
      </c>
      <c r="H214" s="45" t="s">
        <v>1366</v>
      </c>
      <c r="I214" s="50" t="s">
        <v>1545</v>
      </c>
      <c r="J214" s="50" t="s">
        <v>1546</v>
      </c>
      <c r="L214" s="50" t="s">
        <v>1547</v>
      </c>
      <c r="M214" s="10">
        <f t="shared" si="84"/>
        <v>86400</v>
      </c>
      <c r="N214" s="10">
        <f t="shared" si="85"/>
        <v>86400</v>
      </c>
      <c r="O214" s="10">
        <f t="shared" si="88"/>
        <v>56750</v>
      </c>
      <c r="P214" s="10">
        <f t="shared" si="89"/>
        <v>56750</v>
      </c>
      <c r="Q214" s="10">
        <f t="shared" si="72"/>
        <v>270</v>
      </c>
      <c r="R214" s="30">
        <f t="shared" si="75"/>
        <v>599</v>
      </c>
      <c r="S214" s="30">
        <f t="shared" si="67"/>
        <v>711</v>
      </c>
      <c r="T214" s="30">
        <v>99.99</v>
      </c>
      <c r="U214" s="49" t="s">
        <v>1275</v>
      </c>
      <c r="V214" s="49" t="s">
        <v>1275</v>
      </c>
      <c r="X214" s="10" t="s">
        <v>158</v>
      </c>
      <c r="Y214" s="10">
        <v>0</v>
      </c>
      <c r="Z214" s="30"/>
      <c r="AA214" s="30"/>
    </row>
    <row r="215" s="10" customFormat="1" customHeight="1" spans="1:27">
      <c r="A215" s="30" t="s">
        <v>1485</v>
      </c>
      <c r="B215" s="30" t="s">
        <v>1485</v>
      </c>
      <c r="C215" s="49" t="s">
        <v>1548</v>
      </c>
      <c r="D215" s="49" t="s">
        <v>1549</v>
      </c>
      <c r="E215" s="10">
        <v>6</v>
      </c>
      <c r="F215" s="10" t="s">
        <v>1550</v>
      </c>
      <c r="G215" s="50" t="s">
        <v>1551</v>
      </c>
      <c r="H215" s="45" t="s">
        <v>1366</v>
      </c>
      <c r="I215" s="50" t="s">
        <v>1552</v>
      </c>
      <c r="J215" s="50" t="s">
        <v>1553</v>
      </c>
      <c r="L215" s="50" t="s">
        <v>1554</v>
      </c>
      <c r="M215" s="10">
        <f t="shared" si="84"/>
        <v>87000</v>
      </c>
      <c r="N215" s="10">
        <f t="shared" si="85"/>
        <v>87000</v>
      </c>
      <c r="O215" s="10">
        <f t="shared" si="88"/>
        <v>57250</v>
      </c>
      <c r="P215" s="10">
        <f t="shared" si="89"/>
        <v>57250</v>
      </c>
      <c r="Q215" s="10">
        <f t="shared" si="72"/>
        <v>275</v>
      </c>
      <c r="R215" s="30">
        <f t="shared" si="75"/>
        <v>609</v>
      </c>
      <c r="S215" s="30">
        <f t="shared" si="67"/>
        <v>721</v>
      </c>
      <c r="T215" s="30">
        <v>99.99</v>
      </c>
      <c r="U215" s="49" t="s">
        <v>1275</v>
      </c>
      <c r="V215" s="49" t="s">
        <v>1275</v>
      </c>
      <c r="X215" s="10" t="s">
        <v>158</v>
      </c>
      <c r="Y215" s="10">
        <v>0</v>
      </c>
      <c r="Z215" s="30"/>
      <c r="AA215" s="30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2026-01-12T03:00:37Z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
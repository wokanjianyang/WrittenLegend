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<sst xmlns="http://schemas.openxmlformats.org/spreadsheetml/2006/main" count="1289" uniqueCount="962">
  <si>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</si>
  <si>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</si>
  <si>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</si>
  <si>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</si>
  <si>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</si>
  <si>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</si>
  <si>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</si>
  <si>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</si>
  <si>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</si>
  <si>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</si>
  <si>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</si>
  <si>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</si>
  <si>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</si>
  <si>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</si>
  <si>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</si>
  <si>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</si>
  <si>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</si>
  <si>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</si>
  <si>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</si>
  <si>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</si>
  <si>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</si>
  <si>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</si>
  <si>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</si>
  <si>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</si>
  <si>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</si>
  <si>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</si>
  <si>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</si>
  <si>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</si>
  <si>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</si>
  <si>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</si>
  <si>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</si>
  <si>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</si>
  <si>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</si>
  <si>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</si>
  <si>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</si>
  <si>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</si>
  <si>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</si>
  <si>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</si>
  <si>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</si>
  <si>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</si>
  <si>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</si>
  <si>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</si>
  <si>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</si>
  <si>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</si>
  <si>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</si>
  <si>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</si>
  <si>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</si>
  <si>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</si>
  <si>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</si>
  <si>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</si>
  <si>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</si>
  <si>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</si>
  <si>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</si>
  <si>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</si>
  <si>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</si>
  <si>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</si>
  <si>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</si>
  <si>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</si>
  <si>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</si>
  <si>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</si>
  <si>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</si>
  <si>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</si>
  <si>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</si>
  <si>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</si>
  <si>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</si>
  <si>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</si>
  <si>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</si>
  <si>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</si>
  <si>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</si>
  <si>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</si>
  <si>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</si>
  <si>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</si>
  <si>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</si>
  <si>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</si>
  <si>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</si>
  <si>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</si>
  <si>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</si>
  <si>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</si>
  <si>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</si>
  <si>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</si>
  <si>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</si>
  <si>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</si>
  <si>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</si>
  <si>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</si>
  <si>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</si>
  <si>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</si>
  <si>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</si>
  <si>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</si>
  <si>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</si>
  <si>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</si>
  <si>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</si>
  <si>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</si>
  <si>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</si>
  <si>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</si>
  <si>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</si>
  <si>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</si>
  <si>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</si>
  <si>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</si>
  <si>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</si>
  <si>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</si>
  <si>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</si>
  <si>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</si>
  <si>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</si>
  <si>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</si>
  <si>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</si>
  <si>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</si>
  <si>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</si>
  <si>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</si>
  <si>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</si>
  <si>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</si>
  <si>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</si>
  <si>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</si>
  <si>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</si>
  <si>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</si>
  <si>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</si>
  <si>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</si>
  <si>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</si>
  <si>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</si>
  <si>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</si>
  <si>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</si>
  <si>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</si>
  <si>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</si>
  <si>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</si>
  <si>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</si>
  <si>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</si>
  <si>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</si>
  <si>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</si>
  <si>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</si>
  <si>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</si>
  <si>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</si>
  <si>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</si>
  <si>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</si>
  <si>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</si>
  <si>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</si>
  <si>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</si>
  <si>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</si>
  <si>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</si>
  <si>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</si>
  <si>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</si>
  <si>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</si>
  <si>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</si>
  <si>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</si>
  <si>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</si>
  <si>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</si>
  <si>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</si>
  <si>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</si>
  <si>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</si>
  <si>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</si>
  <si>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</si>
  <si>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</si>
  <si>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</si>
  <si>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</si>
  <si>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</si>
  <si>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</si>
  <si>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</si>
  <si>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</si>
  <si>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</si>
  <si>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</si>
  <si>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</si>
  <si>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</si>
  <si>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</si>
  <si>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</si>
  <si>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</si>
  <si>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</si>
  <si>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</si>
  <si>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</si>
  <si>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</si>
  <si>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</si>
  <si>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</si>
  <si>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</si>
  <si>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</si>
  <si>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</si>
  <si>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</si>
  <si>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</si>
  <si>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</si>
  <si>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</si>
  <si>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</si>
  <si>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</si>
  <si>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</si>
  <si>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</si>
  <si>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</si>
  <si>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</si>
  <si>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</si>
  <si>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</si>
  <si>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</si>
  <si>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</si>
  <si>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</si>
  <si>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</si>
  <si>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</si>
  <si>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</si>
  <si>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</si>
  <si>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</si>
  <si>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</si>
  <si>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</si>
  <si>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</si>
  <si>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</si>
  <si>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</si>
  <si>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</si>
  <si>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</si>
  <si>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</si>
  <si>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</si>
  <si>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</si>
  <si>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</si>
  <si>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</si>
  <si>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</si>
  <si>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</si>
  <si>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</si>
  <si>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</si>
  <si>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</si>
  <si>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</si>
  <si>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</si>
  <si>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</si>
  <si>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</si>
  <si>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</si>
  <si>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</si>
  <si>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</si>
  <si>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</si>
  <si>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</si>
  <si>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</si>
  <si>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</si>
  <si>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</si>
  <si>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</si>
  <si>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</si>
  <si>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</si>
  <si>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</si>
  <si>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</si>
  <si>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</si>
  <si>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</si>
  <si>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</si>
  <si>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</si>
  <si>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</si>
  <si>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</si>
  <si>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</si>
  <si>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</si>
  <si>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</si>
  <si>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</si>
  <si>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</si>
  <si>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</si>
  <si>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</si>
  <si>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</si>
  <si>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</si>
  <si>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</si>
  <si>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</si>
  <si>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</si>
  <si>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</si>
  <si>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</si>
  <si>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</si>
  <si>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</si>
  <si>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</si>
  <si>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</si>
  <si>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</si>
  <si>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</si>
  <si>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</si>
  <si>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</si>
  <si>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</si>
  <si>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</si>
  <si>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</si>
  <si>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</si>
  <si>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</si>
  <si>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</si>
  <si>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</si>
  <si>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</si>
  <si>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</si>
  <si>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</si>
  <si>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</si>
  <si>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</si>
  <si>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</si>
  <si>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</si>
  <si>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</si>
  <si>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</si>
  <si>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</si>
  <si>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</si>
  <si>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</si>
  <si>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</si>
  <si>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</si>
  <si>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</si>
  <si>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</si>
  <si>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</si>
  <si>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</si>
  <si>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</si>
  <si>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</si>
  <si>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</si>
  <si>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</si>
  <si>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</si>
  <si>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</si>
  <si>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</si>
  <si>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</si>
  <si>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</si>
  <si>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</si>
  <si>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</si>
  <si>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</si>
  <si>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</si>
  <si>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</si>
  <si>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</si>
  <si>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</si>
  <si>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</si>
  <si>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</si>
  <si>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</si>
  <si>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</si>
  <si>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</si>
  <si>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</si>
  <si>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</si>
  <si>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</si>
  <si>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</si>
  <si>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</si>
  <si>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</si>
  <si>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</si>
  <si>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</si>
  <si>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</si>
  <si>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</si>
  <si>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</si>
  <si>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</si>
  <si>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</si>
  <si>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</si>
  <si>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</si>
  <si>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</si>
  <si>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</si>
  <si>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</si>
  <si>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</si>
  <si>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</si>
  <si>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</si>
  <si>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</si>
  <si>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</si>
  <si>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</si>
  <si>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</si>
  <si>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</si>
  <si>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</si>
  <si>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</si>
  <si>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</si>
  <si>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</si>
  <si>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</si>
  <si>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</si>
  <si>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</si>
  <si>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</si>
  <si>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</si>
  <si>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</si>
  <si>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</si>
  <si>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</si>
  <si>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</si>
  <si>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</si>
  <si>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</si>
  <si>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</si>
  <si>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</si>
  <si>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</si>
  <si>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</si>
  <si>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</si>
  <si>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</si>
  <si>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</si>
  <si>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</si>
  <si>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</si>
  <si>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</si>
  <si>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</si>
  <si>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</si>
  <si>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</si>
  <si>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</si>
  <si>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</si>
  <si>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</si>
  <si>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</si>
  <si>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</si>
  <si>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</si>
  <si>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</si>
  <si>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</si>
  <si>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</si>
  <si>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</si>
  <si>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</si>
  <si>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</si>
  <si>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</si>
  <si>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</si>
  <si>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</si>
  <si>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</si>
  <si>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</si>
  <si>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</si>
  <si>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</si>
  <si>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</si>
  <si>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</si>
  <si>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</si>
  <si>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</si>
  <si>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</si>
  <si>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</si>
  <si>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</si>
  <si>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</si>
  <si>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</si>
  <si>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</si>
  <si>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</si>
  <si>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</si>
  <si>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</si>
  <si>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</si>
  <si>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</si>
  <si>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</si>
  <si>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</si>
  <si>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</si>
  <si>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</si>
  <si>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</si>
  <si>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</si>
  <si>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</si>
  <si>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</si>
  <si>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</si>
  <si>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</si>
  <si>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</si>
  <si>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</si>
  <si>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</si>
  <si>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</si>
  <si>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</si>
  <si>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</si>
  <si>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</si>
  <si>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</si>
  <si>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</si>
  <si>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</si>
  <si>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</si>
  <si>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</si>
  <si>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</si>
  <si>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</si>
  <si>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</si>
  <si>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</si>
  <si>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</si>
  <si>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</si>
  <si>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</si>
  <si>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</si>
  <si>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</si>
  <si>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</si>
  <si>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</si>
  <si>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</si>
  <si>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</si>
  <si>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</si>
  <si>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</si>
  <si>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</si>
  <si>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</si>
  <si>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</si>
  <si>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</si>
  <si>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</si>
  <si>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</si>
  <si>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</si>
  <si>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</si>
  <si>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</si>
  <si>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</si>
  <si>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</si>
  <si>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</si>
  <si>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</si>
  <si>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</si>
  <si>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</si>
  <si>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</si>
  <si>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</si>
  <si>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</si>
  <si>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</si>
  <si>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</si>
  <si>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</si>
  <si>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</si>
  <si>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</si>
  <si>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</si>
  <si>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</si>
  <si>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</si>
  <si>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</si>
  <si>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</si>
  <si>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</si>
  <si>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</si>
  <si>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</si>
  <si>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</si>
  <si>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</si>
  <si>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</si>
  <si>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</si>
  <si>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</si>
  <si>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</si>
  <si>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</si>
  <si>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</si>
  <si>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</si>
  <si>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</si>
  <si>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</si>
  <si>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</si>
  <si>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</si>
  <si>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</si>
  <si>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</si>
  <si>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</si>
  <si>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</si>
  <si>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</si>
  <si>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</si>
  <si>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</si>
  <si>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</si>
  <si>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</si>
  <si>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</si>
  <si>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</si>
  <si>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</si>
  <si>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</si>
  <si>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</si>
  <si>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</si>
  <si>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</si>
  <si>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</si>
  <si>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</si>
  <si>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</si>
  <si>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</si>
  <si>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</si>
  <si>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</si>
  <si>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</si>
  <si>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</si>
  <si>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</si>
  <si>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</si>
  <si>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</si>
  <si>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</si>
  <si>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</si>
  <si>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</si>
  <si>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</si>
  <si>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</si>
  <si>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</si>
  <si>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</si>
  <si>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</si>
  <si>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</si>
  <si>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</si>
  <si>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</si>
  <si>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</si>
  <si>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</si>
  <si>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</si>
  <si>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</si>
  <si>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</si>
  <si>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</si>
  <si>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</si>
  <si>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</si>
  <si>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</si>
  <si>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</si>
  <si>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</si>
  <si>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</si>
  <si>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</si>
  <si>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</si>
  <si>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</si>
  <si>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</si>
  <si>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</si>
  <si>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</si>
  <si>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</si>
  <si>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</si>
  <si>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</si>
  <si>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</si>
  <si>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</si>
  <si>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</si>
  <si>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</si>
  <si>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</si>
  <si>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</si>
  <si>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</si>
  <si>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</si>
  <si>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</si>
  <si>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</si>
  <si>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</si>
  <si>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</si>
  <si>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</si>
  <si>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</si>
  <si>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</si>
  <si>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</si>
  <si>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</si>
  <si>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</si>
  <si>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</si>
  <si>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</si>
  <si>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</si>
  <si>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</si>
  <si>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</si>
  <si>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</si>
  <si>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</si>
  <si>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</si>
  <si>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</si>
  <si>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</si>
  <si>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</si>
  <si>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</si>
  <si>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</si>
  <si>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</si>
  <si>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</si>
  <si>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</si>
  <si>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</si>
  <si>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</si>
  <si>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</si>
  <si>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</si>
  <si>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</si>
  <si>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</si>
  <si>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</si>
  <si>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</si>
  <si>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</si>
  <si>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</si>
  <si>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</si>
  <si>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</si>
  <si>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</si>
  <si>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</si>
  <si>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</si>
  <si>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</si>
  <si>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</si>
  <si>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</si>
  <si>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</si>
  <si>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</si>
  <si>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</si>
  <si>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</si>
  <si>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</si>
  <si>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</si>
  <si>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</si>
  <si>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</si>
  <si>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</si>
  <si>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</si>
  <si>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</si>
  <si>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</si>
  <si>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</si>
  <si>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</si>
  <si>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</si>
  <si>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</si>
  <si>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</si>
  <si>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</si>
  <si>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</si>
  <si>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</si>
  <si>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</si>
  <si>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</si>
  <si>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</si>
  <si>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</si>
  <si>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</si>
  <si>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</si>
  <si>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</si>
  <si>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</si>
  <si>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</si>
  <si>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</si>
  <si>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</si>
  <si>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</si>
  <si>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</si>
  <si>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</si>
  <si>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</si>
  <si>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</si>
  <si>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</si>
  <si>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</si>
  <si>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</si>
  <si>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</si>
  <si>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</si>
  <si>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</si>
  <si>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</si>
  <si>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</si>
  <si>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</si>
  <si>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</si>
  <si>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</si>
  <si>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</si>
  <si>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</si>
  <si>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</si>
  <si>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</si>
  <si>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</si>
  <si>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</si>
  <si>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</si>
  <si>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</si>
  <si>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</si>
  <si>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</si>
  <si>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</si>
  <si>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</si>
  <si>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</si>
  <si>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</si>
  <si>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</si>
  <si>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</si>
  <si>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</si>
  <si>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</si>
  <si>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</si>
  <si>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</si>
  <si>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</si>
  <si>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</si>
  <si>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</si>
  <si>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</si>
  <si>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</si>
  <si>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</si>
  <si>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</si>
  <si>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</si>
  <si>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</si>
  <si>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</si>
  <si>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</si>
  <si>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</si>
  <si>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</si>
  <si>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</si>
  <si>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</si>
  <si>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</si>
  <si>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</si>
  <si>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</si>
  <si>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</si>
  <si>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</si>
  <si>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</si>
  <si>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</si>
  <si>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</si>
  <si>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</si>
  <si>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</si>
  <si>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</si>
  <si>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</si>
  <si>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</si>
  <si>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</si>
  <si>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</si>
  <si>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</si>
  <si>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</si>
  <si>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</si>
  <si>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</si>
  <si>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</si>
  <si>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</si>
  <si>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</si>
  <si>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</si>
  <si>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</si>
  <si>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</si>
  <si>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</si>
  <si>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</si>
  <si>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</si>
  <si>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</si>
  <si>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</si>
  <si>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</si>
  <si>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</si>
  <si>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</si>
  <si>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</si>
  <si>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</si>
  <si>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</si>
  <si>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</si>
  <si>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</si>
  <si>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</si>
  <si>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</si>
  <si>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</si>
  <si>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</si>
  <si>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</si>
  <si>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</si>
  <si>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</si>
  <si>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</si>
  <si>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</si>
  <si>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</si>
  <si>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</si>
  <si>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</si>
  <si>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</si>
  <si>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</si>
  <si>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</si>
  <si>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</si>
  <si>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</si>
  <si>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</si>
  <si>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</si>
  <si>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</si>
  <si>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</si>
  <si>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</si>
  <si>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</si>
  <si>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</si>
  <si>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</si>
  <si>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</si>
  <si>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</si>
  <si>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</si>
  <si>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</si>
  <si>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</si>
  <si>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</si>
  <si>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</si>
  <si>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</si>
  <si>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</si>
  <si>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</si>
  <si>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</si>
  <si>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</si>
  <si>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</si>
  <si>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</si>
  <si>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</si>
  <si>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</si>
  <si>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</si>
  <si>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</si>
  <si>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</si>
  <si>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</si>
  <si>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</si>
  <si>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</si>
  <si>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</si>
  <si>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</si>
  <si>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</si>
  <si>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</si>
  <si>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</si>
  <si>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</si>
  <si>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</si>
  <si>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</si>
  <si>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</si>
  <si>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</si>
  <si>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</si>
  <si>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</si>
  <si>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</si>
  <si>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</si>
  <si>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</si>
  <si>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</si>
  <si>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</si>
  <si>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</si>
  <si>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</si>
  <si>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</si>
  <si>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</si>
  <si>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</si>
  <si>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</si>
  <si>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</si>
  <si>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</si>
  <si>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</si>
  <si>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</si>
  <si>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</si>
  <si>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</si>
  <si>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</si>
  <si>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</si>
  <si>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</si>
  <si>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</si>
  <si>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</si>
  <si>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</si>
  <si>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</si>
  <si>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</si>
  <si>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</si>
  <si>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</si>
  <si>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</si>
  <si>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</si>
  <si>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</si>
  <si>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</si>
  <si>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</si>
  <si>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</si>
  <si>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</si>
  <si>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</si>
  <si>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</si>
  <si>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</si>
  <si>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</si>
  <si>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</si>
  <si>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</si>
  <si>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</si>
  <si>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</si>
  <si>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</si>
  <si>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</si>
  <si>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</si>
  <si>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</si>
  <si>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</si>
  <si>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</si>
  <si>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</si>
  <si>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</si>
  <si>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</si>
  <si>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</si>
  <si>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</si>
  <si>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</si>
  <si>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</si>
  <si>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</si>
  <si>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</si>
  <si>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</si>
  <si>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</si>
  <si>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</si>
  <si>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</si>
  <si>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</si>
  <si>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</si>
  <si>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</si>
  <si>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</si>
  <si>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</si>
  <si>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</si>
  <si>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</si>
  <si>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</si>
  <si>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</si>
  <si>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</si>
  <si>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</si>
  <si>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</si>
  <si>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</si>
  <si>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</si>
  <si>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</si>
  <si>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</si>
  <si>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</si>
  <si>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</si>
  <si>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</si>
  <si>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</si>
  <si>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</si>
  <si>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</si>
  <si>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</si>
  <si>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</si>
  <si>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</si>
  <si>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</si>
  <si>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</si>
  <si>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</si>
  <si>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</si>
  <si>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</si>
  <si>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</si>
  <si>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</si>
  <si>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</si>
  <si>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</si>
  <si>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</si>
  <si>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</si>
  <si>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</si>
  <si>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</si>
  <si>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</si>
  <si>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</si>
  <si>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</si>
  <si>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</si>
  <si>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</si>
  <si>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</si>
  <si>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</si>
  <si>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</si>
  <si>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</si>
  <si>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</si>
  <si>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</si>
  <si>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</si>
  <si>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</si>
  <si>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</si>
  <si>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</si>
  <si>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</si>
  <si>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</si>
  <si>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</si>
  <si>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</si>
  <si>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</si>
  <si>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</si>
  <si>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</si>
  <si>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</si>
  <si>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</si>
  <si>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</si>
  <si>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</si>
  <si>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</si>
  <si>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</si>
  <si>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</si>
  <si>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</si>
  <si>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</si>
  <si>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</si>
  <si>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</si>
  <si>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</si>
  <si>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</si>
  <si>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</si>
  <si>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</si>
  <si>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</si>
  <si>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</si>
  <si>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</si>
  <si>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</si>
  <si>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</si>
  <si>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</si>
  <si>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</si>
  <si>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</si>
  <si>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</si>
  <si>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</si>
  <si>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</si>
  <si>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</si>
  <si>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</si>
  <si>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</si>
  <si>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</si>
  <si>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</si>
  <si>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</si>
  <si>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</si>
  <si>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</si>
  <si>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</si>
  <si>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</si>
  <si>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</si>
  <si>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</si>
  <si>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</si>
  <si>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</si>
  <si>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</si>
  <si>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</si>
  <si>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</si>
  <si>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</si>
  <si>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</si>
  <si>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</si>
  <si>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</si>
  <si>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</si>
  <si>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</si>
  <si>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</si>
  <si>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</si>
  <si>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</si>
  <si>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</si>
  <si>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</si>
  <si>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</si>
  <si>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</si>
  <si>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</si>
  <si>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</si>
  <si>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610000000000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</si>
  <si>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</si>
  <si>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</si>
  <si>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</si>
  <si>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</si>
  <si>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</si>
  <si>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620000000000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</si>
  <si>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</si>
  <si>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</si>
  <si>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</si>
  <si>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</si>
  <si>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</si>
  <si>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630000000000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</si>
  <si>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</si>
  <si>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</si>
  <si>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</si>
  <si>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</si>
  <si>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</si>
  <si>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</si>
  <si>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</si>
  <si>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</si>
  <si>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</si>
  <si>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</si>
  <si>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650000000000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</si>
</sst>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A118" workbookViewId="0">
      <selection activeCell="I146" sqref="I146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52.5" style="3" customWidth="1"/>
    <col min="8" max="8" width="52.1666666666667" style="3" customWidth="1"/>
    <col min="9" max="9" width="67.75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32</v>
      </c>
      <c r="Q5" s="5" t="s">
        <v>33</v>
      </c>
      <c r="R5" s="5" t="s">
        <v>33</v>
      </c>
      <c r="S5" s="7" t="s">
        <v>34</v>
      </c>
      <c r="T5" s="7" t="s">
        <v>34</v>
      </c>
      <c r="U5" s="7" t="s">
        <v>30</v>
      </c>
    </row>
    <row r="6" s="1" customFormat="1" ht="11.5" spans="3:21">
      <c r="C6" s="1" t="s">
        <v>35</v>
      </c>
      <c r="D6" s="1" t="s">
        <v>36</v>
      </c>
      <c r="E6" s="1">
        <v>1</v>
      </c>
      <c r="F6" s="1" t="s">
        <v>37</v>
      </c>
      <c r="G6" s="11" t="s">
        <v>38</v>
      </c>
      <c r="H6" s="11" t="s">
        <v>39</v>
      </c>
      <c r="I6" s="11" t="s">
        <v>40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35</v>
      </c>
      <c r="R6" s="1" t="s">
        <v>35</v>
      </c>
      <c r="T6" s="1" t="s">
        <v>41</v>
      </c>
      <c r="U6" s="1">
        <v>-1</v>
      </c>
    </row>
    <row r="7" customHeight="1" spans="3:22">
      <c r="C7" s="1" t="s">
        <v>42</v>
      </c>
      <c r="D7" s="1" t="s">
        <v>43</v>
      </c>
      <c r="E7" s="1">
        <v>1</v>
      </c>
      <c r="F7" s="1" t="s">
        <v>44</v>
      </c>
      <c r="G7" s="1" t="s">
        <v>45</v>
      </c>
      <c r="H7" s="1" t="s">
        <v>46</v>
      </c>
      <c r="I7" s="1" t="s">
        <v>47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48</v>
      </c>
      <c r="R7" s="1" t="s">
        <v>48</v>
      </c>
      <c r="T7" s="1" t="s">
        <v>49</v>
      </c>
      <c r="U7" s="1">
        <v>-1</v>
      </c>
      <c r="V7" s="1"/>
    </row>
    <row r="8" customHeight="1" spans="3:22">
      <c r="C8" s="1" t="s">
        <v>50</v>
      </c>
      <c r="D8" s="1" t="s">
        <v>51</v>
      </c>
      <c r="E8" s="1">
        <v>1</v>
      </c>
      <c r="F8" s="1" t="s">
        <v>52</v>
      </c>
      <c r="G8" s="1" t="s">
        <v>35</v>
      </c>
      <c r="H8" s="1" t="s">
        <v>53</v>
      </c>
      <c r="I8" s="1" t="s">
        <v>54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55</v>
      </c>
      <c r="R8" s="1" t="s">
        <v>55</v>
      </c>
      <c r="T8" s="1" t="s">
        <v>56</v>
      </c>
      <c r="U8" s="1">
        <v>-1</v>
      </c>
      <c r="V8" s="1"/>
    </row>
    <row r="9" customHeight="1" spans="3:22">
      <c r="C9" s="1" t="s">
        <v>57</v>
      </c>
      <c r="D9" s="1" t="s">
        <v>58</v>
      </c>
      <c r="E9" s="1">
        <v>1</v>
      </c>
      <c r="F9" s="1" t="s">
        <v>59</v>
      </c>
      <c r="G9" s="1" t="s">
        <v>60</v>
      </c>
      <c r="H9" s="1" t="s">
        <v>61</v>
      </c>
      <c r="I9" s="1" t="s">
        <v>62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63</v>
      </c>
      <c r="R9" s="1" t="s">
        <v>63</v>
      </c>
      <c r="T9" s="1" t="s">
        <v>64</v>
      </c>
      <c r="U9" s="1">
        <v>0</v>
      </c>
      <c r="V9" s="1"/>
    </row>
    <row r="10" customHeight="1" spans="3:22">
      <c r="C10" s="1" t="s">
        <v>65</v>
      </c>
      <c r="D10" s="1" t="s">
        <v>66</v>
      </c>
      <c r="E10" s="1">
        <v>1</v>
      </c>
      <c r="F10" s="1" t="s">
        <v>67</v>
      </c>
      <c r="G10" s="1" t="s">
        <v>48</v>
      </c>
      <c r="H10" s="1" t="s">
        <v>35</v>
      </c>
      <c r="I10" s="1" t="s">
        <v>68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54</v>
      </c>
      <c r="R10" s="1" t="s">
        <v>54</v>
      </c>
      <c r="T10" s="1" t="s">
        <v>69</v>
      </c>
      <c r="U10" s="1">
        <v>0</v>
      </c>
      <c r="V10" s="1"/>
    </row>
    <row r="11" customHeight="1" spans="3:22">
      <c r="C11" s="1" t="s">
        <v>70</v>
      </c>
      <c r="D11" s="1" t="s">
        <v>71</v>
      </c>
      <c r="E11" s="1">
        <v>1</v>
      </c>
      <c r="F11" s="1" t="s">
        <v>72</v>
      </c>
      <c r="G11" s="1" t="s">
        <v>73</v>
      </c>
      <c r="H11" s="1" t="s">
        <v>74</v>
      </c>
      <c r="I11" s="1" t="s">
        <v>75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76</v>
      </c>
      <c r="R11" s="1" t="s">
        <v>76</v>
      </c>
      <c r="T11" s="1" t="s">
        <v>77</v>
      </c>
      <c r="U11" s="1">
        <v>0</v>
      </c>
      <c r="V11" s="1"/>
    </row>
    <row r="12" customHeight="1" spans="3:22">
      <c r="C12" s="1" t="s">
        <v>78</v>
      </c>
      <c r="D12" s="1" t="s">
        <v>79</v>
      </c>
      <c r="E12" s="1">
        <v>1</v>
      </c>
      <c r="F12" s="1" t="s">
        <v>80</v>
      </c>
      <c r="G12" s="1" t="s">
        <v>81</v>
      </c>
      <c r="H12" s="1" t="s">
        <v>82</v>
      </c>
      <c r="I12" s="1" t="s">
        <v>83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84</v>
      </c>
      <c r="R12" s="1" t="s">
        <v>84</v>
      </c>
      <c r="T12" s="1" t="s">
        <v>85</v>
      </c>
      <c r="U12" s="1">
        <v>0</v>
      </c>
      <c r="V12" s="1"/>
    </row>
    <row r="13" customHeight="1" spans="3:22">
      <c r="C13" s="1" t="s">
        <v>86</v>
      </c>
      <c r="D13" s="1" t="s">
        <v>87</v>
      </c>
      <c r="E13" s="1">
        <v>1</v>
      </c>
      <c r="F13" s="1" t="s">
        <v>88</v>
      </c>
      <c r="G13" s="1" t="s">
        <v>89</v>
      </c>
      <c r="H13" s="1" t="s">
        <v>90</v>
      </c>
      <c r="I13" s="1" t="s">
        <v>91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92</v>
      </c>
      <c r="R13" s="1" t="s">
        <v>92</v>
      </c>
      <c r="T13" s="1" t="s">
        <v>93</v>
      </c>
      <c r="U13" s="1">
        <v>0</v>
      </c>
      <c r="V13" s="1"/>
    </row>
    <row r="14" customHeight="1" spans="3:22">
      <c r="C14" s="1" t="s">
        <v>94</v>
      </c>
      <c r="D14" s="1" t="s">
        <v>95</v>
      </c>
      <c r="E14" s="1">
        <v>1</v>
      </c>
      <c r="F14" s="1" t="s">
        <v>96</v>
      </c>
      <c r="G14" s="1" t="s">
        <v>97</v>
      </c>
      <c r="H14" s="1" t="s">
        <v>98</v>
      </c>
      <c r="I14" s="1" t="s">
        <v>99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100</v>
      </c>
      <c r="R14" s="1" t="s">
        <v>100</v>
      </c>
      <c r="T14" s="1" t="s">
        <v>38</v>
      </c>
      <c r="U14" s="1">
        <v>0</v>
      </c>
      <c r="V14" s="1"/>
    </row>
    <row r="15" customHeight="1" spans="3:22">
      <c r="C15" s="1" t="s">
        <v>101</v>
      </c>
      <c r="D15" s="1" t="s">
        <v>102</v>
      </c>
      <c r="E15" s="1">
        <v>1</v>
      </c>
      <c r="F15" s="1" t="s">
        <v>103</v>
      </c>
      <c r="G15" s="1" t="s">
        <v>104</v>
      </c>
      <c r="H15" s="1" t="s">
        <v>105</v>
      </c>
      <c r="I15" s="1" t="s">
        <v>106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107</v>
      </c>
      <c r="R15" s="1" t="s">
        <v>107</v>
      </c>
      <c r="T15" s="1" t="s">
        <v>108</v>
      </c>
      <c r="U15" s="1">
        <v>0</v>
      </c>
      <c r="V15" s="1"/>
    </row>
    <row r="16" customHeight="1" spans="3:22">
      <c r="C16" s="1" t="s">
        <v>109</v>
      </c>
      <c r="D16" s="1" t="s">
        <v>110</v>
      </c>
      <c r="E16" s="1">
        <v>1</v>
      </c>
      <c r="F16" s="1" t="s">
        <v>111</v>
      </c>
      <c r="G16" s="1" t="s">
        <v>112</v>
      </c>
      <c r="H16" s="1" t="s">
        <v>113</v>
      </c>
      <c r="I16" s="1" t="s">
        <v>114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115</v>
      </c>
      <c r="R16" s="1" t="s">
        <v>115</v>
      </c>
      <c r="T16" s="1" t="s">
        <v>116</v>
      </c>
      <c r="U16" s="1">
        <v>0</v>
      </c>
      <c r="V16" s="1"/>
    </row>
    <row r="17" customHeight="1" spans="3:22">
      <c r="C17" s="1" t="s">
        <v>117</v>
      </c>
      <c r="D17" s="1" t="s">
        <v>118</v>
      </c>
      <c r="E17" s="1">
        <v>1</v>
      </c>
      <c r="F17" s="1" t="s">
        <v>119</v>
      </c>
      <c r="G17" s="1" t="s">
        <v>120</v>
      </c>
      <c r="H17" s="1" t="s">
        <v>121</v>
      </c>
      <c r="I17" s="1" t="s">
        <v>122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123</v>
      </c>
      <c r="R17" s="1" t="s">
        <v>123</v>
      </c>
      <c r="T17" s="1" t="s">
        <v>124</v>
      </c>
      <c r="U17" s="1">
        <v>0</v>
      </c>
      <c r="V17" s="1"/>
    </row>
    <row r="18" customHeight="1" spans="3:22">
      <c r="C18" s="1" t="s">
        <v>125</v>
      </c>
      <c r="D18" s="1" t="s">
        <v>126</v>
      </c>
      <c r="E18" s="1">
        <v>1</v>
      </c>
      <c r="F18" s="1" t="s">
        <v>127</v>
      </c>
      <c r="G18" s="1" t="s">
        <v>128</v>
      </c>
      <c r="H18" s="1" t="s">
        <v>129</v>
      </c>
      <c r="I18" s="1" t="s">
        <v>130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131</v>
      </c>
      <c r="R18" s="1" t="s">
        <v>131</v>
      </c>
      <c r="T18" s="1" t="s">
        <v>132</v>
      </c>
      <c r="U18" s="1">
        <v>0</v>
      </c>
      <c r="V18" s="1"/>
    </row>
    <row r="19" customHeight="1" spans="3:22">
      <c r="C19" s="1" t="s">
        <v>133</v>
      </c>
      <c r="D19" s="1" t="s">
        <v>134</v>
      </c>
      <c r="E19" s="1">
        <v>1</v>
      </c>
      <c r="F19" s="1" t="s">
        <v>135</v>
      </c>
      <c r="G19" s="1" t="s">
        <v>136</v>
      </c>
      <c r="H19" s="1" t="s">
        <v>137</v>
      </c>
      <c r="I19" s="1" t="s">
        <v>138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139</v>
      </c>
      <c r="R19" s="1" t="s">
        <v>139</v>
      </c>
      <c r="T19" s="1" t="s">
        <v>132</v>
      </c>
      <c r="U19" s="1">
        <v>0</v>
      </c>
      <c r="V19" s="1"/>
    </row>
    <row r="20" customHeight="1" spans="3:22">
      <c r="C20" s="1" t="s">
        <v>140</v>
      </c>
      <c r="D20" s="1" t="s">
        <v>141</v>
      </c>
      <c r="E20" s="1">
        <v>1</v>
      </c>
      <c r="F20" s="1" t="s">
        <v>142</v>
      </c>
      <c r="G20" s="1" t="s">
        <v>143</v>
      </c>
      <c r="H20" s="1" t="s">
        <v>144</v>
      </c>
      <c r="I20" s="1" t="s">
        <v>145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146</v>
      </c>
      <c r="R20" s="1" t="s">
        <v>146</v>
      </c>
      <c r="T20" s="1" t="s">
        <v>132</v>
      </c>
      <c r="U20" s="1">
        <v>0</v>
      </c>
      <c r="V20" s="1"/>
    </row>
    <row r="21" customHeight="1" spans="3:22">
      <c r="C21" s="1" t="s">
        <v>147</v>
      </c>
      <c r="D21" s="1" t="s">
        <v>148</v>
      </c>
      <c r="E21" s="1">
        <v>1</v>
      </c>
      <c r="F21" s="1" t="s">
        <v>149</v>
      </c>
      <c r="G21" s="1" t="s">
        <v>150</v>
      </c>
      <c r="H21" s="1" t="s">
        <v>151</v>
      </c>
      <c r="I21" s="1" t="s">
        <v>152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153</v>
      </c>
      <c r="R21" s="1" t="s">
        <v>153</v>
      </c>
      <c r="T21" s="1" t="s">
        <v>154</v>
      </c>
      <c r="U21" s="1">
        <v>0</v>
      </c>
      <c r="V21" s="1"/>
    </row>
    <row r="22" customHeight="1" spans="3:22">
      <c r="C22" s="1" t="s">
        <v>155</v>
      </c>
      <c r="D22" s="1" t="s">
        <v>156</v>
      </c>
      <c r="E22" s="1">
        <v>1</v>
      </c>
      <c r="F22" s="1" t="s">
        <v>157</v>
      </c>
      <c r="G22" s="1" t="s">
        <v>158</v>
      </c>
      <c r="H22" s="1" t="s">
        <v>159</v>
      </c>
      <c r="I22" s="1" t="s">
        <v>160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161</v>
      </c>
      <c r="R22" s="1" t="s">
        <v>161</v>
      </c>
      <c r="T22" s="1" t="s">
        <v>154</v>
      </c>
      <c r="U22" s="1">
        <v>0</v>
      </c>
      <c r="V22" s="1"/>
    </row>
    <row r="23" customHeight="1" spans="3:22">
      <c r="C23" s="1" t="s">
        <v>162</v>
      </c>
      <c r="D23" s="1" t="s">
        <v>163</v>
      </c>
      <c r="E23" s="1">
        <v>1</v>
      </c>
      <c r="F23" s="1" t="s">
        <v>164</v>
      </c>
      <c r="G23" s="1" t="s">
        <v>165</v>
      </c>
      <c r="H23" s="1" t="s">
        <v>166</v>
      </c>
      <c r="I23" s="1" t="s">
        <v>167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168</v>
      </c>
      <c r="R23" s="1" t="s">
        <v>168</v>
      </c>
      <c r="T23" s="1" t="s">
        <v>154</v>
      </c>
      <c r="U23" s="1">
        <v>0</v>
      </c>
      <c r="V23" s="1"/>
    </row>
    <row r="24" customHeight="1" spans="3:22">
      <c r="C24" s="1" t="s">
        <v>169</v>
      </c>
      <c r="D24" s="1" t="s">
        <v>170</v>
      </c>
      <c r="E24" s="1">
        <v>1</v>
      </c>
      <c r="F24" s="1" t="s">
        <v>171</v>
      </c>
      <c r="G24" s="1" t="s">
        <v>172</v>
      </c>
      <c r="H24" s="1" t="s">
        <v>173</v>
      </c>
      <c r="I24" s="1" t="s">
        <v>174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175</v>
      </c>
      <c r="R24" s="1" t="s">
        <v>175</v>
      </c>
      <c r="T24" s="1" t="s">
        <v>154</v>
      </c>
      <c r="U24" s="1">
        <v>0</v>
      </c>
      <c r="V24" s="1"/>
    </row>
    <row r="25" customHeight="1" spans="3:22">
      <c r="C25" s="1" t="s">
        <v>176</v>
      </c>
      <c r="D25" s="1" t="s">
        <v>177</v>
      </c>
      <c r="E25" s="1">
        <v>1</v>
      </c>
      <c r="F25" s="1" t="s">
        <v>178</v>
      </c>
      <c r="G25" s="1" t="s">
        <v>179</v>
      </c>
      <c r="H25" s="1" t="s">
        <v>180</v>
      </c>
      <c r="I25" s="1" t="s">
        <v>181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182</v>
      </c>
      <c r="R25" s="1" t="s">
        <v>182</v>
      </c>
      <c r="T25" s="1" t="s">
        <v>154</v>
      </c>
      <c r="U25" s="1">
        <v>0</v>
      </c>
      <c r="V25" s="1"/>
    </row>
    <row r="26" customHeight="1" spans="3:22">
      <c r="C26" s="1" t="s">
        <v>183</v>
      </c>
      <c r="D26" s="1" t="s">
        <v>184</v>
      </c>
      <c r="E26" s="1">
        <v>1</v>
      </c>
      <c r="F26" s="1" t="s">
        <v>185</v>
      </c>
      <c r="G26" s="1" t="s">
        <v>186</v>
      </c>
      <c r="H26" s="1" t="s">
        <v>187</v>
      </c>
      <c r="I26" s="1" t="s">
        <v>188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189</v>
      </c>
      <c r="R26" s="1" t="s">
        <v>189</v>
      </c>
      <c r="T26" s="1" t="s">
        <v>154</v>
      </c>
      <c r="U26" s="1">
        <v>0</v>
      </c>
      <c r="V26" s="1"/>
    </row>
    <row r="27" customHeight="1" spans="3:22">
      <c r="C27" s="1" t="s">
        <v>190</v>
      </c>
      <c r="D27" s="1" t="s">
        <v>191</v>
      </c>
      <c r="E27" s="1">
        <v>1</v>
      </c>
      <c r="F27" s="1" t="s">
        <v>192</v>
      </c>
      <c r="G27" s="1" t="s">
        <v>193</v>
      </c>
      <c r="H27" s="1" t="s">
        <v>194</v>
      </c>
      <c r="I27" s="1" t="s">
        <v>195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196</v>
      </c>
      <c r="R27" s="1" t="s">
        <v>196</v>
      </c>
      <c r="T27" s="1" t="s">
        <v>154</v>
      </c>
      <c r="U27" s="1">
        <v>0</v>
      </c>
      <c r="V27" s="1"/>
    </row>
    <row r="28" customHeight="1" spans="3:22">
      <c r="C28" s="1" t="s">
        <v>197</v>
      </c>
      <c r="D28" s="1" t="s">
        <v>198</v>
      </c>
      <c r="E28" s="1">
        <v>1</v>
      </c>
      <c r="F28" s="1" t="s">
        <v>199</v>
      </c>
      <c r="G28" s="1" t="s">
        <v>200</v>
      </c>
      <c r="H28" s="1" t="s">
        <v>201</v>
      </c>
      <c r="I28" s="1" t="s">
        <v>202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203</v>
      </c>
      <c r="R28" s="1" t="s">
        <v>203</v>
      </c>
      <c r="T28" s="1" t="s">
        <v>154</v>
      </c>
      <c r="U28" s="1">
        <v>0</v>
      </c>
      <c r="V28" s="1"/>
    </row>
    <row r="29" customHeight="1" spans="3:22">
      <c r="C29" s="1" t="s">
        <v>204</v>
      </c>
      <c r="D29" s="1" t="s">
        <v>205</v>
      </c>
      <c r="E29" s="1">
        <v>1</v>
      </c>
      <c r="F29" s="1" t="s">
        <v>206</v>
      </c>
      <c r="G29" s="1" t="s">
        <v>207</v>
      </c>
      <c r="H29" s="1" t="s">
        <v>208</v>
      </c>
      <c r="I29" s="1" t="s">
        <v>209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210</v>
      </c>
      <c r="R29" s="1" t="s">
        <v>210</v>
      </c>
      <c r="T29" s="1" t="s">
        <v>154</v>
      </c>
      <c r="U29" s="1">
        <v>0</v>
      </c>
      <c r="V29" s="1"/>
    </row>
    <row r="30" customHeight="1" spans="3:22">
      <c r="C30" s="1" t="s">
        <v>211</v>
      </c>
      <c r="D30" s="1" t="s">
        <v>212</v>
      </c>
      <c r="E30" s="1">
        <v>1</v>
      </c>
      <c r="F30" s="1" t="s">
        <v>213</v>
      </c>
      <c r="G30" s="1" t="s">
        <v>214</v>
      </c>
      <c r="H30" s="1" t="s">
        <v>215</v>
      </c>
      <c r="I30" s="1" t="s">
        <v>216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217</v>
      </c>
      <c r="R30" s="1" t="s">
        <v>217</v>
      </c>
      <c r="T30" s="1" t="s">
        <v>154</v>
      </c>
      <c r="U30" s="1">
        <v>0</v>
      </c>
      <c r="V30" s="1"/>
    </row>
    <row r="31" customHeight="1" spans="3:22">
      <c r="C31" s="1" t="s">
        <v>218</v>
      </c>
      <c r="D31" s="1" t="s">
        <v>219</v>
      </c>
      <c r="E31" s="1">
        <v>1</v>
      </c>
      <c r="F31" s="1" t="s">
        <v>220</v>
      </c>
      <c r="G31" s="1" t="s">
        <v>221</v>
      </c>
      <c r="H31" s="1" t="s">
        <v>222</v>
      </c>
      <c r="I31" s="1" t="s">
        <v>223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224</v>
      </c>
      <c r="R31" s="1" t="s">
        <v>224</v>
      </c>
      <c r="T31" s="1" t="s">
        <v>154</v>
      </c>
      <c r="U31" s="1">
        <v>0</v>
      </c>
      <c r="V31" s="1"/>
    </row>
    <row r="32" customHeight="1" spans="3:22">
      <c r="C32" s="1" t="s">
        <v>225</v>
      </c>
      <c r="D32" s="1" t="s">
        <v>226</v>
      </c>
      <c r="E32" s="1">
        <v>1</v>
      </c>
      <c r="F32" s="1" t="s">
        <v>227</v>
      </c>
      <c r="G32" s="1" t="s">
        <v>228</v>
      </c>
      <c r="H32" s="1" t="s">
        <v>229</v>
      </c>
      <c r="I32" s="1" t="s">
        <v>230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231</v>
      </c>
      <c r="R32" s="1" t="s">
        <v>231</v>
      </c>
      <c r="T32" s="1" t="s">
        <v>154</v>
      </c>
      <c r="U32" s="1">
        <v>0</v>
      </c>
      <c r="V32" s="1"/>
    </row>
    <row r="33" customHeight="1" spans="3:22">
      <c r="C33" s="1" t="s">
        <v>232</v>
      </c>
      <c r="D33" s="1" t="s">
        <v>233</v>
      </c>
      <c r="E33" s="1">
        <v>1</v>
      </c>
      <c r="F33" s="1" t="s">
        <v>234</v>
      </c>
      <c r="G33" s="1" t="s">
        <v>235</v>
      </c>
      <c r="H33" s="1" t="s">
        <v>236</v>
      </c>
      <c r="I33" s="1" t="s">
        <v>237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238</v>
      </c>
      <c r="R33" s="1" t="s">
        <v>238</v>
      </c>
      <c r="T33" s="1" t="s">
        <v>154</v>
      </c>
      <c r="U33" s="1">
        <v>0</v>
      </c>
      <c r="V33" s="1"/>
    </row>
    <row r="34" customHeight="1" spans="3:22">
      <c r="C34" s="1" t="s">
        <v>239</v>
      </c>
      <c r="D34" s="1" t="s">
        <v>240</v>
      </c>
      <c r="E34" s="1">
        <v>1</v>
      </c>
      <c r="F34" s="1" t="s">
        <v>241</v>
      </c>
      <c r="G34" s="1" t="s">
        <v>242</v>
      </c>
      <c r="H34" s="1" t="s">
        <v>243</v>
      </c>
      <c r="I34" s="1" t="s">
        <v>244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245</v>
      </c>
      <c r="R34" s="1" t="s">
        <v>245</v>
      </c>
      <c r="T34" s="1" t="s">
        <v>154</v>
      </c>
      <c r="U34" s="1">
        <v>0</v>
      </c>
      <c r="V34" s="1"/>
    </row>
    <row r="35" customHeight="1" spans="3:22">
      <c r="C35" s="1" t="s">
        <v>246</v>
      </c>
      <c r="D35" s="1" t="s">
        <v>247</v>
      </c>
      <c r="E35" s="1">
        <v>1</v>
      </c>
      <c r="F35" s="1" t="s">
        <v>248</v>
      </c>
      <c r="G35" s="1" t="s">
        <v>249</v>
      </c>
      <c r="H35" s="1" t="s">
        <v>250</v>
      </c>
      <c r="I35" s="1" t="s">
        <v>251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252</v>
      </c>
      <c r="R35" s="1" t="s">
        <v>252</v>
      </c>
      <c r="T35" s="1" t="s">
        <v>154</v>
      </c>
      <c r="U35" s="1">
        <v>0</v>
      </c>
      <c r="V35" s="1"/>
    </row>
    <row r="36" customHeight="1" spans="3:22">
      <c r="C36" s="1" t="s">
        <v>253</v>
      </c>
      <c r="D36" s="1" t="s">
        <v>254</v>
      </c>
      <c r="E36" s="1">
        <v>1</v>
      </c>
      <c r="F36" s="1" t="s">
        <v>255</v>
      </c>
      <c r="G36" s="1" t="s">
        <v>256</v>
      </c>
      <c r="H36" s="1" t="s">
        <v>257</v>
      </c>
      <c r="I36" s="1" t="s">
        <v>258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259</v>
      </c>
      <c r="R36" s="1" t="s">
        <v>259</v>
      </c>
      <c r="T36" s="1" t="s">
        <v>154</v>
      </c>
      <c r="U36" s="1">
        <v>0</v>
      </c>
      <c r="V36" s="1"/>
    </row>
    <row r="37" customHeight="1" spans="3:22">
      <c r="C37" s="1" t="s">
        <v>260</v>
      </c>
      <c r="D37" s="1" t="s">
        <v>261</v>
      </c>
      <c r="E37" s="1">
        <v>1</v>
      </c>
      <c r="F37" s="1" t="s">
        <v>262</v>
      </c>
      <c r="G37" s="1" t="s">
        <v>263</v>
      </c>
      <c r="H37" s="1" t="s">
        <v>264</v>
      </c>
      <c r="I37" s="1" t="s">
        <v>265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266</v>
      </c>
      <c r="R37" s="1" t="s">
        <v>266</v>
      </c>
      <c r="T37" s="1" t="s">
        <v>154</v>
      </c>
      <c r="U37" s="1">
        <v>0</v>
      </c>
      <c r="V37" s="1"/>
    </row>
    <row r="38" customHeight="1" spans="3:22">
      <c r="C38" s="1" t="s">
        <v>267</v>
      </c>
      <c r="D38" s="1" t="s">
        <v>268</v>
      </c>
      <c r="E38" s="1">
        <v>1</v>
      </c>
      <c r="F38" s="1" t="s">
        <v>269</v>
      </c>
      <c r="G38" s="1" t="s">
        <v>270</v>
      </c>
      <c r="H38" s="1" t="s">
        <v>271</v>
      </c>
      <c r="I38" s="1" t="s">
        <v>272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273</v>
      </c>
      <c r="R38" s="1" t="s">
        <v>273</v>
      </c>
      <c r="T38" s="1" t="s">
        <v>154</v>
      </c>
      <c r="U38" s="1">
        <v>0</v>
      </c>
      <c r="V38" s="1"/>
    </row>
    <row r="39" customHeight="1" spans="3:22">
      <c r="C39" s="1" t="s">
        <v>274</v>
      </c>
      <c r="D39" s="1" t="s">
        <v>275</v>
      </c>
      <c r="E39" s="1">
        <v>1</v>
      </c>
      <c r="F39" s="1" t="s">
        <v>276</v>
      </c>
      <c r="G39" s="1" t="s">
        <v>277</v>
      </c>
      <c r="H39" s="1" t="s">
        <v>278</v>
      </c>
      <c r="I39" s="1" t="s">
        <v>279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280</v>
      </c>
      <c r="R39" s="1" t="s">
        <v>280</v>
      </c>
      <c r="T39" s="1" t="s">
        <v>154</v>
      </c>
      <c r="U39" s="1">
        <v>0</v>
      </c>
      <c r="V39" s="1"/>
    </row>
    <row r="40" customHeight="1" spans="3:22">
      <c r="C40" s="1" t="s">
        <v>281</v>
      </c>
      <c r="D40" s="1" t="s">
        <v>282</v>
      </c>
      <c r="E40" s="1">
        <v>1</v>
      </c>
      <c r="F40" s="1" t="s">
        <v>283</v>
      </c>
      <c r="G40" s="11" t="s">
        <v>284</v>
      </c>
      <c r="H40" s="1" t="s">
        <v>285</v>
      </c>
      <c r="I40" s="1" t="s">
        <v>286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287</v>
      </c>
      <c r="R40" s="1" t="s">
        <v>287</v>
      </c>
      <c r="T40" s="1" t="s">
        <v>154</v>
      </c>
      <c r="U40" s="1">
        <v>0</v>
      </c>
      <c r="V40" s="1"/>
    </row>
    <row r="41" s="1" customFormat="1" customHeight="1" spans="1:21">
      <c r="A41" s="3"/>
      <c r="C41" s="1" t="s">
        <v>288</v>
      </c>
      <c r="D41" s="1" t="s">
        <v>289</v>
      </c>
      <c r="E41" s="1">
        <v>2</v>
      </c>
      <c r="F41" s="1" t="s">
        <v>290</v>
      </c>
      <c r="G41" s="1" t="s">
        <v>291</v>
      </c>
      <c r="H41" s="1" t="s">
        <v>292</v>
      </c>
      <c r="I41" s="1" t="s">
        <v>293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294</v>
      </c>
      <c r="R41" s="1" t="s">
        <v>294</v>
      </c>
      <c r="T41" s="1" t="s">
        <v>154</v>
      </c>
      <c r="U41" s="1">
        <v>0</v>
      </c>
    </row>
    <row r="42" s="1" customFormat="1" customHeight="1" spans="1:21">
      <c r="A42" s="3"/>
      <c r="C42" s="1" t="s">
        <v>295</v>
      </c>
      <c r="D42" s="1" t="s">
        <v>296</v>
      </c>
      <c r="E42" s="1">
        <v>2</v>
      </c>
      <c r="F42" s="1" t="s">
        <v>297</v>
      </c>
      <c r="G42" s="1" t="s">
        <v>298</v>
      </c>
      <c r="H42" s="1" t="s">
        <v>299</v>
      </c>
      <c r="I42" s="1" t="s">
        <v>300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301</v>
      </c>
      <c r="R42" s="1" t="s">
        <v>301</v>
      </c>
      <c r="T42" s="1" t="s">
        <v>154</v>
      </c>
      <c r="U42" s="1">
        <v>0</v>
      </c>
    </row>
    <row r="43" s="1" customFormat="1" customHeight="1" spans="1:21">
      <c r="A43" s="3"/>
      <c r="C43" s="1" t="s">
        <v>302</v>
      </c>
      <c r="D43" s="1" t="s">
        <v>303</v>
      </c>
      <c r="E43" s="1">
        <v>2</v>
      </c>
      <c r="F43" s="1" t="s">
        <v>304</v>
      </c>
      <c r="G43" s="1" t="s">
        <v>305</v>
      </c>
      <c r="H43" s="1" t="s">
        <v>306</v>
      </c>
      <c r="I43" s="1" t="s">
        <v>307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308</v>
      </c>
      <c r="R43" s="1" t="s">
        <v>308</v>
      </c>
      <c r="T43" s="1" t="s">
        <v>154</v>
      </c>
      <c r="U43" s="1">
        <v>0</v>
      </c>
    </row>
    <row r="44" s="1" customFormat="1" customHeight="1" spans="1:21">
      <c r="A44" s="3"/>
      <c r="C44" s="1" t="s">
        <v>309</v>
      </c>
      <c r="D44" s="1" t="s">
        <v>310</v>
      </c>
      <c r="E44" s="1">
        <v>2</v>
      </c>
      <c r="F44" s="1" t="s">
        <v>311</v>
      </c>
      <c r="G44" s="1" t="s">
        <v>312</v>
      </c>
      <c r="H44" s="1" t="s">
        <v>313</v>
      </c>
      <c r="I44" s="1" t="s">
        <v>314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315</v>
      </c>
      <c r="R44" s="1" t="s">
        <v>315</v>
      </c>
      <c r="T44" s="1" t="s">
        <v>154</v>
      </c>
      <c r="U44" s="1">
        <v>0</v>
      </c>
    </row>
    <row r="45" s="1" customFormat="1" customHeight="1" spans="1:21">
      <c r="A45" s="3"/>
      <c r="C45" s="1" t="s">
        <v>316</v>
      </c>
      <c r="D45" s="1" t="s">
        <v>317</v>
      </c>
      <c r="E45" s="1">
        <v>2</v>
      </c>
      <c r="F45" s="1" t="s">
        <v>318</v>
      </c>
      <c r="G45" s="1" t="s">
        <v>319</v>
      </c>
      <c r="H45" s="1" t="s">
        <v>320</v>
      </c>
      <c r="I45" s="1" t="s">
        <v>321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322</v>
      </c>
      <c r="R45" s="1" t="s">
        <v>322</v>
      </c>
      <c r="T45" s="1" t="s">
        <v>154</v>
      </c>
      <c r="U45" s="1">
        <v>0</v>
      </c>
    </row>
    <row r="46" s="1" customFormat="1" customHeight="1" spans="1:23">
      <c r="A46" s="3"/>
      <c r="C46" s="1" t="s">
        <v>323</v>
      </c>
      <c r="D46" s="1" t="s">
        <v>324</v>
      </c>
      <c r="E46" s="1">
        <v>2</v>
      </c>
      <c r="F46" s="1" t="s">
        <v>325</v>
      </c>
      <c r="G46" s="1" t="s">
        <v>326</v>
      </c>
      <c r="H46" s="1" t="s">
        <v>327</v>
      </c>
      <c r="I46" s="1" t="s">
        <v>328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329</v>
      </c>
      <c r="R46" s="1" t="s">
        <v>329</v>
      </c>
      <c r="T46" s="1" t="s">
        <v>154</v>
      </c>
      <c r="U46" s="1">
        <v>0</v>
      </c>
      <c r="V46" s="3"/>
      <c r="W46" s="3"/>
    </row>
    <row r="47" s="1" customFormat="1" customHeight="1" spans="1:23">
      <c r="A47" s="3"/>
      <c r="C47" s="1" t="s">
        <v>330</v>
      </c>
      <c r="D47" s="1" t="s">
        <v>331</v>
      </c>
      <c r="E47" s="1">
        <v>2</v>
      </c>
      <c r="F47" s="1" t="s">
        <v>332</v>
      </c>
      <c r="G47" s="1" t="s">
        <v>333</v>
      </c>
      <c r="H47" s="1" t="s">
        <v>334</v>
      </c>
      <c r="I47" s="1" t="s">
        <v>335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336</v>
      </c>
      <c r="R47" s="1" t="s">
        <v>336</v>
      </c>
      <c r="T47" s="1" t="s">
        <v>154</v>
      </c>
      <c r="U47" s="1">
        <v>0</v>
      </c>
      <c r="V47" s="3"/>
      <c r="W47" s="3"/>
    </row>
    <row r="48" s="1" customFormat="1" customHeight="1" spans="1:23">
      <c r="A48" s="3"/>
      <c r="C48" s="1" t="s">
        <v>337</v>
      </c>
      <c r="D48" s="1" t="s">
        <v>338</v>
      </c>
      <c r="E48" s="1">
        <v>2</v>
      </c>
      <c r="F48" s="1" t="s">
        <v>339</v>
      </c>
      <c r="G48" s="1" t="s">
        <v>340</v>
      </c>
      <c r="H48" s="1" t="s">
        <v>341</v>
      </c>
      <c r="I48" s="1" t="s">
        <v>342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343</v>
      </c>
      <c r="R48" s="1" t="s">
        <v>343</v>
      </c>
      <c r="T48" s="1" t="s">
        <v>154</v>
      </c>
      <c r="U48" s="1">
        <v>0</v>
      </c>
      <c r="V48" s="3"/>
      <c r="W48" s="3"/>
    </row>
    <row r="49" s="1" customFormat="1" customHeight="1" spans="1:23">
      <c r="A49" s="3"/>
      <c r="C49" s="1" t="s">
        <v>344</v>
      </c>
      <c r="D49" s="1" t="s">
        <v>345</v>
      </c>
      <c r="E49" s="1">
        <v>2</v>
      </c>
      <c r="F49" s="1" t="s">
        <v>346</v>
      </c>
      <c r="G49" s="1" t="s">
        <v>347</v>
      </c>
      <c r="H49" s="1" t="s">
        <v>348</v>
      </c>
      <c r="I49" s="1" t="s">
        <v>349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350</v>
      </c>
      <c r="R49" s="1" t="s">
        <v>350</v>
      </c>
      <c r="T49" s="1" t="s">
        <v>154</v>
      </c>
      <c r="U49" s="1">
        <v>0</v>
      </c>
      <c r="V49" s="3"/>
      <c r="W49" s="3"/>
    </row>
    <row r="50" s="1" customFormat="1" customHeight="1" spans="1:23">
      <c r="A50" s="3"/>
      <c r="C50" s="1" t="s">
        <v>351</v>
      </c>
      <c r="D50" s="1" t="s">
        <v>352</v>
      </c>
      <c r="E50" s="1">
        <v>2</v>
      </c>
      <c r="F50" s="1" t="s">
        <v>353</v>
      </c>
      <c r="G50" s="1" t="s">
        <v>354</v>
      </c>
      <c r="H50" s="1" t="s">
        <v>355</v>
      </c>
      <c r="I50" s="1" t="s">
        <v>356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357</v>
      </c>
      <c r="R50" s="1" t="s">
        <v>357</v>
      </c>
      <c r="T50" s="1" t="s">
        <v>154</v>
      </c>
      <c r="U50" s="1">
        <v>0</v>
      </c>
      <c r="V50" s="3"/>
      <c r="W50" s="3"/>
    </row>
    <row r="51" s="1" customFormat="1" customHeight="1" spans="1:23">
      <c r="A51" s="3"/>
      <c r="C51" s="1" t="s">
        <v>358</v>
      </c>
      <c r="D51" s="1" t="s">
        <v>359</v>
      </c>
      <c r="E51" s="1">
        <v>2</v>
      </c>
      <c r="F51" s="1" t="s">
        <v>360</v>
      </c>
      <c r="G51" s="1" t="s">
        <v>361</v>
      </c>
      <c r="H51" s="1" t="s">
        <v>362</v>
      </c>
      <c r="I51" s="1" t="s">
        <v>363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364</v>
      </c>
      <c r="R51" s="1" t="s">
        <v>364</v>
      </c>
      <c r="T51" s="1" t="s">
        <v>154</v>
      </c>
      <c r="U51" s="1">
        <v>0</v>
      </c>
      <c r="V51" s="3"/>
      <c r="W51" s="3"/>
    </row>
    <row r="52" s="1" customFormat="1" customHeight="1" spans="1:23">
      <c r="A52" s="3"/>
      <c r="C52" s="1" t="s">
        <v>365</v>
      </c>
      <c r="D52" s="1" t="s">
        <v>366</v>
      </c>
      <c r="E52" s="1">
        <v>2</v>
      </c>
      <c r="F52" s="1" t="s">
        <v>367</v>
      </c>
      <c r="G52" s="1" t="s">
        <v>368</v>
      </c>
      <c r="H52" s="1" t="s">
        <v>369</v>
      </c>
      <c r="I52" s="1" t="s">
        <v>370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371</v>
      </c>
      <c r="R52" s="1" t="s">
        <v>371</v>
      </c>
      <c r="T52" s="1" t="s">
        <v>154</v>
      </c>
      <c r="U52" s="1">
        <v>0</v>
      </c>
      <c r="V52" s="3"/>
      <c r="W52" s="3"/>
    </row>
    <row r="53" s="1" customFormat="1" customHeight="1" spans="1:23">
      <c r="A53" s="3"/>
      <c r="C53" s="1" t="s">
        <v>372</v>
      </c>
      <c r="D53" s="1" t="s">
        <v>373</v>
      </c>
      <c r="E53" s="1">
        <v>2</v>
      </c>
      <c r="F53" s="1" t="s">
        <v>374</v>
      </c>
      <c r="G53" s="1" t="s">
        <v>375</v>
      </c>
      <c r="H53" s="1" t="s">
        <v>376</v>
      </c>
      <c r="I53" s="1" t="s">
        <v>377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378</v>
      </c>
      <c r="R53" s="1" t="s">
        <v>378</v>
      </c>
      <c r="T53" s="1" t="s">
        <v>154</v>
      </c>
      <c r="U53" s="1">
        <v>0</v>
      </c>
      <c r="V53" s="3"/>
      <c r="W53" s="3"/>
    </row>
    <row r="54" s="1" customFormat="1" customHeight="1" spans="1:23">
      <c r="A54" s="3"/>
      <c r="C54" s="1" t="s">
        <v>379</v>
      </c>
      <c r="D54" s="1" t="s">
        <v>380</v>
      </c>
      <c r="E54" s="1">
        <v>2</v>
      </c>
      <c r="F54" s="1" t="s">
        <v>381</v>
      </c>
      <c r="G54" s="1" t="s">
        <v>382</v>
      </c>
      <c r="H54" s="1" t="s">
        <v>383</v>
      </c>
      <c r="I54" s="1" t="s">
        <v>384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385</v>
      </c>
      <c r="R54" s="1" t="s">
        <v>385</v>
      </c>
      <c r="T54" s="1" t="s">
        <v>154</v>
      </c>
      <c r="U54" s="1">
        <v>0</v>
      </c>
      <c r="V54" s="3"/>
      <c r="W54" s="3"/>
    </row>
    <row r="55" s="1" customFormat="1" customHeight="1" spans="1:23">
      <c r="A55" s="3"/>
      <c r="C55" s="1" t="s">
        <v>386</v>
      </c>
      <c r="D55" s="1" t="s">
        <v>387</v>
      </c>
      <c r="E55" s="1">
        <v>2</v>
      </c>
      <c r="F55" s="1" t="s">
        <v>388</v>
      </c>
      <c r="G55" s="1" t="s">
        <v>389</v>
      </c>
      <c r="H55" s="1" t="s">
        <v>390</v>
      </c>
      <c r="I55" s="1" t="s">
        <v>391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392</v>
      </c>
      <c r="R55" s="1" t="s">
        <v>392</v>
      </c>
      <c r="T55" s="1" t="s">
        <v>154</v>
      </c>
      <c r="U55" s="1">
        <v>0</v>
      </c>
      <c r="V55" s="3"/>
      <c r="W55" s="3"/>
    </row>
    <row r="56" s="1" customFormat="1" customHeight="1" spans="1:23">
      <c r="A56" s="3"/>
      <c r="C56" s="1" t="s">
        <v>393</v>
      </c>
      <c r="D56" s="1" t="s">
        <v>394</v>
      </c>
      <c r="E56" s="1">
        <v>2</v>
      </c>
      <c r="F56" s="1" t="s">
        <v>395</v>
      </c>
      <c r="G56" s="1" t="s">
        <v>396</v>
      </c>
      <c r="H56" s="1" t="s">
        <v>397</v>
      </c>
      <c r="I56" s="1" t="s">
        <v>398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399</v>
      </c>
      <c r="R56" s="1" t="s">
        <v>399</v>
      </c>
      <c r="T56" s="1" t="s">
        <v>154</v>
      </c>
      <c r="U56" s="1">
        <v>0</v>
      </c>
      <c r="V56" s="3"/>
      <c r="W56" s="3"/>
    </row>
    <row r="57" s="1" customFormat="1" customHeight="1" spans="1:23">
      <c r="A57" s="3"/>
      <c r="C57" s="1" t="s">
        <v>400</v>
      </c>
      <c r="D57" s="1" t="s">
        <v>401</v>
      </c>
      <c r="E57" s="1">
        <v>2</v>
      </c>
      <c r="F57" s="1" t="s">
        <v>402</v>
      </c>
      <c r="G57" s="1" t="s">
        <v>403</v>
      </c>
      <c r="H57" s="1" t="s">
        <v>404</v>
      </c>
      <c r="I57" s="1" t="s">
        <v>405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406</v>
      </c>
      <c r="R57" s="1" t="s">
        <v>406</v>
      </c>
      <c r="T57" s="1" t="s">
        <v>154</v>
      </c>
      <c r="U57" s="1">
        <v>0</v>
      </c>
      <c r="V57" s="3"/>
      <c r="W57" s="3"/>
    </row>
    <row r="58" s="1" customFormat="1" customHeight="1" spans="1:23">
      <c r="A58" s="3"/>
      <c r="C58" s="1" t="s">
        <v>407</v>
      </c>
      <c r="D58" s="1" t="s">
        <v>408</v>
      </c>
      <c r="E58" s="1">
        <v>2</v>
      </c>
      <c r="F58" s="1" t="s">
        <v>409</v>
      </c>
      <c r="G58" s="1" t="s">
        <v>410</v>
      </c>
      <c r="H58" s="1" t="s">
        <v>411</v>
      </c>
      <c r="I58" s="1" t="s">
        <v>412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413</v>
      </c>
      <c r="R58" s="1" t="s">
        <v>413</v>
      </c>
      <c r="T58" s="1" t="s">
        <v>154</v>
      </c>
      <c r="U58" s="1">
        <v>0</v>
      </c>
      <c r="V58" s="3"/>
      <c r="W58" s="3"/>
    </row>
    <row r="59" s="1" customFormat="1" customHeight="1" spans="1:23">
      <c r="A59" s="3"/>
      <c r="C59" s="1" t="s">
        <v>414</v>
      </c>
      <c r="D59" s="1" t="s">
        <v>415</v>
      </c>
      <c r="E59" s="1">
        <v>2</v>
      </c>
      <c r="F59" s="1" t="s">
        <v>416</v>
      </c>
      <c r="G59" s="1" t="s">
        <v>417</v>
      </c>
      <c r="H59" s="1" t="s">
        <v>418</v>
      </c>
      <c r="I59" s="1" t="s">
        <v>419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420</v>
      </c>
      <c r="R59" s="1" t="s">
        <v>420</v>
      </c>
      <c r="T59" s="1" t="s">
        <v>154</v>
      </c>
      <c r="U59" s="1">
        <v>0</v>
      </c>
      <c r="V59" s="3"/>
      <c r="W59" s="3"/>
    </row>
    <row r="60" s="1" customFormat="1" customHeight="1" spans="1:23">
      <c r="A60" s="3"/>
      <c r="C60" s="1" t="s">
        <v>421</v>
      </c>
      <c r="D60" s="1" t="s">
        <v>422</v>
      </c>
      <c r="E60" s="1">
        <v>2</v>
      </c>
      <c r="F60" s="1" t="s">
        <v>423</v>
      </c>
      <c r="G60" s="1" t="s">
        <v>424</v>
      </c>
      <c r="H60" s="1" t="s">
        <v>425</v>
      </c>
      <c r="I60" s="1" t="s">
        <v>426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427</v>
      </c>
      <c r="R60" s="1" t="s">
        <v>427</v>
      </c>
      <c r="T60" s="1" t="s">
        <v>154</v>
      </c>
      <c r="U60" s="1">
        <v>0</v>
      </c>
      <c r="V60" s="3"/>
      <c r="W60" s="3"/>
    </row>
    <row r="61" s="1" customFormat="1" customHeight="1" spans="1:23">
      <c r="A61" s="3"/>
      <c r="C61" s="1" t="s">
        <v>428</v>
      </c>
      <c r="D61" s="1" t="s">
        <v>429</v>
      </c>
      <c r="E61" s="1">
        <v>2</v>
      </c>
      <c r="F61" s="1" t="s">
        <v>430</v>
      </c>
      <c r="G61" s="1" t="s">
        <v>431</v>
      </c>
      <c r="H61" s="1" t="s">
        <v>432</v>
      </c>
      <c r="I61" s="1" t="s">
        <v>433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434</v>
      </c>
      <c r="R61" s="1" t="s">
        <v>434</v>
      </c>
      <c r="T61" s="1" t="s">
        <v>154</v>
      </c>
      <c r="U61" s="1">
        <v>0</v>
      </c>
      <c r="V61" s="3"/>
      <c r="W61" s="3"/>
    </row>
    <row r="62" s="1" customFormat="1" customHeight="1" spans="1:23">
      <c r="A62" s="3"/>
      <c r="C62" s="1" t="s">
        <v>435</v>
      </c>
      <c r="D62" s="1" t="s">
        <v>436</v>
      </c>
      <c r="E62" s="1">
        <v>2</v>
      </c>
      <c r="F62" s="1" t="s">
        <v>437</v>
      </c>
      <c r="G62" s="1" t="s">
        <v>438</v>
      </c>
      <c r="H62" s="1" t="s">
        <v>439</v>
      </c>
      <c r="I62" s="1" t="s">
        <v>440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441</v>
      </c>
      <c r="R62" s="1" t="s">
        <v>441</v>
      </c>
      <c r="T62" s="1" t="s">
        <v>154</v>
      </c>
      <c r="U62" s="1">
        <v>0</v>
      </c>
      <c r="V62" s="3"/>
      <c r="W62" s="3"/>
    </row>
    <row r="63" s="1" customFormat="1" customHeight="1" spans="1:23">
      <c r="A63" s="3"/>
      <c r="C63" s="1" t="s">
        <v>442</v>
      </c>
      <c r="D63" s="1" t="s">
        <v>443</v>
      </c>
      <c r="E63" s="1">
        <v>2</v>
      </c>
      <c r="F63" s="1" t="s">
        <v>444</v>
      </c>
      <c r="G63" s="1" t="s">
        <v>445</v>
      </c>
      <c r="H63" s="1" t="s">
        <v>446</v>
      </c>
      <c r="I63" s="1" t="s">
        <v>447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448</v>
      </c>
      <c r="R63" s="1" t="s">
        <v>448</v>
      </c>
      <c r="T63" s="1" t="s">
        <v>154</v>
      </c>
      <c r="U63" s="1">
        <v>0</v>
      </c>
      <c r="V63" s="3"/>
      <c r="W63" s="3"/>
    </row>
    <row r="64" s="1" customFormat="1" customHeight="1" spans="1:23">
      <c r="A64" s="3"/>
      <c r="C64" s="1" t="s">
        <v>449</v>
      </c>
      <c r="D64" s="1" t="s">
        <v>450</v>
      </c>
      <c r="E64" s="1">
        <v>2</v>
      </c>
      <c r="F64" s="1" t="s">
        <v>451</v>
      </c>
      <c r="G64" s="1" t="s">
        <v>452</v>
      </c>
      <c r="H64" s="1" t="s">
        <v>453</v>
      </c>
      <c r="I64" s="1" t="s">
        <v>454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455</v>
      </c>
      <c r="R64" s="1" t="s">
        <v>455</v>
      </c>
      <c r="T64" s="1" t="s">
        <v>154</v>
      </c>
      <c r="U64" s="1">
        <v>0</v>
      </c>
      <c r="V64" s="3"/>
      <c r="W64" s="3"/>
    </row>
    <row r="65" s="1" customFormat="1" customHeight="1" spans="1:23">
      <c r="A65" s="3"/>
      <c r="C65" s="1" t="s">
        <v>456</v>
      </c>
      <c r="D65" s="1" t="s">
        <v>457</v>
      </c>
      <c r="E65" s="1">
        <v>2</v>
      </c>
      <c r="F65" s="1" t="s">
        <v>458</v>
      </c>
      <c r="G65" s="1" t="s">
        <v>459</v>
      </c>
      <c r="H65" s="1" t="s">
        <v>460</v>
      </c>
      <c r="I65" s="11" t="s">
        <v>461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462</v>
      </c>
      <c r="R65" s="1" t="s">
        <v>462</v>
      </c>
      <c r="T65" s="1" t="s">
        <v>154</v>
      </c>
      <c r="U65" s="1">
        <v>0</v>
      </c>
      <c r="V65" s="3"/>
      <c r="W65" s="3"/>
    </row>
    <row r="66" s="1" customFormat="1" customHeight="1" spans="1:23">
      <c r="A66" s="3"/>
      <c r="C66" s="1" t="s">
        <v>463</v>
      </c>
      <c r="D66" s="1" t="s">
        <v>464</v>
      </c>
      <c r="E66" s="1">
        <v>2</v>
      </c>
      <c r="F66" s="1" t="s">
        <v>465</v>
      </c>
      <c r="G66" s="1" t="s">
        <v>466</v>
      </c>
      <c r="H66" s="1" t="s">
        <v>467</v>
      </c>
      <c r="I66" s="11" t="s">
        <v>468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469</v>
      </c>
      <c r="R66" s="1" t="s">
        <v>469</v>
      </c>
      <c r="T66" s="1" t="s">
        <v>154</v>
      </c>
      <c r="U66" s="1">
        <v>0</v>
      </c>
      <c r="V66" s="3"/>
      <c r="W66" s="3"/>
    </row>
    <row r="67" s="1" customFormat="1" customHeight="1" spans="1:23">
      <c r="A67" s="3"/>
      <c r="C67" s="1" t="s">
        <v>470</v>
      </c>
      <c r="D67" s="1" t="s">
        <v>471</v>
      </c>
      <c r="E67" s="1">
        <v>2</v>
      </c>
      <c r="F67" s="1" t="s">
        <v>472</v>
      </c>
      <c r="G67" s="1" t="s">
        <v>473</v>
      </c>
      <c r="H67" s="1" t="s">
        <v>474</v>
      </c>
      <c r="I67" s="11" t="s">
        <v>475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476</v>
      </c>
      <c r="R67" s="1" t="s">
        <v>476</v>
      </c>
      <c r="T67" s="1" t="s">
        <v>154</v>
      </c>
      <c r="U67" s="1">
        <v>0</v>
      </c>
      <c r="V67" s="3"/>
      <c r="W67" s="3"/>
    </row>
    <row r="68" s="1" customFormat="1" customHeight="1" spans="1:23">
      <c r="A68" s="3"/>
      <c r="C68" s="1" t="s">
        <v>477</v>
      </c>
      <c r="D68" s="1" t="s">
        <v>478</v>
      </c>
      <c r="E68" s="1">
        <v>2</v>
      </c>
      <c r="F68" s="1" t="s">
        <v>479</v>
      </c>
      <c r="G68" s="1" t="s">
        <v>480</v>
      </c>
      <c r="H68" s="1" t="s">
        <v>481</v>
      </c>
      <c r="I68" s="11" t="s">
        <v>482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483</v>
      </c>
      <c r="R68" s="1" t="s">
        <v>483</v>
      </c>
      <c r="T68" s="1" t="s">
        <v>154</v>
      </c>
      <c r="U68" s="1">
        <v>0</v>
      </c>
      <c r="V68" s="3"/>
      <c r="W68" s="3"/>
    </row>
    <row r="69" s="1" customFormat="1" customHeight="1" spans="1:23">
      <c r="A69" s="3"/>
      <c r="C69" s="1" t="s">
        <v>484</v>
      </c>
      <c r="D69" s="1" t="s">
        <v>485</v>
      </c>
      <c r="E69" s="1">
        <v>2</v>
      </c>
      <c r="F69" s="1" t="s">
        <v>486</v>
      </c>
      <c r="G69" s="1" t="s">
        <v>487</v>
      </c>
      <c r="H69" s="1" t="s">
        <v>488</v>
      </c>
      <c r="I69" s="11" t="s">
        <v>489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490</v>
      </c>
      <c r="R69" s="1" t="s">
        <v>490</v>
      </c>
      <c r="T69" s="1" t="s">
        <v>154</v>
      </c>
      <c r="U69" s="1">
        <v>0</v>
      </c>
      <c r="V69" s="3"/>
      <c r="W69" s="3"/>
    </row>
    <row r="70" s="1" customFormat="1" customHeight="1" spans="1:23">
      <c r="A70" s="3"/>
      <c r="C70" s="1" t="s">
        <v>491</v>
      </c>
      <c r="D70" s="1" t="s">
        <v>492</v>
      </c>
      <c r="E70" s="1">
        <v>2</v>
      </c>
      <c r="F70" s="1" t="s">
        <v>493</v>
      </c>
      <c r="G70" s="1" t="s">
        <v>494</v>
      </c>
      <c r="H70" s="1" t="s">
        <v>495</v>
      </c>
      <c r="I70" s="11" t="s">
        <v>496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497</v>
      </c>
      <c r="R70" s="1" t="s">
        <v>497</v>
      </c>
      <c r="T70" s="1" t="s">
        <v>154</v>
      </c>
      <c r="U70" s="1">
        <v>0</v>
      </c>
      <c r="V70" s="3"/>
      <c r="W70" s="3"/>
    </row>
    <row r="71" s="1" customFormat="1" customHeight="1" spans="1:23">
      <c r="A71" s="3"/>
      <c r="C71" s="1" t="s">
        <v>498</v>
      </c>
      <c r="D71" s="1" t="s">
        <v>499</v>
      </c>
      <c r="E71" s="1">
        <v>2</v>
      </c>
      <c r="F71" s="1" t="s">
        <v>500</v>
      </c>
      <c r="G71" s="12" t="s">
        <v>501</v>
      </c>
      <c r="H71" s="11" t="s">
        <v>502</v>
      </c>
      <c r="I71" s="12" t="s">
        <v>503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504</v>
      </c>
      <c r="R71" s="1" t="s">
        <v>504</v>
      </c>
      <c r="T71" s="1" t="s">
        <v>154</v>
      </c>
      <c r="U71" s="1">
        <v>0</v>
      </c>
      <c r="V71" s="3"/>
      <c r="W71" s="3"/>
    </row>
    <row r="72" s="1" customFormat="1" customHeight="1" spans="1:23">
      <c r="A72" s="3"/>
      <c r="C72" s="1" t="s">
        <v>505</v>
      </c>
      <c r="D72" s="1" t="s">
        <v>506</v>
      </c>
      <c r="E72" s="1">
        <v>2</v>
      </c>
      <c r="F72" s="1" t="s">
        <v>507</v>
      </c>
      <c r="G72" s="12" t="s">
        <v>508</v>
      </c>
      <c r="H72" s="11" t="s">
        <v>509</v>
      </c>
      <c r="I72" s="13" t="s">
        <v>510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511</v>
      </c>
      <c r="R72" s="1" t="s">
        <v>511</v>
      </c>
      <c r="T72" s="1" t="s">
        <v>154</v>
      </c>
      <c r="U72" s="1">
        <v>0</v>
      </c>
      <c r="V72" s="3"/>
      <c r="W72" s="3"/>
    </row>
    <row r="73" s="1" customFormat="1" customHeight="1" spans="1:23">
      <c r="A73" s="3"/>
      <c r="C73" s="1" t="s">
        <v>512</v>
      </c>
      <c r="D73" s="1" t="s">
        <v>513</v>
      </c>
      <c r="E73" s="1">
        <v>2</v>
      </c>
      <c r="F73" s="1" t="s">
        <v>514</v>
      </c>
      <c r="G73" s="12" t="s">
        <v>515</v>
      </c>
      <c r="H73" s="11" t="s">
        <v>516</v>
      </c>
      <c r="I73" s="13" t="s">
        <v>517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518</v>
      </c>
      <c r="R73" s="1" t="s">
        <v>518</v>
      </c>
      <c r="T73" s="1" t="s">
        <v>154</v>
      </c>
      <c r="U73" s="1">
        <v>0</v>
      </c>
      <c r="V73" s="3"/>
      <c r="W73" s="3"/>
    </row>
    <row r="74" s="1" customFormat="1" customHeight="1" spans="1:23">
      <c r="A74" s="3"/>
      <c r="C74" s="1" t="s">
        <v>519</v>
      </c>
      <c r="D74" s="1" t="s">
        <v>520</v>
      </c>
      <c r="E74" s="1">
        <v>2</v>
      </c>
      <c r="F74" s="1" t="s">
        <v>521</v>
      </c>
      <c r="G74" s="12" t="s">
        <v>522</v>
      </c>
      <c r="H74" s="11" t="s">
        <v>523</v>
      </c>
      <c r="I74" s="13" t="s">
        <v>524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525</v>
      </c>
      <c r="R74" s="1" t="s">
        <v>525</v>
      </c>
      <c r="T74" s="1" t="s">
        <v>154</v>
      </c>
      <c r="U74" s="1">
        <v>0</v>
      </c>
      <c r="V74" s="3"/>
      <c r="W74" s="3"/>
    </row>
    <row r="75" s="1" customFormat="1" customHeight="1" spans="1:23">
      <c r="A75" s="3"/>
      <c r="C75" s="1" t="s">
        <v>526</v>
      </c>
      <c r="D75" s="1" t="s">
        <v>527</v>
      </c>
      <c r="E75" s="1">
        <v>2</v>
      </c>
      <c r="F75" s="1" t="s">
        <v>528</v>
      </c>
      <c r="G75" s="12" t="s">
        <v>529</v>
      </c>
      <c r="H75" s="11" t="s">
        <v>530</v>
      </c>
      <c r="I75" s="13" t="s">
        <v>531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532</v>
      </c>
      <c r="R75" s="11" t="s">
        <v>532</v>
      </c>
      <c r="T75" s="1" t="s">
        <v>154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533</v>
      </c>
      <c r="D76" s="1" t="s">
        <v>534</v>
      </c>
      <c r="E76" s="1">
        <v>3</v>
      </c>
      <c r="F76" s="1" t="s">
        <v>535</v>
      </c>
      <c r="G76" s="12" t="s">
        <v>536</v>
      </c>
      <c r="H76" s="11" t="s">
        <v>537</v>
      </c>
      <c r="I76" s="13" t="s">
        <v>538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154</v>
      </c>
      <c r="U76" s="1">
        <v>0</v>
      </c>
    </row>
    <row r="77" s="1" customFormat="1" customHeight="1" spans="1:21">
      <c r="A77" s="3"/>
      <c r="B77" s="3"/>
      <c r="C77" s="1" t="s">
        <v>539</v>
      </c>
      <c r="D77" s="1" t="s">
        <v>540</v>
      </c>
      <c r="E77" s="1">
        <v>3</v>
      </c>
      <c r="F77" s="1" t="s">
        <v>541</v>
      </c>
      <c r="G77" s="12" t="s">
        <v>542</v>
      </c>
      <c r="H77" s="11" t="s">
        <v>543</v>
      </c>
      <c r="I77" s="13" t="s">
        <v>544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154</v>
      </c>
      <c r="U77" s="1">
        <v>0</v>
      </c>
    </row>
    <row r="78" s="1" customFormat="1" customHeight="1" spans="1:21">
      <c r="A78" s="3"/>
      <c r="B78" s="3"/>
      <c r="C78" s="1" t="s">
        <v>545</v>
      </c>
      <c r="D78" s="1" t="s">
        <v>546</v>
      </c>
      <c r="E78" s="1">
        <v>3</v>
      </c>
      <c r="F78" s="1" t="s">
        <v>547</v>
      </c>
      <c r="G78" s="12" t="s">
        <v>548</v>
      </c>
      <c r="H78" s="11" t="s">
        <v>549</v>
      </c>
      <c r="I78" s="13" t="s">
        <v>550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154</v>
      </c>
      <c r="U78" s="1">
        <v>0</v>
      </c>
    </row>
    <row r="79" s="1" customFormat="1" customHeight="1" spans="1:21">
      <c r="A79" s="3"/>
      <c r="B79" s="3"/>
      <c r="C79" s="1" t="s">
        <v>551</v>
      </c>
      <c r="D79" s="1" t="s">
        <v>552</v>
      </c>
      <c r="E79" s="1">
        <v>3</v>
      </c>
      <c r="F79" s="1" t="s">
        <v>553</v>
      </c>
      <c r="G79" s="12" t="s">
        <v>554</v>
      </c>
      <c r="H79" s="11" t="s">
        <v>555</v>
      </c>
      <c r="I79" s="13" t="s">
        <v>556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154</v>
      </c>
      <c r="U79" s="1">
        <v>0</v>
      </c>
    </row>
    <row r="80" s="1" customFormat="1" customHeight="1" spans="1:21">
      <c r="A80" s="3"/>
      <c r="B80" s="3"/>
      <c r="C80" s="1" t="s">
        <v>557</v>
      </c>
      <c r="D80" s="1" t="s">
        <v>558</v>
      </c>
      <c r="E80" s="1">
        <v>3</v>
      </c>
      <c r="F80" s="1" t="s">
        <v>559</v>
      </c>
      <c r="G80" s="12" t="s">
        <v>560</v>
      </c>
      <c r="H80" s="11" t="s">
        <v>561</v>
      </c>
      <c r="I80" s="13" t="s">
        <v>562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154</v>
      </c>
      <c r="U80" s="1">
        <v>0</v>
      </c>
    </row>
    <row r="81" s="1" customFormat="1" customHeight="1" spans="1:23">
      <c r="A81" s="3"/>
      <c r="B81" s="3"/>
      <c r="C81" s="1" t="s">
        <v>563</v>
      </c>
      <c r="D81" s="1" t="s">
        <v>564</v>
      </c>
      <c r="E81" s="1">
        <v>3</v>
      </c>
      <c r="F81" s="1" t="s">
        <v>565</v>
      </c>
      <c r="G81" s="12" t="s">
        <v>566</v>
      </c>
      <c r="H81" s="11" t="s">
        <v>567</v>
      </c>
      <c r="I81" s="13" t="s">
        <v>568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154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569</v>
      </c>
      <c r="D82" s="1" t="s">
        <v>570</v>
      </c>
      <c r="E82" s="1">
        <v>3</v>
      </c>
      <c r="F82" s="1" t="s">
        <v>571</v>
      </c>
      <c r="G82" s="12" t="s">
        <v>572</v>
      </c>
      <c r="H82" s="11" t="s">
        <v>573</v>
      </c>
      <c r="I82" s="13" t="s">
        <v>574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154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575</v>
      </c>
      <c r="D83" s="1" t="s">
        <v>576</v>
      </c>
      <c r="E83" s="1">
        <v>3</v>
      </c>
      <c r="F83" s="1" t="s">
        <v>577</v>
      </c>
      <c r="G83" s="12" t="s">
        <v>578</v>
      </c>
      <c r="H83" s="11" t="s">
        <v>529</v>
      </c>
      <c r="I83" s="13" t="s">
        <v>579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154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580</v>
      </c>
      <c r="D84" s="1" t="s">
        <v>581</v>
      </c>
      <c r="E84" s="1">
        <v>3</v>
      </c>
      <c r="F84" s="1" t="s">
        <v>582</v>
      </c>
      <c r="G84" s="12" t="s">
        <v>583</v>
      </c>
      <c r="H84" s="11" t="s">
        <v>584</v>
      </c>
      <c r="I84" s="13" t="s">
        <v>585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154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586</v>
      </c>
      <c r="D85" s="1" t="s">
        <v>587</v>
      </c>
      <c r="E85" s="1">
        <v>3</v>
      </c>
      <c r="F85" s="1" t="s">
        <v>588</v>
      </c>
      <c r="G85" s="12" t="s">
        <v>461</v>
      </c>
      <c r="H85" s="11" t="s">
        <v>589</v>
      </c>
      <c r="I85" s="13" t="s">
        <v>590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154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591</v>
      </c>
      <c r="D86" s="1" t="s">
        <v>592</v>
      </c>
      <c r="E86" s="1">
        <v>3</v>
      </c>
      <c r="F86" s="1" t="s">
        <v>593</v>
      </c>
      <c r="G86" s="12" t="s">
        <v>594</v>
      </c>
      <c r="H86" s="11" t="s">
        <v>595</v>
      </c>
      <c r="I86" s="13" t="s">
        <v>596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154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597</v>
      </c>
      <c r="D87" s="1" t="s">
        <v>598</v>
      </c>
      <c r="E87" s="1">
        <v>3</v>
      </c>
      <c r="F87" s="1" t="s">
        <v>599</v>
      </c>
      <c r="G87" s="12" t="s">
        <v>600</v>
      </c>
      <c r="H87" s="11" t="s">
        <v>601</v>
      </c>
      <c r="I87" s="13" t="s">
        <v>602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154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603</v>
      </c>
      <c r="D88" s="1" t="s">
        <v>604</v>
      </c>
      <c r="E88" s="1">
        <v>3</v>
      </c>
      <c r="F88" s="1" t="s">
        <v>605</v>
      </c>
      <c r="G88" s="12" t="s">
        <v>606</v>
      </c>
      <c r="H88" s="11" t="s">
        <v>607</v>
      </c>
      <c r="I88" s="13" t="s">
        <v>608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154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609</v>
      </c>
      <c r="D89" s="1" t="s">
        <v>610</v>
      </c>
      <c r="E89" s="1">
        <v>3</v>
      </c>
      <c r="F89" s="1" t="s">
        <v>611</v>
      </c>
      <c r="G89" s="12" t="s">
        <v>612</v>
      </c>
      <c r="H89" s="11" t="s">
        <v>461</v>
      </c>
      <c r="I89" s="13" t="s">
        <v>613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154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614</v>
      </c>
      <c r="D90" s="1" t="s">
        <v>615</v>
      </c>
      <c r="E90" s="1">
        <v>3</v>
      </c>
      <c r="F90" s="1" t="s">
        <v>616</v>
      </c>
      <c r="G90" s="12" t="s">
        <v>617</v>
      </c>
      <c r="H90" s="11" t="s">
        <v>618</v>
      </c>
      <c r="I90" s="13" t="s">
        <v>619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620</v>
      </c>
      <c r="R90" s="11" t="s">
        <v>620</v>
      </c>
      <c r="T90" s="1" t="s">
        <v>154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621</v>
      </c>
      <c r="D91" s="1" t="s">
        <v>622</v>
      </c>
      <c r="E91" s="1">
        <v>3</v>
      </c>
      <c r="F91" s="1" t="s">
        <v>623</v>
      </c>
      <c r="G91" s="12" t="s">
        <v>510</v>
      </c>
      <c r="H91" s="11" t="s">
        <v>624</v>
      </c>
      <c r="I91" s="13" t="s">
        <v>625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626</v>
      </c>
      <c r="R91" s="11" t="s">
        <v>626</v>
      </c>
      <c r="T91" s="1" t="s">
        <v>154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627</v>
      </c>
      <c r="D92" s="1" t="s">
        <v>628</v>
      </c>
      <c r="E92" s="1">
        <v>3</v>
      </c>
      <c r="F92" s="1" t="s">
        <v>629</v>
      </c>
      <c r="G92" s="12" t="s">
        <v>630</v>
      </c>
      <c r="H92" s="11" t="s">
        <v>631</v>
      </c>
      <c r="I92" s="13" t="s">
        <v>632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633</v>
      </c>
      <c r="R92" s="11" t="s">
        <v>633</v>
      </c>
      <c r="T92" s="1" t="s">
        <v>154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634</v>
      </c>
      <c r="D93" s="1" t="s">
        <v>635</v>
      </c>
      <c r="E93" s="1">
        <v>3</v>
      </c>
      <c r="F93" s="1" t="s">
        <v>636</v>
      </c>
      <c r="G93" s="12" t="s">
        <v>637</v>
      </c>
      <c r="H93" s="11" t="s">
        <v>638</v>
      </c>
      <c r="I93" s="13" t="s">
        <v>639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640</v>
      </c>
      <c r="R93" s="11" t="s">
        <v>640</v>
      </c>
      <c r="T93" s="1" t="s">
        <v>154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641</v>
      </c>
      <c r="D94" s="1" t="s">
        <v>642</v>
      </c>
      <c r="E94" s="1">
        <v>3</v>
      </c>
      <c r="F94" s="1" t="s">
        <v>643</v>
      </c>
      <c r="G94" s="12" t="s">
        <v>644</v>
      </c>
      <c r="H94" s="11" t="s">
        <v>645</v>
      </c>
      <c r="I94" s="13" t="s">
        <v>646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647</v>
      </c>
      <c r="R94" s="11" t="s">
        <v>647</v>
      </c>
      <c r="T94" s="1" t="s">
        <v>154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648</v>
      </c>
      <c r="D95" s="1" t="s">
        <v>649</v>
      </c>
      <c r="E95" s="1">
        <v>3</v>
      </c>
      <c r="F95" s="1" t="s">
        <v>650</v>
      </c>
      <c r="G95" s="12" t="s">
        <v>651</v>
      </c>
      <c r="H95" s="11" t="s">
        <v>652</v>
      </c>
      <c r="I95" s="13" t="s">
        <v>653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654</v>
      </c>
      <c r="R95" s="11" t="s">
        <v>654</v>
      </c>
      <c r="T95" s="1" t="s">
        <v>154</v>
      </c>
      <c r="U95" s="1">
        <v>0</v>
      </c>
      <c r="V95" s="3"/>
      <c r="W95" s="3"/>
    </row>
    <row r="96" customHeight="1" spans="3:21">
      <c r="C96" s="1" t="s">
        <v>655</v>
      </c>
      <c r="D96" s="1" t="s">
        <v>656</v>
      </c>
      <c r="E96" s="1">
        <v>3</v>
      </c>
      <c r="F96" s="1" t="s">
        <v>657</v>
      </c>
      <c r="G96" s="12" t="s">
        <v>658</v>
      </c>
      <c r="H96" s="11" t="s">
        <v>659</v>
      </c>
      <c r="I96" s="13" t="s">
        <v>660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661</v>
      </c>
      <c r="R96" s="11" t="s">
        <v>661</v>
      </c>
      <c r="T96" s="1" t="s">
        <v>154</v>
      </c>
      <c r="U96" s="1">
        <v>0</v>
      </c>
    </row>
    <row r="97" customHeight="1" spans="3:21">
      <c r="C97" s="1" t="s">
        <v>662</v>
      </c>
      <c r="D97" s="1" t="s">
        <v>663</v>
      </c>
      <c r="E97" s="1">
        <v>3</v>
      </c>
      <c r="F97" s="1" t="s">
        <v>664</v>
      </c>
      <c r="G97" s="12" t="s">
        <v>665</v>
      </c>
      <c r="H97" s="11" t="s">
        <v>666</v>
      </c>
      <c r="I97" s="13" t="s">
        <v>667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668</v>
      </c>
      <c r="R97" s="11" t="s">
        <v>668</v>
      </c>
      <c r="T97" s="1" t="s">
        <v>154</v>
      </c>
      <c r="U97" s="1">
        <v>0</v>
      </c>
    </row>
    <row r="98" customHeight="1" spans="3:21">
      <c r="C98" s="1" t="s">
        <v>669</v>
      </c>
      <c r="D98" s="1" t="s">
        <v>670</v>
      </c>
      <c r="E98" s="1">
        <v>3</v>
      </c>
      <c r="F98" s="1" t="s">
        <v>671</v>
      </c>
      <c r="G98" s="12" t="s">
        <v>672</v>
      </c>
      <c r="H98" s="11" t="s">
        <v>673</v>
      </c>
      <c r="I98" s="13" t="s">
        <v>674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675</v>
      </c>
      <c r="R98" s="11" t="s">
        <v>675</v>
      </c>
      <c r="T98" s="1" t="s">
        <v>154</v>
      </c>
      <c r="U98" s="1">
        <v>0</v>
      </c>
    </row>
    <row r="99" customHeight="1" spans="3:21">
      <c r="C99" s="1" t="s">
        <v>676</v>
      </c>
      <c r="D99" s="1" t="s">
        <v>677</v>
      </c>
      <c r="E99" s="1">
        <v>3</v>
      </c>
      <c r="F99" s="1" t="s">
        <v>678</v>
      </c>
      <c r="G99" s="12" t="s">
        <v>679</v>
      </c>
      <c r="H99" s="11" t="s">
        <v>680</v>
      </c>
      <c r="I99" s="13" t="s">
        <v>681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682</v>
      </c>
      <c r="R99" s="11" t="s">
        <v>682</v>
      </c>
      <c r="T99" s="1" t="s">
        <v>154</v>
      </c>
      <c r="U99" s="1">
        <v>0</v>
      </c>
    </row>
    <row r="100" customHeight="1" spans="3:21">
      <c r="C100" s="1" t="s">
        <v>683</v>
      </c>
      <c r="D100" s="1" t="s">
        <v>684</v>
      </c>
      <c r="E100" s="1">
        <v>3</v>
      </c>
      <c r="F100" s="1" t="s">
        <v>458</v>
      </c>
      <c r="G100" s="12" t="s">
        <v>685</v>
      </c>
      <c r="H100" s="11" t="s">
        <v>686</v>
      </c>
      <c r="I100" s="13" t="s">
        <v>687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688</v>
      </c>
      <c r="R100" s="11" t="s">
        <v>688</v>
      </c>
      <c r="T100" s="1" t="s">
        <v>154</v>
      </c>
      <c r="U100" s="1">
        <v>0</v>
      </c>
    </row>
    <row r="101" s="1" customFormat="1" customHeight="1" spans="1:23">
      <c r="A101" s="3"/>
      <c r="B101" s="3"/>
      <c r="C101" s="1" t="s">
        <v>689</v>
      </c>
      <c r="D101" s="1" t="s">
        <v>690</v>
      </c>
      <c r="E101" s="1">
        <v>3</v>
      </c>
      <c r="F101" s="1" t="s">
        <v>691</v>
      </c>
      <c r="G101" s="12" t="s">
        <v>692</v>
      </c>
      <c r="H101" s="11" t="s">
        <v>693</v>
      </c>
      <c r="I101" s="13" t="s">
        <v>694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695</v>
      </c>
      <c r="R101" s="11" t="s">
        <v>695</v>
      </c>
      <c r="T101" s="1" t="s">
        <v>154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696</v>
      </c>
      <c r="D102" s="1" t="s">
        <v>697</v>
      </c>
      <c r="E102" s="1">
        <v>3</v>
      </c>
      <c r="F102" s="1" t="s">
        <v>698</v>
      </c>
      <c r="G102" s="12" t="s">
        <v>699</v>
      </c>
      <c r="H102" s="11" t="s">
        <v>608</v>
      </c>
      <c r="I102" s="13" t="s">
        <v>700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701</v>
      </c>
      <c r="R102" s="11" t="s">
        <v>701</v>
      </c>
      <c r="T102" s="1" t="s">
        <v>154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702</v>
      </c>
      <c r="D103" s="1" t="s">
        <v>703</v>
      </c>
      <c r="E103" s="1">
        <v>3</v>
      </c>
      <c r="F103" s="1" t="s">
        <v>704</v>
      </c>
      <c r="G103" s="12" t="s">
        <v>705</v>
      </c>
      <c r="H103" s="11" t="s">
        <v>613</v>
      </c>
      <c r="I103" s="13" t="s">
        <v>706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707</v>
      </c>
      <c r="R103" s="11" t="s">
        <v>707</v>
      </c>
      <c r="T103" s="1" t="s">
        <v>154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708</v>
      </c>
      <c r="D104" s="1" t="s">
        <v>709</v>
      </c>
      <c r="E104" s="1">
        <v>3</v>
      </c>
      <c r="F104" s="1" t="s">
        <v>710</v>
      </c>
      <c r="G104" s="12" t="s">
        <v>711</v>
      </c>
      <c r="H104" s="11" t="s">
        <v>712</v>
      </c>
      <c r="I104" s="13" t="s">
        <v>713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714</v>
      </c>
      <c r="R104" s="11" t="s">
        <v>714</v>
      </c>
      <c r="T104" s="1" t="s">
        <v>154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715</v>
      </c>
      <c r="D105" s="1" t="s">
        <v>716</v>
      </c>
      <c r="E105" s="1">
        <v>3</v>
      </c>
      <c r="F105" s="1" t="s">
        <v>717</v>
      </c>
      <c r="G105" s="12" t="s">
        <v>718</v>
      </c>
      <c r="H105" s="11" t="s">
        <v>719</v>
      </c>
      <c r="I105" s="13" t="s">
        <v>720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721</v>
      </c>
      <c r="R105" s="11" t="s">
        <v>721</v>
      </c>
      <c r="T105" s="1" t="s">
        <v>154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722</v>
      </c>
      <c r="D106" s="1" t="s">
        <v>723</v>
      </c>
      <c r="E106" s="1">
        <v>3</v>
      </c>
      <c r="F106" s="1" t="s">
        <v>724</v>
      </c>
      <c r="G106" s="12" t="s">
        <v>725</v>
      </c>
      <c r="H106" s="11" t="s">
        <v>726</v>
      </c>
      <c r="I106" s="13" t="s">
        <v>727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728</v>
      </c>
      <c r="R106" s="11" t="s">
        <v>728</v>
      </c>
      <c r="T106" s="1" t="s">
        <v>154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729</v>
      </c>
      <c r="D107" s="1" t="s">
        <v>730</v>
      </c>
      <c r="E107" s="1">
        <v>3</v>
      </c>
      <c r="F107" s="1" t="s">
        <v>731</v>
      </c>
      <c r="G107" s="12" t="s">
        <v>732</v>
      </c>
      <c r="H107" s="11" t="s">
        <v>733</v>
      </c>
      <c r="I107" s="13" t="s">
        <v>734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735</v>
      </c>
      <c r="R107" s="11" t="s">
        <v>735</v>
      </c>
      <c r="T107" s="1" t="s">
        <v>154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736</v>
      </c>
      <c r="D108" s="1" t="s">
        <v>737</v>
      </c>
      <c r="E108" s="1">
        <v>3</v>
      </c>
      <c r="F108" s="1" t="s">
        <v>738</v>
      </c>
      <c r="G108" s="12" t="s">
        <v>739</v>
      </c>
      <c r="H108" s="11" t="s">
        <v>740</v>
      </c>
      <c r="I108" s="13" t="s">
        <v>741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742</v>
      </c>
      <c r="R108" s="11" t="s">
        <v>742</v>
      </c>
      <c r="T108" s="1" t="s">
        <v>154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743</v>
      </c>
      <c r="D109" s="1" t="s">
        <v>744</v>
      </c>
      <c r="E109" s="1">
        <v>3</v>
      </c>
      <c r="F109" s="1" t="s">
        <v>745</v>
      </c>
      <c r="G109" s="12" t="s">
        <v>746</v>
      </c>
      <c r="H109" s="11" t="s">
        <v>747</v>
      </c>
      <c r="I109" s="13" t="s">
        <v>748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749</v>
      </c>
      <c r="R109" s="11" t="s">
        <v>749</v>
      </c>
      <c r="T109" s="1" t="s">
        <v>154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750</v>
      </c>
      <c r="D110" s="1" t="s">
        <v>751</v>
      </c>
      <c r="E110" s="1">
        <v>3</v>
      </c>
      <c r="F110" s="1" t="s">
        <v>752</v>
      </c>
      <c r="G110" s="12" t="s">
        <v>674</v>
      </c>
      <c r="H110" s="11" t="s">
        <v>753</v>
      </c>
      <c r="I110" s="13" t="s">
        <v>754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755</v>
      </c>
      <c r="R110" s="11" t="s">
        <v>755</v>
      </c>
      <c r="T110" s="1" t="s">
        <v>154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756</v>
      </c>
      <c r="D111" s="2" t="s">
        <v>757</v>
      </c>
      <c r="E111" s="2">
        <v>4</v>
      </c>
      <c r="F111" s="1" t="s">
        <v>758</v>
      </c>
      <c r="G111" s="14" t="s">
        <v>759</v>
      </c>
      <c r="H111" s="15" t="s">
        <v>759</v>
      </c>
      <c r="I111" s="16" t="s">
        <v>760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761</v>
      </c>
      <c r="R111" s="15" t="s">
        <v>761</v>
      </c>
      <c r="T111" s="2" t="s">
        <v>154</v>
      </c>
      <c r="U111" s="2">
        <v>0</v>
      </c>
    </row>
    <row r="112" s="1" customFormat="1" customHeight="1" spans="1:21">
      <c r="A112" s="3"/>
      <c r="B112" s="3"/>
      <c r="C112" s="1" t="s">
        <v>762</v>
      </c>
      <c r="D112" s="1" t="s">
        <v>763</v>
      </c>
      <c r="E112" s="1">
        <v>4</v>
      </c>
      <c r="F112" s="1" t="s">
        <v>764</v>
      </c>
      <c r="G112" s="12" t="s">
        <v>765</v>
      </c>
      <c r="H112" s="11" t="s">
        <v>765</v>
      </c>
      <c r="I112" s="13" t="s">
        <v>766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767</v>
      </c>
      <c r="R112" s="11" t="s">
        <v>767</v>
      </c>
      <c r="T112" s="1" t="s">
        <v>154</v>
      </c>
      <c r="U112" s="1">
        <v>0</v>
      </c>
    </row>
    <row r="113" s="1" customFormat="1" customHeight="1" spans="1:21">
      <c r="A113" s="3"/>
      <c r="B113" s="3"/>
      <c r="C113" s="1" t="s">
        <v>768</v>
      </c>
      <c r="D113" s="1" t="s">
        <v>769</v>
      </c>
      <c r="E113" s="1">
        <v>4</v>
      </c>
      <c r="F113" s="1" t="s">
        <v>770</v>
      </c>
      <c r="G113" s="12" t="s">
        <v>771</v>
      </c>
      <c r="H113" s="11" t="s">
        <v>771</v>
      </c>
      <c r="I113" s="13" t="s">
        <v>772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773</v>
      </c>
      <c r="R113" s="11" t="s">
        <v>773</v>
      </c>
      <c r="T113" s="1" t="s">
        <v>154</v>
      </c>
      <c r="U113" s="1">
        <v>0</v>
      </c>
    </row>
    <row r="114" s="1" customFormat="1" customHeight="1" spans="1:21">
      <c r="A114" s="3"/>
      <c r="B114" s="3"/>
      <c r="C114" s="1" t="s">
        <v>774</v>
      </c>
      <c r="D114" s="1" t="s">
        <v>775</v>
      </c>
      <c r="E114" s="1">
        <v>4</v>
      </c>
      <c r="F114" s="1" t="s">
        <v>776</v>
      </c>
      <c r="G114" s="12" t="s">
        <v>777</v>
      </c>
      <c r="H114" s="11" t="s">
        <v>777</v>
      </c>
      <c r="I114" s="13" t="s">
        <v>778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779</v>
      </c>
      <c r="R114" s="11" t="s">
        <v>779</v>
      </c>
      <c r="T114" s="1" t="s">
        <v>154</v>
      </c>
      <c r="U114" s="1">
        <v>0</v>
      </c>
    </row>
    <row r="115" s="1" customFormat="1" customHeight="1" spans="1:21">
      <c r="A115" s="3"/>
      <c r="B115" s="3"/>
      <c r="C115" s="1" t="s">
        <v>780</v>
      </c>
      <c r="D115" s="1" t="s">
        <v>781</v>
      </c>
      <c r="E115" s="1">
        <v>4</v>
      </c>
      <c r="F115" s="1" t="s">
        <v>782</v>
      </c>
      <c r="G115" s="12" t="s">
        <v>783</v>
      </c>
      <c r="H115" s="11" t="s">
        <v>783</v>
      </c>
      <c r="I115" s="13" t="s">
        <v>784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785</v>
      </c>
      <c r="R115" s="11" t="s">
        <v>785</v>
      </c>
      <c r="T115" s="1" t="s">
        <v>154</v>
      </c>
      <c r="U115" s="1">
        <v>0</v>
      </c>
    </row>
    <row r="116" s="1" customFormat="1" customHeight="1" spans="1:23">
      <c r="A116" s="3"/>
      <c r="B116" s="3"/>
      <c r="C116" s="1" t="s">
        <v>786</v>
      </c>
      <c r="D116" s="1" t="s">
        <v>787</v>
      </c>
      <c r="E116" s="1">
        <v>4</v>
      </c>
      <c r="F116" s="1" t="s">
        <v>788</v>
      </c>
      <c r="G116" s="12" t="s">
        <v>789</v>
      </c>
      <c r="H116" s="11" t="s">
        <v>789</v>
      </c>
      <c r="I116" s="13" t="s">
        <v>790</v>
      </c>
      <c r="J116" s="1">
        <f t="shared" ref="J116:J129" si="37">J115+200</f>
        <v>2100</v>
      </c>
      <c r="K116" s="1">
        <f t="shared" ref="K116:K129" si="38"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791</v>
      </c>
      <c r="R116" s="11" t="s">
        <v>791</v>
      </c>
      <c r="T116" s="1" t="s">
        <v>154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792</v>
      </c>
      <c r="D117" s="1" t="s">
        <v>793</v>
      </c>
      <c r="E117" s="1">
        <v>4</v>
      </c>
      <c r="F117" s="1" t="s">
        <v>794</v>
      </c>
      <c r="G117" s="12" t="s">
        <v>795</v>
      </c>
      <c r="H117" s="11" t="s">
        <v>795</v>
      </c>
      <c r="I117" s="13" t="s">
        <v>796</v>
      </c>
      <c r="J117" s="1">
        <f t="shared" si="37"/>
        <v>2300</v>
      </c>
      <c r="K117" s="1">
        <f t="shared" si="38"/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797</v>
      </c>
      <c r="R117" s="11" t="s">
        <v>797</v>
      </c>
      <c r="T117" s="1" t="s">
        <v>154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798</v>
      </c>
      <c r="D118" s="1" t="s">
        <v>799</v>
      </c>
      <c r="E118" s="1">
        <v>4</v>
      </c>
      <c r="F118" s="1" t="s">
        <v>800</v>
      </c>
      <c r="G118" s="12" t="s">
        <v>801</v>
      </c>
      <c r="H118" s="11" t="s">
        <v>801</v>
      </c>
      <c r="I118" s="13" t="s">
        <v>802</v>
      </c>
      <c r="J118" s="1">
        <f t="shared" si="37"/>
        <v>2500</v>
      </c>
      <c r="K118" s="1">
        <f t="shared" si="38"/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803</v>
      </c>
      <c r="R118" s="11" t="s">
        <v>803</v>
      </c>
      <c r="T118" s="1" t="s">
        <v>154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804</v>
      </c>
      <c r="D119" s="1" t="s">
        <v>805</v>
      </c>
      <c r="E119" s="1">
        <v>4</v>
      </c>
      <c r="F119" s="1" t="s">
        <v>806</v>
      </c>
      <c r="G119" s="12" t="s">
        <v>807</v>
      </c>
      <c r="H119" s="11" t="s">
        <v>807</v>
      </c>
      <c r="I119" s="13" t="s">
        <v>808</v>
      </c>
      <c r="J119" s="1">
        <f t="shared" si="37"/>
        <v>2700</v>
      </c>
      <c r="K119" s="1">
        <f t="shared" si="38"/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809</v>
      </c>
      <c r="R119" s="11" t="s">
        <v>809</v>
      </c>
      <c r="T119" s="1" t="s">
        <v>154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810</v>
      </c>
      <c r="D120" s="1" t="s">
        <v>811</v>
      </c>
      <c r="E120" s="1">
        <v>4</v>
      </c>
      <c r="F120" s="1" t="s">
        <v>812</v>
      </c>
      <c r="G120" s="12" t="s">
        <v>813</v>
      </c>
      <c r="H120" s="11" t="s">
        <v>813</v>
      </c>
      <c r="I120" s="13" t="s">
        <v>814</v>
      </c>
      <c r="J120" s="1">
        <f t="shared" si="37"/>
        <v>2900</v>
      </c>
      <c r="K120" s="1">
        <f t="shared" si="38"/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815</v>
      </c>
      <c r="R120" s="11" t="s">
        <v>815</v>
      </c>
      <c r="T120" s="1" t="s">
        <v>154</v>
      </c>
      <c r="U120" s="1">
        <v>0</v>
      </c>
      <c r="V120" s="3"/>
      <c r="W120" s="3"/>
    </row>
    <row r="121" s="1" customFormat="1" customHeight="1" spans="3:23">
      <c r="C121" s="1" t="s">
        <v>816</v>
      </c>
      <c r="D121" s="1" t="s">
        <v>817</v>
      </c>
      <c r="E121" s="1">
        <v>4</v>
      </c>
      <c r="F121" s="1" t="s">
        <v>818</v>
      </c>
      <c r="G121" s="12" t="s">
        <v>760</v>
      </c>
      <c r="H121" s="11" t="s">
        <v>760</v>
      </c>
      <c r="I121" s="13" t="s">
        <v>819</v>
      </c>
      <c r="J121" s="1">
        <f t="shared" si="37"/>
        <v>3100</v>
      </c>
      <c r="K121" s="1">
        <f t="shared" si="38"/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3">
        <f t="shared" ref="O121:O130" si="39">O120+3</f>
        <v>3</v>
      </c>
      <c r="P121" s="3">
        <v>90</v>
      </c>
      <c r="Q121" s="11" t="s">
        <v>820</v>
      </c>
      <c r="R121" s="11" t="s">
        <v>820</v>
      </c>
      <c r="T121" s="1" t="s">
        <v>154</v>
      </c>
      <c r="U121" s="1">
        <v>0</v>
      </c>
      <c r="V121" s="3"/>
      <c r="W121" s="3"/>
    </row>
    <row r="122" s="1" customFormat="1" customHeight="1" spans="3:23">
      <c r="C122" s="1" t="s">
        <v>821</v>
      </c>
      <c r="D122" s="1" t="s">
        <v>822</v>
      </c>
      <c r="E122" s="1">
        <v>4</v>
      </c>
      <c r="F122" s="1" t="s">
        <v>823</v>
      </c>
      <c r="G122" s="12" t="s">
        <v>824</v>
      </c>
      <c r="H122" s="11" t="s">
        <v>824</v>
      </c>
      <c r="I122" s="13" t="s">
        <v>825</v>
      </c>
      <c r="J122" s="1">
        <f t="shared" si="37"/>
        <v>3300</v>
      </c>
      <c r="K122" s="1">
        <f t="shared" si="38"/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3">
        <f t="shared" si="39"/>
        <v>6</v>
      </c>
      <c r="P122" s="3">
        <v>90</v>
      </c>
      <c r="Q122" s="11" t="s">
        <v>826</v>
      </c>
      <c r="R122" s="11" t="s">
        <v>826</v>
      </c>
      <c r="T122" s="1" t="s">
        <v>154</v>
      </c>
      <c r="U122" s="1">
        <v>0</v>
      </c>
      <c r="V122" s="3"/>
      <c r="W122" s="3"/>
    </row>
    <row r="123" s="1" customFormat="1" customHeight="1" spans="3:23">
      <c r="C123" s="1" t="s">
        <v>827</v>
      </c>
      <c r="D123" s="1" t="s">
        <v>828</v>
      </c>
      <c r="E123" s="1">
        <v>4</v>
      </c>
      <c r="F123" s="1" t="s">
        <v>829</v>
      </c>
      <c r="G123" s="12" t="s">
        <v>830</v>
      </c>
      <c r="H123" s="11" t="s">
        <v>830</v>
      </c>
      <c r="I123" s="13" t="s">
        <v>831</v>
      </c>
      <c r="J123" s="1">
        <f t="shared" si="37"/>
        <v>3500</v>
      </c>
      <c r="K123" s="1">
        <f t="shared" si="38"/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3">
        <f t="shared" si="39"/>
        <v>9</v>
      </c>
      <c r="P123" s="3">
        <v>90</v>
      </c>
      <c r="Q123" s="11" t="s">
        <v>832</v>
      </c>
      <c r="R123" s="11" t="s">
        <v>832</v>
      </c>
      <c r="T123" s="1" t="s">
        <v>154</v>
      </c>
      <c r="U123" s="1">
        <v>0</v>
      </c>
      <c r="V123" s="3"/>
      <c r="W123" s="3"/>
    </row>
    <row r="124" s="1" customFormat="1" customHeight="1" spans="3:23">
      <c r="C124" s="1" t="s">
        <v>833</v>
      </c>
      <c r="D124" s="1" t="s">
        <v>834</v>
      </c>
      <c r="E124" s="1">
        <v>4</v>
      </c>
      <c r="F124" s="1" t="s">
        <v>835</v>
      </c>
      <c r="G124" s="12" t="s">
        <v>836</v>
      </c>
      <c r="H124" s="11" t="s">
        <v>836</v>
      </c>
      <c r="I124" s="13" t="s">
        <v>837</v>
      </c>
      <c r="J124" s="1">
        <f t="shared" si="37"/>
        <v>3700</v>
      </c>
      <c r="K124" s="1">
        <f t="shared" si="38"/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3">
        <f t="shared" si="39"/>
        <v>12</v>
      </c>
      <c r="P124" s="3">
        <v>90</v>
      </c>
      <c r="Q124" s="11" t="s">
        <v>838</v>
      </c>
      <c r="R124" s="11" t="s">
        <v>838</v>
      </c>
      <c r="T124" s="1" t="s">
        <v>154</v>
      </c>
      <c r="U124" s="1">
        <v>0</v>
      </c>
      <c r="V124" s="3"/>
      <c r="W124" s="3"/>
    </row>
    <row r="125" s="1" customFormat="1" customHeight="1" spans="3:23">
      <c r="C125" s="1" t="s">
        <v>839</v>
      </c>
      <c r="D125" s="1" t="s">
        <v>840</v>
      </c>
      <c r="E125" s="1">
        <v>4</v>
      </c>
      <c r="F125" s="1" t="s">
        <v>841</v>
      </c>
      <c r="G125" s="12" t="s">
        <v>842</v>
      </c>
      <c r="H125" s="11" t="s">
        <v>842</v>
      </c>
      <c r="I125" s="13" t="s">
        <v>843</v>
      </c>
      <c r="J125" s="1">
        <f t="shared" si="37"/>
        <v>3900</v>
      </c>
      <c r="K125" s="1">
        <f t="shared" si="38"/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3">
        <f t="shared" si="39"/>
        <v>15</v>
      </c>
      <c r="P125" s="3">
        <v>90</v>
      </c>
      <c r="Q125" s="11" t="s">
        <v>844</v>
      </c>
      <c r="R125" s="11" t="s">
        <v>844</v>
      </c>
      <c r="T125" s="1" t="s">
        <v>154</v>
      </c>
      <c r="U125" s="1">
        <v>0</v>
      </c>
      <c r="V125" s="3"/>
      <c r="W125" s="3"/>
    </row>
    <row r="126" s="1" customFormat="1" customHeight="1" spans="1:23">
      <c r="A126" s="3"/>
      <c r="B126" s="3"/>
      <c r="C126" s="1" t="s">
        <v>845</v>
      </c>
      <c r="D126" s="1" t="s">
        <v>846</v>
      </c>
      <c r="E126" s="1">
        <v>4</v>
      </c>
      <c r="F126" s="1" t="s">
        <v>847</v>
      </c>
      <c r="G126" s="12" t="s">
        <v>848</v>
      </c>
      <c r="H126" s="11" t="s">
        <v>848</v>
      </c>
      <c r="I126" s="13" t="s">
        <v>849</v>
      </c>
      <c r="J126" s="1">
        <f t="shared" si="37"/>
        <v>4100</v>
      </c>
      <c r="K126" s="1">
        <f t="shared" si="38"/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3">
        <f t="shared" si="39"/>
        <v>18</v>
      </c>
      <c r="P126" s="3">
        <v>90</v>
      </c>
      <c r="Q126" s="11" t="s">
        <v>850</v>
      </c>
      <c r="R126" s="11" t="s">
        <v>850</v>
      </c>
      <c r="T126" s="1" t="s">
        <v>154</v>
      </c>
      <c r="U126" s="1">
        <v>0</v>
      </c>
      <c r="V126" s="3"/>
      <c r="W126" s="3"/>
    </row>
    <row r="127" s="1" customFormat="1" customHeight="1" spans="1:23">
      <c r="A127" s="3"/>
      <c r="B127" s="3"/>
      <c r="C127" s="1" t="s">
        <v>851</v>
      </c>
      <c r="D127" s="1" t="s">
        <v>852</v>
      </c>
      <c r="E127" s="1">
        <v>4</v>
      </c>
      <c r="F127" s="1" t="s">
        <v>853</v>
      </c>
      <c r="G127" s="12" t="s">
        <v>854</v>
      </c>
      <c r="H127" s="11" t="s">
        <v>854</v>
      </c>
      <c r="I127" s="13" t="s">
        <v>855</v>
      </c>
      <c r="J127" s="1">
        <f t="shared" si="37"/>
        <v>4300</v>
      </c>
      <c r="K127" s="1">
        <f t="shared" si="38"/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3">
        <f t="shared" si="39"/>
        <v>21</v>
      </c>
      <c r="P127" s="3">
        <v>90</v>
      </c>
      <c r="Q127" s="11" t="s">
        <v>856</v>
      </c>
      <c r="R127" s="11" t="s">
        <v>856</v>
      </c>
      <c r="T127" s="1" t="s">
        <v>154</v>
      </c>
      <c r="U127" s="1">
        <v>0</v>
      </c>
      <c r="V127" s="3"/>
      <c r="W127" s="3"/>
    </row>
    <row r="128" s="1" customFormat="1" customHeight="1" spans="1:23">
      <c r="A128" s="3"/>
      <c r="B128" s="3"/>
      <c r="C128" s="1" t="s">
        <v>857</v>
      </c>
      <c r="D128" s="1" t="s">
        <v>858</v>
      </c>
      <c r="E128" s="1">
        <v>4</v>
      </c>
      <c r="F128" s="1" t="s">
        <v>859</v>
      </c>
      <c r="G128" s="12" t="s">
        <v>860</v>
      </c>
      <c r="H128" s="11" t="s">
        <v>860</v>
      </c>
      <c r="I128" s="13" t="s">
        <v>861</v>
      </c>
      <c r="J128" s="1">
        <f t="shared" si="37"/>
        <v>4500</v>
      </c>
      <c r="K128" s="1">
        <f t="shared" si="38"/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3">
        <f t="shared" si="39"/>
        <v>24</v>
      </c>
      <c r="P128" s="3">
        <v>90</v>
      </c>
      <c r="Q128" s="11" t="s">
        <v>862</v>
      </c>
      <c r="R128" s="11" t="s">
        <v>862</v>
      </c>
      <c r="T128" s="1" t="s">
        <v>154</v>
      </c>
      <c r="U128" s="1">
        <v>0</v>
      </c>
      <c r="V128" s="3"/>
      <c r="W128" s="3"/>
    </row>
    <row r="129" s="1" customFormat="1" customHeight="1" spans="1:23">
      <c r="A129" s="3"/>
      <c r="B129" s="3"/>
      <c r="C129" s="1" t="s">
        <v>863</v>
      </c>
      <c r="D129" s="1" t="s">
        <v>864</v>
      </c>
      <c r="E129" s="1">
        <v>4</v>
      </c>
      <c r="F129" s="1" t="s">
        <v>865</v>
      </c>
      <c r="G129" s="12" t="s">
        <v>866</v>
      </c>
      <c r="H129" s="11" t="s">
        <v>866</v>
      </c>
      <c r="I129" s="13" t="s">
        <v>867</v>
      </c>
      <c r="J129" s="1">
        <f t="shared" si="37"/>
        <v>4700</v>
      </c>
      <c r="K129" s="1">
        <f t="shared" si="38"/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3">
        <f t="shared" si="39"/>
        <v>27</v>
      </c>
      <c r="P129" s="3">
        <v>90</v>
      </c>
      <c r="Q129" s="11" t="s">
        <v>868</v>
      </c>
      <c r="R129" s="11" t="s">
        <v>868</v>
      </c>
      <c r="T129" s="1" t="s">
        <v>154</v>
      </c>
      <c r="U129" s="1">
        <v>0</v>
      </c>
      <c r="V129" s="3"/>
      <c r="W129" s="3"/>
    </row>
    <row r="130" s="1" customFormat="1" customHeight="1" spans="1:23">
      <c r="A130" s="3"/>
      <c r="B130" s="3"/>
      <c r="C130" s="1" t="s">
        <v>869</v>
      </c>
      <c r="D130" s="1" t="s">
        <v>870</v>
      </c>
      <c r="E130" s="1">
        <v>4</v>
      </c>
      <c r="F130" s="1" t="s">
        <v>871</v>
      </c>
      <c r="G130" s="12" t="s">
        <v>872</v>
      </c>
      <c r="H130" s="11" t="s">
        <v>872</v>
      </c>
      <c r="I130" s="13" t="s">
        <v>873</v>
      </c>
      <c r="J130" s="1">
        <f t="shared" ref="J130:J135" si="40">J129+300</f>
        <v>5000</v>
      </c>
      <c r="K130" s="1">
        <f t="shared" ref="K130:K140" si="41">K129+400</f>
        <v>6200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3">
        <f t="shared" si="39"/>
        <v>30</v>
      </c>
      <c r="P130" s="3">
        <v>90</v>
      </c>
      <c r="Q130" s="11" t="s">
        <v>874</v>
      </c>
      <c r="R130" s="11" t="s">
        <v>874</v>
      </c>
      <c r="T130" s="1" t="s">
        <v>154</v>
      </c>
      <c r="U130" s="1">
        <v>0</v>
      </c>
      <c r="V130" s="3"/>
      <c r="W130" s="3"/>
    </row>
    <row r="131" customHeight="1" spans="3:21">
      <c r="C131" s="1" t="s">
        <v>875</v>
      </c>
      <c r="D131" s="1" t="s">
        <v>876</v>
      </c>
      <c r="E131" s="1">
        <v>4</v>
      </c>
      <c r="F131" s="1" t="s">
        <v>877</v>
      </c>
      <c r="G131" s="12" t="s">
        <v>878</v>
      </c>
      <c r="H131" s="11" t="s">
        <v>878</v>
      </c>
      <c r="I131" s="13" t="s">
        <v>879</v>
      </c>
      <c r="J131" s="1">
        <f>J130+400</f>
        <v>5400</v>
      </c>
      <c r="K131" s="1">
        <f t="shared" si="41"/>
        <v>6600</v>
      </c>
      <c r="L131" s="1">
        <f t="shared" ref="L131:L135" si="42">L130+100</f>
        <v>2050</v>
      </c>
      <c r="M131" s="1">
        <f t="shared" ref="M131:M135" si="43">M130+100</f>
        <v>2050</v>
      </c>
      <c r="N131" s="3">
        <f t="shared" ref="N131:N145" si="44">N130+2</f>
        <v>56</v>
      </c>
      <c r="O131" s="3">
        <f t="shared" ref="O131:O145" si="45">O130+4</f>
        <v>34</v>
      </c>
      <c r="P131" s="3">
        <v>92</v>
      </c>
      <c r="Q131" s="11" t="s">
        <v>880</v>
      </c>
      <c r="R131" s="11" t="s">
        <v>880</v>
      </c>
      <c r="T131" s="1" t="s">
        <v>154</v>
      </c>
      <c r="U131" s="1">
        <v>0</v>
      </c>
    </row>
    <row r="132" customHeight="1" spans="3:21">
      <c r="C132" s="1" t="s">
        <v>881</v>
      </c>
      <c r="D132" s="1" t="s">
        <v>882</v>
      </c>
      <c r="E132" s="1">
        <v>4</v>
      </c>
      <c r="F132" s="1" t="s">
        <v>883</v>
      </c>
      <c r="G132" s="12" t="s">
        <v>884</v>
      </c>
      <c r="H132" s="11" t="s">
        <v>884</v>
      </c>
      <c r="I132" s="13" t="s">
        <v>885</v>
      </c>
      <c r="J132" s="1">
        <f t="shared" si="40"/>
        <v>5700</v>
      </c>
      <c r="K132" s="1">
        <f t="shared" si="41"/>
        <v>7000</v>
      </c>
      <c r="L132" s="1">
        <f t="shared" si="42"/>
        <v>2150</v>
      </c>
      <c r="M132" s="1">
        <f t="shared" si="43"/>
        <v>2150</v>
      </c>
      <c r="N132" s="3">
        <f t="shared" si="44"/>
        <v>58</v>
      </c>
      <c r="O132" s="3">
        <f t="shared" si="45"/>
        <v>38</v>
      </c>
      <c r="P132" s="3">
        <v>94</v>
      </c>
      <c r="Q132" s="11" t="s">
        <v>886</v>
      </c>
      <c r="R132" s="11" t="s">
        <v>886</v>
      </c>
      <c r="T132" s="1" t="s">
        <v>154</v>
      </c>
      <c r="U132" s="1">
        <v>0</v>
      </c>
    </row>
    <row r="133" customHeight="1" spans="3:21">
      <c r="C133" s="1" t="s">
        <v>887</v>
      </c>
      <c r="D133" s="1" t="s">
        <v>888</v>
      </c>
      <c r="E133" s="1">
        <v>4</v>
      </c>
      <c r="F133" s="1" t="s">
        <v>889</v>
      </c>
      <c r="G133" s="12" t="s">
        <v>890</v>
      </c>
      <c r="H133" s="11" t="s">
        <v>890</v>
      </c>
      <c r="I133" s="13" t="s">
        <v>891</v>
      </c>
      <c r="J133" s="1">
        <f t="shared" si="40"/>
        <v>6000</v>
      </c>
      <c r="K133" s="1">
        <f t="shared" si="41"/>
        <v>7400</v>
      </c>
      <c r="L133" s="1">
        <f t="shared" si="42"/>
        <v>2250</v>
      </c>
      <c r="M133" s="1">
        <f t="shared" si="43"/>
        <v>2250</v>
      </c>
      <c r="N133" s="3">
        <f t="shared" si="44"/>
        <v>60</v>
      </c>
      <c r="O133" s="3">
        <f t="shared" si="45"/>
        <v>42</v>
      </c>
      <c r="P133" s="3">
        <v>96</v>
      </c>
      <c r="Q133" s="11" t="s">
        <v>892</v>
      </c>
      <c r="R133" s="11" t="s">
        <v>892</v>
      </c>
      <c r="T133" s="1" t="s">
        <v>154</v>
      </c>
      <c r="U133" s="1">
        <v>0</v>
      </c>
    </row>
    <row r="134" customHeight="1" spans="3:21">
      <c r="C134" s="1" t="s">
        <v>893</v>
      </c>
      <c r="D134" s="1" t="s">
        <v>894</v>
      </c>
      <c r="E134" s="1">
        <v>4</v>
      </c>
      <c r="F134" s="1" t="s">
        <v>895</v>
      </c>
      <c r="G134" s="12" t="s">
        <v>896</v>
      </c>
      <c r="H134" s="11" t="s">
        <v>896</v>
      </c>
      <c r="I134" s="13" t="s">
        <v>897</v>
      </c>
      <c r="J134" s="1">
        <f t="shared" si="40"/>
        <v>6300</v>
      </c>
      <c r="K134" s="1">
        <f t="shared" si="41"/>
        <v>7800</v>
      </c>
      <c r="L134" s="1">
        <f t="shared" si="42"/>
        <v>2350</v>
      </c>
      <c r="M134" s="1">
        <f t="shared" si="43"/>
        <v>2350</v>
      </c>
      <c r="N134" s="3">
        <f t="shared" si="44"/>
        <v>62</v>
      </c>
      <c r="O134" s="3">
        <f t="shared" si="45"/>
        <v>46</v>
      </c>
      <c r="P134" s="3">
        <v>98</v>
      </c>
      <c r="Q134" s="11" t="s">
        <v>898</v>
      </c>
      <c r="R134" s="11" t="s">
        <v>898</v>
      </c>
      <c r="T134" s="1" t="s">
        <v>154</v>
      </c>
      <c r="U134" s="1">
        <v>0</v>
      </c>
    </row>
    <row r="135" customHeight="1" spans="3:21">
      <c r="C135" s="1" t="s">
        <v>899</v>
      </c>
      <c r="D135" s="1" t="s">
        <v>900</v>
      </c>
      <c r="E135" s="1">
        <v>4</v>
      </c>
      <c r="F135" s="1" t="s">
        <v>458</v>
      </c>
      <c r="G135" s="12" t="s">
        <v>901</v>
      </c>
      <c r="H135" s="11" t="s">
        <v>901</v>
      </c>
      <c r="I135" s="13" t="s">
        <v>902</v>
      </c>
      <c r="J135" s="1">
        <f t="shared" si="40"/>
        <v>6600</v>
      </c>
      <c r="K135" s="1">
        <f t="shared" si="41"/>
        <v>8200</v>
      </c>
      <c r="L135" s="1">
        <f t="shared" si="42"/>
        <v>2450</v>
      </c>
      <c r="M135" s="1">
        <f t="shared" si="43"/>
        <v>2450</v>
      </c>
      <c r="N135" s="3">
        <f t="shared" si="44"/>
        <v>64</v>
      </c>
      <c r="O135" s="3">
        <f t="shared" si="45"/>
        <v>50</v>
      </c>
      <c r="P135" s="3">
        <v>99</v>
      </c>
      <c r="Q135" s="11" t="s">
        <v>453</v>
      </c>
      <c r="R135" s="11" t="s">
        <v>453</v>
      </c>
      <c r="T135" s="1" t="s">
        <v>154</v>
      </c>
      <c r="U135" s="1">
        <v>0</v>
      </c>
    </row>
    <row r="136" s="1" customFormat="1" customHeight="1" spans="1:23">
      <c r="A136" s="3"/>
      <c r="B136" s="3"/>
      <c r="C136" s="1" t="s">
        <v>903</v>
      </c>
      <c r="D136" s="1" t="s">
        <v>904</v>
      </c>
      <c r="E136" s="1">
        <v>4</v>
      </c>
      <c r="F136" s="1" t="s">
        <v>905</v>
      </c>
      <c r="G136" s="12" t="s">
        <v>906</v>
      </c>
      <c r="H136" s="11" t="s">
        <v>906</v>
      </c>
      <c r="I136" s="13" t="s">
        <v>907</v>
      </c>
      <c r="J136" s="1">
        <f t="shared" ref="J136:J145" si="46">J135+500</f>
        <v>7100</v>
      </c>
      <c r="K136" s="1">
        <f t="shared" ref="K136:K145" si="47">K135+500</f>
        <v>8700</v>
      </c>
      <c r="L136" s="1">
        <f t="shared" ref="L136:L145" si="48">L135+200</f>
        <v>2650</v>
      </c>
      <c r="M136" s="1">
        <f t="shared" ref="M136:M145" si="49">M135+200</f>
        <v>2650</v>
      </c>
      <c r="N136" s="3">
        <f t="shared" si="44"/>
        <v>66</v>
      </c>
      <c r="O136" s="3">
        <f t="shared" si="45"/>
        <v>54</v>
      </c>
      <c r="P136" s="3">
        <v>99.2</v>
      </c>
      <c r="Q136" s="11" t="s">
        <v>908</v>
      </c>
      <c r="R136" s="11" t="s">
        <v>908</v>
      </c>
      <c r="T136" s="1" t="s">
        <v>154</v>
      </c>
      <c r="U136" s="1">
        <v>0</v>
      </c>
      <c r="V136" s="3"/>
      <c r="W136" s="3"/>
    </row>
    <row r="137" s="1" customFormat="1" customHeight="1" spans="1:23">
      <c r="A137" s="3"/>
      <c r="B137" s="3"/>
      <c r="C137" s="1" t="s">
        <v>909</v>
      </c>
      <c r="D137" s="1" t="s">
        <v>910</v>
      </c>
      <c r="E137" s="1">
        <v>4</v>
      </c>
      <c r="F137" s="1" t="s">
        <v>911</v>
      </c>
      <c r="G137" s="12" t="s">
        <v>912</v>
      </c>
      <c r="H137" s="11" t="s">
        <v>912</v>
      </c>
      <c r="I137" s="13" t="s">
        <v>913</v>
      </c>
      <c r="J137" s="1">
        <f t="shared" si="46"/>
        <v>7600</v>
      </c>
      <c r="K137" s="1">
        <f t="shared" si="47"/>
        <v>9200</v>
      </c>
      <c r="L137" s="1">
        <f t="shared" si="48"/>
        <v>2850</v>
      </c>
      <c r="M137" s="1">
        <f t="shared" si="49"/>
        <v>2850</v>
      </c>
      <c r="N137" s="3">
        <f t="shared" si="44"/>
        <v>68</v>
      </c>
      <c r="O137" s="3">
        <f t="shared" si="45"/>
        <v>58</v>
      </c>
      <c r="P137" s="3">
        <v>99.4</v>
      </c>
      <c r="Q137" s="11" t="s">
        <v>914</v>
      </c>
      <c r="R137" s="11" t="s">
        <v>914</v>
      </c>
      <c r="T137" s="1" t="s">
        <v>154</v>
      </c>
      <c r="U137" s="1">
        <v>0</v>
      </c>
      <c r="V137" s="3"/>
      <c r="W137" s="3"/>
    </row>
    <row r="138" s="1" customFormat="1" customHeight="1" spans="1:23">
      <c r="A138" s="3"/>
      <c r="B138" s="3"/>
      <c r="C138" s="1" t="s">
        <v>915</v>
      </c>
      <c r="D138" s="1" t="s">
        <v>916</v>
      </c>
      <c r="E138" s="1">
        <v>4</v>
      </c>
      <c r="F138" s="1" t="s">
        <v>917</v>
      </c>
      <c r="G138" s="12" t="s">
        <v>918</v>
      </c>
      <c r="H138" s="11" t="s">
        <v>918</v>
      </c>
      <c r="I138" s="13" t="s">
        <v>919</v>
      </c>
      <c r="J138" s="1">
        <f t="shared" si="46"/>
        <v>8100</v>
      </c>
      <c r="K138" s="1">
        <f t="shared" si="47"/>
        <v>9700</v>
      </c>
      <c r="L138" s="1">
        <f t="shared" si="48"/>
        <v>3050</v>
      </c>
      <c r="M138" s="1">
        <f t="shared" si="49"/>
        <v>3050</v>
      </c>
      <c r="N138" s="3">
        <f t="shared" si="44"/>
        <v>70</v>
      </c>
      <c r="O138" s="3">
        <f t="shared" si="45"/>
        <v>62</v>
      </c>
      <c r="P138" s="3">
        <v>99.6</v>
      </c>
      <c r="Q138" s="11" t="s">
        <v>920</v>
      </c>
      <c r="R138" s="11" t="s">
        <v>920</v>
      </c>
      <c r="T138" s="1" t="s">
        <v>154</v>
      </c>
      <c r="U138" s="1">
        <v>0</v>
      </c>
      <c r="V138" s="3"/>
      <c r="W138" s="3"/>
    </row>
    <row r="139" s="1" customFormat="1" customHeight="1" spans="1:23">
      <c r="A139" s="3"/>
      <c r="B139" s="3"/>
      <c r="C139" s="1" t="s">
        <v>921</v>
      </c>
      <c r="D139" s="1" t="s">
        <v>922</v>
      </c>
      <c r="E139" s="1">
        <v>4</v>
      </c>
      <c r="F139" s="1" t="s">
        <v>923</v>
      </c>
      <c r="G139" s="12" t="s">
        <v>924</v>
      </c>
      <c r="H139" s="11" t="s">
        <v>924</v>
      </c>
      <c r="I139" s="13" t="s">
        <v>925</v>
      </c>
      <c r="J139" s="1">
        <f t="shared" si="46"/>
        <v>8600</v>
      </c>
      <c r="K139" s="1">
        <f t="shared" si="47"/>
        <v>10200</v>
      </c>
      <c r="L139" s="1">
        <f t="shared" si="48"/>
        <v>3250</v>
      </c>
      <c r="M139" s="1">
        <f t="shared" si="49"/>
        <v>3250</v>
      </c>
      <c r="N139" s="3">
        <f t="shared" si="44"/>
        <v>72</v>
      </c>
      <c r="O139" s="3">
        <f t="shared" si="45"/>
        <v>66</v>
      </c>
      <c r="P139" s="3">
        <v>99.8</v>
      </c>
      <c r="Q139" s="11" t="s">
        <v>926</v>
      </c>
      <c r="R139" s="11" t="s">
        <v>926</v>
      </c>
      <c r="T139" s="1" t="s">
        <v>154</v>
      </c>
      <c r="U139" s="1">
        <v>0</v>
      </c>
      <c r="V139" s="3"/>
      <c r="W139" s="3"/>
    </row>
    <row r="140" s="1" customFormat="1" customHeight="1" spans="1:23">
      <c r="A140" s="3"/>
      <c r="B140" s="3"/>
      <c r="C140" s="1" t="s">
        <v>927</v>
      </c>
      <c r="D140" s="1" t="s">
        <v>928</v>
      </c>
      <c r="E140" s="1">
        <v>4</v>
      </c>
      <c r="F140" s="1" t="s">
        <v>929</v>
      </c>
      <c r="G140" s="12" t="s">
        <v>930</v>
      </c>
      <c r="H140" s="11" t="s">
        <v>930</v>
      </c>
      <c r="I140" s="13" t="s">
        <v>931</v>
      </c>
      <c r="J140" s="1">
        <f t="shared" si="46"/>
        <v>9100</v>
      </c>
      <c r="K140" s="1">
        <f t="shared" si="47"/>
        <v>10700</v>
      </c>
      <c r="L140" s="1">
        <f t="shared" si="48"/>
        <v>3450</v>
      </c>
      <c r="M140" s="1">
        <f t="shared" si="49"/>
        <v>3450</v>
      </c>
      <c r="N140" s="3">
        <f t="shared" si="44"/>
        <v>74</v>
      </c>
      <c r="O140" s="3">
        <f t="shared" si="45"/>
        <v>70</v>
      </c>
      <c r="P140" s="3">
        <v>99.9</v>
      </c>
      <c r="Q140" s="11" t="s">
        <v>932</v>
      </c>
      <c r="R140" s="11" t="s">
        <v>932</v>
      </c>
      <c r="T140" s="1" t="s">
        <v>154</v>
      </c>
      <c r="U140" s="1">
        <v>0</v>
      </c>
      <c r="V140" s="3"/>
      <c r="W140" s="3"/>
    </row>
    <row r="141" s="1" customFormat="1" customHeight="1" spans="1:23">
      <c r="A141" s="3"/>
      <c r="B141" s="3"/>
      <c r="C141" s="1" t="s">
        <v>933</v>
      </c>
      <c r="D141" s="1" t="s">
        <v>934</v>
      </c>
      <c r="E141" s="1">
        <v>4</v>
      </c>
      <c r="F141" s="1" t="s">
        <v>935</v>
      </c>
      <c r="G141" s="12" t="s">
        <v>936</v>
      </c>
      <c r="H141" s="11" t="s">
        <v>936</v>
      </c>
      <c r="I141" s="13" t="s">
        <v>937</v>
      </c>
      <c r="J141" s="1">
        <f t="shared" ref="J141:J145" si="50">J140+600</f>
        <v>9700</v>
      </c>
      <c r="K141" s="1">
        <f t="shared" ref="K141:K145" si="51">K140+600</f>
        <v>11300</v>
      </c>
      <c r="L141" s="1">
        <f t="shared" ref="L141:L145" si="52">L140+250</f>
        <v>3700</v>
      </c>
      <c r="M141" s="1">
        <f t="shared" ref="M141:M145" si="53">M140+250</f>
        <v>3700</v>
      </c>
      <c r="N141" s="3">
        <f t="shared" si="44"/>
        <v>76</v>
      </c>
      <c r="O141" s="3">
        <f t="shared" si="45"/>
        <v>74</v>
      </c>
      <c r="P141" s="3">
        <v>99.92</v>
      </c>
      <c r="Q141" s="11" t="s">
        <v>938</v>
      </c>
      <c r="R141" s="11" t="s">
        <v>938</v>
      </c>
      <c r="T141" s="1" t="s">
        <v>154</v>
      </c>
      <c r="U141" s="1">
        <v>0</v>
      </c>
      <c r="V141" s="3"/>
      <c r="W141" s="3"/>
    </row>
    <row r="142" s="1" customFormat="1" customHeight="1" spans="1:23">
      <c r="A142" s="3"/>
      <c r="B142" s="3"/>
      <c r="C142" s="1" t="s">
        <v>939</v>
      </c>
      <c r="D142" s="1" t="s">
        <v>940</v>
      </c>
      <c r="E142" s="1">
        <v>4</v>
      </c>
      <c r="F142" s="1" t="s">
        <v>941</v>
      </c>
      <c r="G142" s="12" t="s">
        <v>942</v>
      </c>
      <c r="H142" s="11" t="s">
        <v>942</v>
      </c>
      <c r="I142" s="13" t="s">
        <v>943</v>
      </c>
      <c r="J142" s="1">
        <f t="shared" si="50"/>
        <v>10300</v>
      </c>
      <c r="K142" s="1">
        <f t="shared" si="51"/>
        <v>11900</v>
      </c>
      <c r="L142" s="1">
        <f t="shared" si="52"/>
        <v>3950</v>
      </c>
      <c r="M142" s="1">
        <f t="shared" si="53"/>
        <v>3950</v>
      </c>
      <c r="N142" s="3">
        <f t="shared" si="44"/>
        <v>78</v>
      </c>
      <c r="O142" s="3">
        <f t="shared" si="45"/>
        <v>78</v>
      </c>
      <c r="P142" s="3">
        <v>99.94</v>
      </c>
      <c r="Q142" s="11" t="s">
        <v>944</v>
      </c>
      <c r="R142" s="11" t="s">
        <v>944</v>
      </c>
      <c r="T142" s="1" t="s">
        <v>154</v>
      </c>
      <c r="U142" s="1">
        <v>0</v>
      </c>
      <c r="V142" s="3"/>
      <c r="W142" s="3"/>
    </row>
    <row r="143" s="1" customFormat="1" customHeight="1" spans="1:23">
      <c r="A143" s="3"/>
      <c r="B143" s="3"/>
      <c r="C143" s="1" t="s">
        <v>945</v>
      </c>
      <c r="D143" s="1" t="s">
        <v>946</v>
      </c>
      <c r="E143" s="1">
        <v>4</v>
      </c>
      <c r="F143" s="1" t="s">
        <v>947</v>
      </c>
      <c r="G143" s="12" t="s">
        <v>948</v>
      </c>
      <c r="H143" s="11" t="s">
        <v>948</v>
      </c>
      <c r="I143" s="13" t="s">
        <v>949</v>
      </c>
      <c r="J143" s="1">
        <f t="shared" si="50"/>
        <v>10900</v>
      </c>
      <c r="K143" s="1">
        <f t="shared" si="51"/>
        <v>12500</v>
      </c>
      <c r="L143" s="1">
        <f t="shared" si="52"/>
        <v>4200</v>
      </c>
      <c r="M143" s="1">
        <f t="shared" si="53"/>
        <v>4200</v>
      </c>
      <c r="N143" s="3">
        <f t="shared" si="44"/>
        <v>80</v>
      </c>
      <c r="O143" s="3">
        <f t="shared" si="45"/>
        <v>82</v>
      </c>
      <c r="P143" s="3">
        <v>99.96</v>
      </c>
      <c r="Q143" s="11" t="s">
        <v>950</v>
      </c>
      <c r="R143" s="11" t="s">
        <v>950</v>
      </c>
      <c r="T143" s="1" t="s">
        <v>154</v>
      </c>
      <c r="U143" s="1">
        <v>0</v>
      </c>
      <c r="V143" s="3"/>
      <c r="W143" s="3"/>
    </row>
    <row r="144" s="1" customFormat="1" customHeight="1" spans="1:23">
      <c r="A144" s="3"/>
      <c r="B144" s="3"/>
      <c r="C144" s="1" t="s">
        <v>951</v>
      </c>
      <c r="D144" s="1" t="s">
        <v>952</v>
      </c>
      <c r="E144" s="1">
        <v>4</v>
      </c>
      <c r="F144" s="1" t="s">
        <v>953</v>
      </c>
      <c r="G144" s="12" t="s">
        <v>954</v>
      </c>
      <c r="H144" s="11" t="s">
        <v>954</v>
      </c>
      <c r="I144" s="13" t="s">
        <v>955</v>
      </c>
      <c r="J144" s="1">
        <f t="shared" si="50"/>
        <v>11500</v>
      </c>
      <c r="K144" s="1">
        <f t="shared" si="51"/>
        <v>13100</v>
      </c>
      <c r="L144" s="1">
        <f t="shared" si="52"/>
        <v>4450</v>
      </c>
      <c r="M144" s="1">
        <f t="shared" si="53"/>
        <v>4450</v>
      </c>
      <c r="N144" s="3">
        <f t="shared" si="44"/>
        <v>82</v>
      </c>
      <c r="O144" s="3">
        <f t="shared" si="45"/>
        <v>86</v>
      </c>
      <c r="P144" s="3">
        <v>99.98</v>
      </c>
      <c r="Q144" s="11" t="s">
        <v>850</v>
      </c>
      <c r="R144" s="11" t="s">
        <v>850</v>
      </c>
      <c r="T144" s="1" t="s">
        <v>154</v>
      </c>
      <c r="U144" s="1">
        <v>0</v>
      </c>
      <c r="V144" s="3"/>
      <c r="W144" s="3"/>
    </row>
    <row r="145" s="1" customFormat="1" customHeight="1" spans="1:23">
      <c r="A145" s="3"/>
      <c r="B145" s="3"/>
      <c r="C145" s="1" t="s">
        <v>956</v>
      </c>
      <c r="D145" s="1" t="s">
        <v>957</v>
      </c>
      <c r="E145" s="1">
        <v>4</v>
      </c>
      <c r="F145" s="1" t="s">
        <v>958</v>
      </c>
      <c r="G145" s="12" t="s">
        <v>959</v>
      </c>
      <c r="H145" s="11" t="s">
        <v>959</v>
      </c>
      <c r="I145" s="13" t="s">
        <v>960</v>
      </c>
      <c r="J145" s="1">
        <f t="shared" si="50"/>
        <v>12100</v>
      </c>
      <c r="K145" s="1">
        <f t="shared" si="51"/>
        <v>13700</v>
      </c>
      <c r="L145" s="1">
        <f t="shared" si="52"/>
        <v>4700</v>
      </c>
      <c r="M145" s="1">
        <f t="shared" si="53"/>
        <v>4700</v>
      </c>
      <c r="N145" s="3">
        <f t="shared" si="44"/>
        <v>84</v>
      </c>
      <c r="O145" s="3">
        <f t="shared" si="45"/>
        <v>90</v>
      </c>
      <c r="P145" s="3">
        <v>99.99</v>
      </c>
      <c r="Q145" s="11" t="s">
        <v>961</v>
      </c>
      <c r="R145" s="11" t="s">
        <v>961</v>
      </c>
      <c r="T145" s="1" t="s">
        <v>154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2025-02-05T15:41:46Z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
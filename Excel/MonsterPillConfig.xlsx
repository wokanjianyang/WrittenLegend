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<sst xmlns="http://schemas.openxmlformats.org/spreadsheetml/2006/main" count="111" uniqueCount="76">
  <si>
    <t>ID</t>
  </si>
  <si>
    <t>MapName</t>
  </si>
  <si>
    <t>MonsterName</t>
  </si>
  <si>
    <t>Attr</t>
  </si>
  <si>
    <t>Def</t>
  </si>
  <si>
    <t>HP</t>
  </si>
  <si>
    <t>DamageIncrea</t>
  </si>
  <si>
    <t>DamageResist</t>
  </si>
  <si>
    <t>CritRateResist</t>
  </si>
  <si>
    <t>ResotrePercent</t>
  </si>
  <si>
    <t>Miss</t>
  </si>
  <si>
    <t>Protect</t>
  </si>
  <si>
    <t>Id</t>
  </si>
  <si>
    <t>int</t>
  </si>
  <si>
    <t>string</t>
  </si>
  <si>
    <t>幻境一层</t>
  </si>
  <si>
    <t>幻境魔物</t>
  </si>
  <si>
    <t>1000000000000000</t>
  </si>
  <si>
    <t>50000000000000000</t>
  </si>
  <si>
    <t>900000000000000000000000</t>
  </si>
  <si>
    <t>幻境二层</t>
  </si>
  <si>
    <t>100000000000000000</t>
  </si>
  <si>
    <t>50000000000000000000</t>
  </si>
  <si>
    <t>9000000000000000000000000000</t>
  </si>
  <si>
    <t>幻境三层</t>
  </si>
  <si>
    <t>10000000000000000000</t>
  </si>
  <si>
    <t>50000000000000000000000</t>
  </si>
  <si>
    <t>90000000000000000000000000000000</t>
  </si>
  <si>
    <t>幻境四层</t>
  </si>
  <si>
    <t>1000000000000000000000</t>
  </si>
  <si>
    <t>50000000000000000000000000</t>
  </si>
  <si>
    <t>900000000000000000000000000000000000</t>
  </si>
  <si>
    <t>幻境五层</t>
  </si>
  <si>
    <t>100000000000000000000000</t>
  </si>
  <si>
    <t>50000000000000000000000000000</t>
  </si>
  <si>
    <t>9000000000000000000000000000000000000000</t>
  </si>
  <si>
    <t>幻境六层</t>
  </si>
  <si>
    <t>10000000000000000000000000</t>
  </si>
  <si>
    <t>50000000000000000000000000000000</t>
  </si>
  <si>
    <t>90000000000000000000000000000000000000000000</t>
  </si>
  <si>
    <t>幻境七层</t>
  </si>
  <si>
    <t>1000000000000000000000000000</t>
  </si>
  <si>
    <t>50000000000000000000000000000000000</t>
  </si>
  <si>
    <t>900000000000000000000000000000000000000000000000</t>
  </si>
  <si>
    <t>幻境八层</t>
  </si>
  <si>
    <t>100000000000000000000000000000</t>
  </si>
  <si>
    <t>50000000000000000000000000000000000000</t>
  </si>
  <si>
    <t>9000000000000000000000000000000000000000000000000000</t>
  </si>
  <si>
    <t>幻境九层</t>
  </si>
  <si>
    <t>10000000000000000000000000000000</t>
  </si>
  <si>
    <t>50000000000000000000000000000000000000000</t>
  </si>
  <si>
    <t>90000000000000000000000000000000000000000000000000000000</t>
  </si>
  <si>
    <t>幻境十层</t>
  </si>
  <si>
    <t>1000000000000000000000000000000000</t>
  </si>
  <si>
    <t>50000000000000000000000000000000000000000000</t>
  </si>
  <si>
    <t>900000000000000000000000000000000000000000000000000000000000</t>
  </si>
  <si>
    <t>幻境十一层</t>
  </si>
  <si>
    <t>100000000000000000000000000000000000</t>
  </si>
  <si>
    <t>50000000000000000000000000000000000000000000000</t>
  </si>
  <si>
    <t>9000000000000000000000000000000000000000000000000000000000000000</t>
  </si>
  <si>
    <t>幻境十二层</t>
  </si>
  <si>
    <t>10000000000000000000000000000000000000</t>
  </si>
  <si>
    <t>50000000000000000000000000000000000000000000000000</t>
  </si>
  <si>
    <t>90000000000000000000000000000000000000000000000000000000000000000000</t>
  </si>
  <si>
    <t>幻境十三层</t>
  </si>
  <si>
    <t>1000000000000000000000000000000000000000</t>
  </si>
  <si>
    <t>50000000000000000000000000000000000000000000000000000</t>
  </si>
  <si>
    <t>900000000000000000000000000000000000000000000000000000000000000000000000</t>
  </si>
  <si>
    <t>幻境十四层</t>
  </si>
  <si>
    <t>100000000000000000000000000000000000000000</t>
  </si>
  <si>
    <t>50000000000000000000000000000000000000000000000000000000</t>
  </si>
  <si>
    <t>9000000000000000000000000000000000000000000000000000000000000000000000000000</t>
  </si>
  <si>
    <t>幻境十五层</t>
  </si>
  <si>
    <t>10000000000000000000000000000000000000000000</t>
  </si>
  <si>
    <t>50000000000000000000000000000000000000000000000000000000000</t>
  </si>
  <si>
    <t>90000000000000000000000000000000000000000000000000000000000000000000000000000000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</si>
</sst>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6"/>
  <sheetViews>
    <sheetView tabSelected="1" topLeftCell="D1" workbookViewId="0">
      <pane ySplit="5" topLeftCell="A6" activePane="bottomLeft" state="frozen"/>
      <selection/>
      <selection pane="bottomLeft" activeCell="H26" sqref="H26"/>
    </sheetView>
  </sheetViews>
  <sheetFormatPr defaultColWidth="9" defaultRowHeight="14" customHeight="1"/>
  <cols>
    <col min="1" max="1" width="4.125" style="2" customWidth="1"/>
    <col min="2" max="2" width="4.875" style="2" customWidth="1"/>
    <col min="3" max="4" width="9.875" style="1" customWidth="1"/>
    <col min="5" max="5" width="16.25" style="1" customWidth="1"/>
    <col min="6" max="6" width="35.125" style="3" customWidth="1"/>
    <col min="7" max="7" width="48.375" style="3" customWidth="1"/>
    <col min="8" max="8" width="63.25" style="3" customWidth="1"/>
    <col min="9" max="9" width="12.625" style="2" customWidth="1"/>
    <col min="10" max="12" width="12.5" style="2" customWidth="1"/>
    <col min="13" max="13" width="14.125" style="2" customWidth="1"/>
    <col min="14" max="14" width="9.625" style="2" customWidth="1"/>
    <col min="15" max="16384" width="9" style="2"/>
  </cols>
  <sheetData>
    <row r="1" s="1" customFormat="1" customHeight="1" spans="1:14">
      <c r="A1" s="2"/>
      <c r="B1" s="2"/>
      <c r="F1" s="4"/>
      <c r="G1" s="4"/>
      <c r="H1" s="4"/>
      <c r="I1" s="2"/>
      <c r="J1" s="2"/>
      <c r="K1" s="2"/>
      <c r="L1" s="2"/>
      <c r="M1" s="2"/>
      <c r="N1" s="2"/>
    </row>
    <row r="2" s="1" customFormat="1" customHeight="1" spans="1:14">
      <c r="A2" s="2"/>
      <c r="B2" s="2"/>
      <c r="F2" s="4"/>
      <c r="G2" s="4"/>
      <c r="H2" s="4"/>
      <c r="I2" s="2"/>
      <c r="J2" s="2"/>
      <c r="K2" s="2"/>
      <c r="L2" s="2"/>
      <c r="M2" s="2"/>
      <c r="N2" s="2"/>
    </row>
    <row r="3" s="1" customFormat="1" customHeight="1" spans="1:14">
      <c r="A3" s="2"/>
      <c r="B3" s="2"/>
      <c r="C3" s="5" t="s">
        <v>0</v>
      </c>
      <c r="D3" s="5" t="s">
        <v>1</v>
      </c>
      <c r="E3" s="5" t="s">
        <v>2</v>
      </c>
      <c r="F3" s="6" t="s">
        <v>3</v>
      </c>
      <c r="G3" s="6" t="s">
        <v>4</v>
      </c>
      <c r="H3" s="6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1" customFormat="1" customHeight="1" spans="1:14">
      <c r="A4" s="2"/>
      <c r="B4" s="2"/>
      <c r="C4" s="5" t="s">
        <v>12</v>
      </c>
      <c r="D4" s="5" t="s">
        <v>1</v>
      </c>
      <c r="E4" s="5" t="s">
        <v>2</v>
      </c>
      <c r="F4" s="6" t="s">
        <v>3</v>
      </c>
      <c r="G4" s="6" t="s">
        <v>4</v>
      </c>
      <c r="H4" s="6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</row>
    <row r="5" s="1" customFormat="1" customHeight="1" spans="1:14">
      <c r="A5" s="2"/>
      <c r="B5" s="2"/>
      <c r="C5" s="5" t="s">
        <v>13</v>
      </c>
      <c r="D5" s="5" t="s">
        <v>14</v>
      </c>
      <c r="E5" s="5" t="s">
        <v>14</v>
      </c>
      <c r="F5" s="6" t="s">
        <v>14</v>
      </c>
      <c r="G5" s="6" t="s">
        <v>14</v>
      </c>
      <c r="H5" s="6" t="s">
        <v>14</v>
      </c>
      <c r="I5" s="5" t="s">
        <v>13</v>
      </c>
      <c r="J5" s="5" t="s">
        <v>13</v>
      </c>
      <c r="K5" s="5" t="s">
        <v>13</v>
      </c>
      <c r="L5" s="5" t="s">
        <v>13</v>
      </c>
      <c r="M5" s="5" t="s">
        <v>13</v>
      </c>
      <c r="N5" s="5" t="s">
        <v>13</v>
      </c>
    </row>
    <row r="6" customHeight="1" spans="3:14">
      <c r="C6" s="1">
        <v>1</v>
      </c>
      <c r="D6" s="1" t="s">
        <v>15</v>
      </c>
      <c r="E6" s="1" t="s">
        <v>16</v>
      </c>
      <c r="F6" s="9" t="s">
        <v>17</v>
      </c>
      <c r="G6" s="9" t="s">
        <v>18</v>
      </c>
      <c r="H6" s="9" t="s">
        <v>19</v>
      </c>
      <c r="I6" s="8">
        <v>500</v>
      </c>
      <c r="J6" s="8">
        <v>500</v>
      </c>
      <c r="K6" s="8">
        <v>1500</v>
      </c>
      <c r="L6" s="8">
        <v>20</v>
      </c>
      <c r="M6" s="8">
        <v>30</v>
      </c>
      <c r="N6" s="8">
        <v>0</v>
      </c>
    </row>
    <row r="7" customHeight="1" spans="3:14">
      <c r="C7" s="1">
        <v>2</v>
      </c>
      <c r="D7" s="1" t="s">
        <v>20</v>
      </c>
      <c r="E7" s="1" t="s">
        <v>16</v>
      </c>
      <c r="F7" s="9" t="s">
        <v>21</v>
      </c>
      <c r="G7" s="9" t="s">
        <v>22</v>
      </c>
      <c r="H7" s="9" t="s">
        <v>23</v>
      </c>
      <c r="I7" s="8">
        <f t="shared" ref="I7:I17" si="0">I6+200</f>
        <v>700</v>
      </c>
      <c r="J7" s="8">
        <f t="shared" ref="J7:J17" si="1">J6+200</f>
        <v>700</v>
      </c>
      <c r="K7" s="8">
        <f t="shared" ref="K7:K20" si="2">K6+200</f>
        <v>1700</v>
      </c>
      <c r="L7" s="8">
        <f t="shared" ref="L7:L20" si="3">L6+2</f>
        <v>22</v>
      </c>
      <c r="M7" s="8">
        <f t="shared" ref="M7:M12" si="4">M6+5</f>
        <v>35</v>
      </c>
      <c r="N7" s="8">
        <v>0</v>
      </c>
    </row>
    <row r="8" customHeight="1" spans="3:14">
      <c r="C8" s="1">
        <v>3</v>
      </c>
      <c r="D8" s="1" t="s">
        <v>24</v>
      </c>
      <c r="E8" s="1" t="s">
        <v>16</v>
      </c>
      <c r="F8" s="9" t="s">
        <v>25</v>
      </c>
      <c r="G8" s="9" t="s">
        <v>26</v>
      </c>
      <c r="H8" s="9" t="s">
        <v>27</v>
      </c>
      <c r="I8" s="8">
        <f t="shared" si="0"/>
        <v>900</v>
      </c>
      <c r="J8" s="8">
        <f t="shared" si="1"/>
        <v>900</v>
      </c>
      <c r="K8" s="8">
        <f t="shared" si="2"/>
        <v>1900</v>
      </c>
      <c r="L8" s="8">
        <f t="shared" si="3"/>
        <v>24</v>
      </c>
      <c r="M8" s="8">
        <f t="shared" si="4"/>
        <v>40</v>
      </c>
      <c r="N8" s="8">
        <v>0</v>
      </c>
    </row>
    <row r="9" customHeight="1" spans="3:14">
      <c r="C9" s="1">
        <v>4</v>
      </c>
      <c r="D9" s="1" t="s">
        <v>28</v>
      </c>
      <c r="E9" s="1" t="s">
        <v>16</v>
      </c>
      <c r="F9" s="9" t="s">
        <v>29</v>
      </c>
      <c r="G9" s="9" t="s">
        <v>30</v>
      </c>
      <c r="H9" s="9" t="s">
        <v>31</v>
      </c>
      <c r="I9" s="8">
        <f t="shared" si="0"/>
        <v>1100</v>
      </c>
      <c r="J9" s="8">
        <f t="shared" si="1"/>
        <v>1100</v>
      </c>
      <c r="K9" s="8">
        <f t="shared" si="2"/>
        <v>2100</v>
      </c>
      <c r="L9" s="8">
        <f t="shared" si="3"/>
        <v>26</v>
      </c>
      <c r="M9" s="8">
        <f t="shared" si="4"/>
        <v>45</v>
      </c>
      <c r="N9" s="8">
        <v>0</v>
      </c>
    </row>
    <row r="10" customHeight="1" spans="3:14">
      <c r="C10" s="1">
        <v>5</v>
      </c>
      <c r="D10" s="1" t="s">
        <v>32</v>
      </c>
      <c r="E10" s="1" t="s">
        <v>16</v>
      </c>
      <c r="F10" s="9" t="s">
        <v>33</v>
      </c>
      <c r="G10" s="9" t="s">
        <v>34</v>
      </c>
      <c r="H10" s="9" t="s">
        <v>35</v>
      </c>
      <c r="I10" s="8">
        <f t="shared" si="0"/>
        <v>1300</v>
      </c>
      <c r="J10" s="8">
        <f t="shared" si="1"/>
        <v>1300</v>
      </c>
      <c r="K10" s="8">
        <f t="shared" si="2"/>
        <v>2300</v>
      </c>
      <c r="L10" s="8">
        <f t="shared" si="3"/>
        <v>28</v>
      </c>
      <c r="M10" s="8">
        <f t="shared" si="4"/>
        <v>50</v>
      </c>
      <c r="N10" s="8">
        <v>0</v>
      </c>
    </row>
    <row r="11" customHeight="1" spans="3:14">
      <c r="C11" s="1">
        <v>6</v>
      </c>
      <c r="D11" s="1" t="s">
        <v>36</v>
      </c>
      <c r="E11" s="1" t="s">
        <v>16</v>
      </c>
      <c r="F11" s="9" t="s">
        <v>37</v>
      </c>
      <c r="G11" s="9" t="s">
        <v>38</v>
      </c>
      <c r="H11" s="9" t="s">
        <v>39</v>
      </c>
      <c r="I11" s="8">
        <f t="shared" si="0"/>
        <v>1500</v>
      </c>
      <c r="J11" s="8">
        <f t="shared" si="1"/>
        <v>1500</v>
      </c>
      <c r="K11" s="8">
        <f t="shared" si="2"/>
        <v>2500</v>
      </c>
      <c r="L11" s="8">
        <f t="shared" si="3"/>
        <v>30</v>
      </c>
      <c r="M11" s="8">
        <f t="shared" si="4"/>
        <v>55</v>
      </c>
      <c r="N11" s="8">
        <v>0</v>
      </c>
    </row>
    <row r="12" customHeight="1" spans="3:14">
      <c r="C12" s="1">
        <v>7</v>
      </c>
      <c r="D12" s="1" t="s">
        <v>40</v>
      </c>
      <c r="E12" s="1" t="s">
        <v>16</v>
      </c>
      <c r="F12" s="9" t="s">
        <v>41</v>
      </c>
      <c r="G12" s="9" t="s">
        <v>42</v>
      </c>
      <c r="H12" s="9" t="s">
        <v>43</v>
      </c>
      <c r="I12" s="8">
        <f t="shared" si="0"/>
        <v>1700</v>
      </c>
      <c r="J12" s="8">
        <f t="shared" si="1"/>
        <v>1700</v>
      </c>
      <c r="K12" s="8">
        <f t="shared" si="2"/>
        <v>2700</v>
      </c>
      <c r="L12" s="8">
        <f t="shared" si="3"/>
        <v>32</v>
      </c>
      <c r="M12" s="8">
        <f t="shared" si="4"/>
        <v>60</v>
      </c>
      <c r="N12" s="8">
        <v>0</v>
      </c>
    </row>
    <row r="13" customHeight="1" spans="3:14">
      <c r="C13" s="1">
        <v>8</v>
      </c>
      <c r="D13" s="1" t="s">
        <v>44</v>
      </c>
      <c r="E13" s="1" t="s">
        <v>16</v>
      </c>
      <c r="F13" s="9" t="s">
        <v>45</v>
      </c>
      <c r="G13" s="9" t="s">
        <v>46</v>
      </c>
      <c r="H13" s="9" t="s">
        <v>47</v>
      </c>
      <c r="I13" s="8">
        <f t="shared" si="0"/>
        <v>1900</v>
      </c>
      <c r="J13" s="8">
        <f t="shared" si="1"/>
        <v>1900</v>
      </c>
      <c r="K13" s="8">
        <f t="shared" si="2"/>
        <v>2900</v>
      </c>
      <c r="L13" s="8">
        <f t="shared" si="3"/>
        <v>34</v>
      </c>
      <c r="M13" s="8">
        <f t="shared" ref="M13:M17" si="5">M12+10</f>
        <v>70</v>
      </c>
      <c r="N13" s="8">
        <v>0</v>
      </c>
    </row>
    <row r="14" customHeight="1" spans="3:14">
      <c r="C14" s="1">
        <v>9</v>
      </c>
      <c r="D14" s="1" t="s">
        <v>48</v>
      </c>
      <c r="E14" s="1" t="s">
        <v>16</v>
      </c>
      <c r="F14" s="9" t="s">
        <v>49</v>
      </c>
      <c r="G14" s="9" t="s">
        <v>50</v>
      </c>
      <c r="H14" s="9" t="s">
        <v>51</v>
      </c>
      <c r="I14" s="8">
        <f t="shared" si="0"/>
        <v>2100</v>
      </c>
      <c r="J14" s="8">
        <f t="shared" si="1"/>
        <v>2100</v>
      </c>
      <c r="K14" s="8">
        <f t="shared" si="2"/>
        <v>3100</v>
      </c>
      <c r="L14" s="8">
        <f t="shared" si="3"/>
        <v>36</v>
      </c>
      <c r="M14" s="8">
        <f t="shared" si="5"/>
        <v>80</v>
      </c>
      <c r="N14" s="8">
        <v>0</v>
      </c>
    </row>
    <row r="15" customHeight="1" spans="3:14">
      <c r="C15" s="1">
        <v>10</v>
      </c>
      <c r="D15" s="1" t="s">
        <v>52</v>
      </c>
      <c r="E15" s="1" t="s">
        <v>16</v>
      </c>
      <c r="F15" s="9" t="s">
        <v>53</v>
      </c>
      <c r="G15" s="9" t="s">
        <v>54</v>
      </c>
      <c r="H15" s="9" t="s">
        <v>55</v>
      </c>
      <c r="I15" s="8">
        <f t="shared" si="0"/>
        <v>2300</v>
      </c>
      <c r="J15" s="8">
        <f t="shared" si="1"/>
        <v>2300</v>
      </c>
      <c r="K15" s="8">
        <f t="shared" si="2"/>
        <v>3300</v>
      </c>
      <c r="L15" s="8">
        <f t="shared" si="3"/>
        <v>38</v>
      </c>
      <c r="M15" s="8">
        <f t="shared" si="5"/>
        <v>90</v>
      </c>
      <c r="N15" s="8">
        <v>0</v>
      </c>
    </row>
    <row r="16" customHeight="1" spans="3:14">
      <c r="C16" s="1">
        <v>11</v>
      </c>
      <c r="D16" s="1" t="s">
        <v>56</v>
      </c>
      <c r="E16" s="1" t="s">
        <v>16</v>
      </c>
      <c r="F16" s="9" t="s">
        <v>57</v>
      </c>
      <c r="G16" s="9" t="s">
        <v>58</v>
      </c>
      <c r="H16" s="9" t="s">
        <v>59</v>
      </c>
      <c r="I16" s="8">
        <f t="shared" ref="I16:I20" si="6">I15+400</f>
        <v>2700</v>
      </c>
      <c r="J16" s="8">
        <f t="shared" ref="J16:J20" si="7">J15+400</f>
        <v>2700</v>
      </c>
      <c r="K16" s="8">
        <f t="shared" si="2"/>
        <v>3500</v>
      </c>
      <c r="L16" s="8">
        <f t="shared" si="3"/>
        <v>40</v>
      </c>
      <c r="M16" s="8">
        <f t="shared" ref="M16:M20" si="8">M15+15</f>
        <v>105</v>
      </c>
      <c r="N16" s="8">
        <v>0</v>
      </c>
    </row>
    <row r="17" customHeight="1" spans="3:14">
      <c r="C17" s="1">
        <v>12</v>
      </c>
      <c r="D17" s="1" t="s">
        <v>60</v>
      </c>
      <c r="E17" s="1" t="s">
        <v>16</v>
      </c>
      <c r="F17" s="9" t="s">
        <v>61</v>
      </c>
      <c r="G17" s="9" t="s">
        <v>62</v>
      </c>
      <c r="H17" s="9" t="s">
        <v>63</v>
      </c>
      <c r="I17" s="8">
        <f t="shared" si="6"/>
        <v>3100</v>
      </c>
      <c r="J17" s="8">
        <f t="shared" si="7"/>
        <v>3100</v>
      </c>
      <c r="K17" s="8">
        <f t="shared" si="2"/>
        <v>3700</v>
      </c>
      <c r="L17" s="8">
        <f t="shared" si="3"/>
        <v>42</v>
      </c>
      <c r="M17" s="8">
        <f t="shared" si="8"/>
        <v>120</v>
      </c>
      <c r="N17" s="8">
        <v>0</v>
      </c>
    </row>
    <row r="18" customHeight="1" spans="3:14">
      <c r="C18" s="1">
        <v>13</v>
      </c>
      <c r="D18" s="1" t="s">
        <v>64</v>
      </c>
      <c r="E18" s="1" t="s">
        <v>16</v>
      </c>
      <c r="F18" s="9" t="s">
        <v>65</v>
      </c>
      <c r="G18" s="9" t="s">
        <v>66</v>
      </c>
      <c r="H18" s="9" t="s">
        <v>67</v>
      </c>
      <c r="I18" s="8">
        <f t="shared" si="6"/>
        <v>3500</v>
      </c>
      <c r="J18" s="8">
        <f t="shared" si="7"/>
        <v>3500</v>
      </c>
      <c r="K18" s="8">
        <f t="shared" si="2"/>
        <v>3900</v>
      </c>
      <c r="L18" s="8">
        <f t="shared" si="3"/>
        <v>44</v>
      </c>
      <c r="M18" s="8">
        <f t="shared" si="8"/>
        <v>135</v>
      </c>
      <c r="N18" s="8">
        <v>0</v>
      </c>
    </row>
    <row r="19" customHeight="1" spans="3:14">
      <c r="C19" s="1">
        <v>14</v>
      </c>
      <c r="D19" s="1" t="s">
        <v>68</v>
      </c>
      <c r="E19" s="1" t="s">
        <v>16</v>
      </c>
      <c r="F19" s="9" t="s">
        <v>69</v>
      </c>
      <c r="G19" s="9" t="s">
        <v>70</v>
      </c>
      <c r="H19" s="9" t="s">
        <v>71</v>
      </c>
      <c r="I19" s="8">
        <f t="shared" si="6"/>
        <v>3900</v>
      </c>
      <c r="J19" s="8">
        <f t="shared" si="7"/>
        <v>3900</v>
      </c>
      <c r="K19" s="8">
        <f t="shared" si="2"/>
        <v>4100</v>
      </c>
      <c r="L19" s="8">
        <f t="shared" si="3"/>
        <v>46</v>
      </c>
      <c r="M19" s="8">
        <f t="shared" si="8"/>
        <v>150</v>
      </c>
      <c r="N19" s="8">
        <v>0</v>
      </c>
    </row>
    <row r="20" customHeight="1" spans="3:14">
      <c r="C20" s="1">
        <v>15</v>
      </c>
      <c r="D20" s="1" t="s">
        <v>72</v>
      </c>
      <c r="E20" s="1" t="s">
        <v>16</v>
      </c>
      <c r="F20" s="9" t="s">
        <v>73</v>
      </c>
      <c r="G20" s="9" t="s">
        <v>74</v>
      </c>
      <c r="H20" s="9" t="s">
        <v>75</v>
      </c>
      <c r="I20" s="8">
        <f t="shared" si="6"/>
        <v>4300</v>
      </c>
      <c r="J20" s="8">
        <f t="shared" si="7"/>
        <v>4300</v>
      </c>
      <c r="K20" s="8">
        <f t="shared" si="2"/>
        <v>4300</v>
      </c>
      <c r="L20" s="8">
        <f t="shared" si="3"/>
        <v>48</v>
      </c>
      <c r="M20" s="8">
        <f t="shared" si="8"/>
        <v>165</v>
      </c>
      <c r="N20" s="8">
        <v>0</v>
      </c>
    </row>
    <row r="21" customHeight="1" spans="6:6">
      <c r="F21" s="7"/>
    </row>
    <row r="23" customHeight="1" spans="6:6">
      <c r="F23" s="7"/>
    </row>
    <row r="24" customHeight="1" spans="6:7">
      <c r="F24" s="7"/>
      <c r="G24" s="7"/>
    </row>
    <row r="25" customHeight="1" spans="7:7">
      <c r="G25" s="7"/>
    </row>
    <row r="26" customHeight="1" spans="6:6">
      <c r="F26" s="7"/>
    </row>
    <row r="27" customHeight="1" spans="6:7">
      <c r="F27" s="7"/>
      <c r="G27" s="7"/>
    </row>
    <row r="28" customHeight="1" spans="6:7">
      <c r="F28" s="7"/>
      <c r="G28" s="7"/>
    </row>
    <row r="29" customHeight="1" spans="6:7">
      <c r="F29" s="7"/>
      <c r="G29" s="7"/>
    </row>
    <row r="30" customHeight="1" spans="7:7">
      <c r="G30" s="7"/>
    </row>
    <row r="31" customHeight="1" spans="7:7">
      <c r="G31" s="7"/>
    </row>
    <row r="32" customHeight="1" spans="7:7">
      <c r="G32" s="7"/>
    </row>
    <row r="33" customHeight="1" spans="7:7">
      <c r="G33" s="7"/>
    </row>
    <row r="34" customHeight="1" spans="7:7">
      <c r="G34" s="7"/>
    </row>
    <row r="35" customHeight="1" spans="7:7">
      <c r="G35" s="7"/>
    </row>
    <row r="36" customHeight="1" spans="7:7">
      <c r="G36" s="7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2024-11-25T09:25:21Z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
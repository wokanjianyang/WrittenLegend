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52" windowHeight="12255"/>
  </bookViews>
  <sheets>
    <sheet name="生成配置" sheetId="2" r:id="rId1"/>
  </sheets>
  <definedNames>
    <definedName name="_xlnm._FilterDatabase" localSheetId="0" hidden="1">生成配置!#REF!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<sst xmlns="http://schemas.openxmlformats.org/spreadsheetml/2006/main" count="227" uniqueCount="138">
  <si>
    <t>ID</t>
  </si>
  <si>
    <t>Type</t>
  </si>
  <si>
    <t>Layer</t>
  </si>
  <si>
    <t>MapName</t>
  </si>
  <si>
    <t>MonsterName</t>
  </si>
  <si>
    <t>Attr</t>
  </si>
  <si>
    <t>Def</t>
  </si>
  <si>
    <t>HP</t>
  </si>
  <si>
    <t>Strong</t>
  </si>
  <si>
    <t>DamageMul</t>
  </si>
  <si>
    <t>DamageIncrea</t>
  </si>
  <si>
    <t>DamageResist</t>
  </si>
  <si>
    <t>CritRateResist</t>
  </si>
  <si>
    <t>CritDamage</t>
  </si>
  <si>
    <t>ResotrePercent</t>
  </si>
  <si>
    <t>Miss</t>
  </si>
  <si>
    <t>Accuracy</t>
  </si>
  <si>
    <t>Protect</t>
  </si>
  <si>
    <t>Speed</t>
  </si>
  <si>
    <t>Id</t>
  </si>
  <si>
    <t>int</t>
  </si>
  <si>
    <t>string</t>
  </si>
  <si>
    <t>double</t>
  </si>
  <si>
    <t>炼体一层</t>
  </si>
  <si>
    <t>幻境魔物</t>
  </si>
  <si>
    <t>1E+15</t>
  </si>
  <si>
    <t>5E+16</t>
  </si>
  <si>
    <t>9E+23</t>
  </si>
  <si>
    <t>炼体二层</t>
  </si>
  <si>
    <t>1E+17</t>
  </si>
  <si>
    <t>5E+19</t>
  </si>
  <si>
    <t>9E+27</t>
  </si>
  <si>
    <t>炼体三层</t>
  </si>
  <si>
    <t>1E+19</t>
  </si>
  <si>
    <t>5E+22</t>
  </si>
  <si>
    <t>9E+31</t>
  </si>
  <si>
    <t>炼体四层</t>
  </si>
  <si>
    <t>1E+21</t>
  </si>
  <si>
    <t>5E+25</t>
  </si>
  <si>
    <t>9E+35</t>
  </si>
  <si>
    <t>炼体五层</t>
  </si>
  <si>
    <t>1E+23</t>
  </si>
  <si>
    <t>5E+28</t>
  </si>
  <si>
    <t>9E+39</t>
  </si>
  <si>
    <t>炼体六层</t>
  </si>
  <si>
    <t>1E+25</t>
  </si>
  <si>
    <t>5E+31</t>
  </si>
  <si>
    <t>9E+43</t>
  </si>
  <si>
    <t>炼体七层</t>
  </si>
  <si>
    <t>1E+27</t>
  </si>
  <si>
    <t>5E+34</t>
  </si>
  <si>
    <t>9E+47</t>
  </si>
  <si>
    <t>炼体八层</t>
  </si>
  <si>
    <t>1E+29</t>
  </si>
  <si>
    <t>5E+37</t>
  </si>
  <si>
    <t>9E+51</t>
  </si>
  <si>
    <t>炼体九层</t>
  </si>
  <si>
    <t>1E+31</t>
  </si>
  <si>
    <t>5E+40</t>
  </si>
  <si>
    <t>9E+55</t>
  </si>
  <si>
    <t>炼体十层</t>
  </si>
  <si>
    <t>1E+33</t>
  </si>
  <si>
    <t>5E+43</t>
  </si>
  <si>
    <t>9E+59</t>
  </si>
  <si>
    <t>炼体十一层</t>
  </si>
  <si>
    <t>1E+35</t>
  </si>
  <si>
    <t>5E+46</t>
  </si>
  <si>
    <t>9E+63</t>
  </si>
  <si>
    <t>炼体十二层</t>
  </si>
  <si>
    <t>1E+37</t>
  </si>
  <si>
    <t>5E+49</t>
  </si>
  <si>
    <t>9E+67</t>
  </si>
  <si>
    <t>炼体十三层</t>
  </si>
  <si>
    <t>1E+39</t>
  </si>
  <si>
    <t>5E+52</t>
  </si>
  <si>
    <t>9E+71</t>
  </si>
  <si>
    <t>炼体十四层</t>
  </si>
  <si>
    <t>1E+41</t>
  </si>
  <si>
    <t>5E+55</t>
  </si>
  <si>
    <t>9E+75</t>
  </si>
  <si>
    <t>炼体十五层</t>
  </si>
  <si>
    <t>1000正</t>
  </si>
  <si>
    <t>500河</t>
  </si>
  <si>
    <t>9000那</t>
  </si>
  <si>
    <t>炼体十六层</t>
  </si>
  <si>
    <t>9999载</t>
  </si>
  <si>
    <t>9999沙</t>
  </si>
  <si>
    <t>9999由</t>
  </si>
  <si>
    <t>炼体十七层</t>
  </si>
  <si>
    <t>9999极</t>
  </si>
  <si>
    <t>9999阿</t>
  </si>
  <si>
    <t>9999他</t>
  </si>
  <si>
    <t>炼体十八层</t>
  </si>
  <si>
    <t>9999恒</t>
  </si>
  <si>
    <t>9999僧</t>
  </si>
  <si>
    <t>9999不</t>
  </si>
  <si>
    <t>炼体十九层</t>
  </si>
  <si>
    <t>9999河</t>
  </si>
  <si>
    <t>9999祇</t>
  </si>
  <si>
    <t>9999可</t>
  </si>
  <si>
    <t>炼体二十层</t>
  </si>
  <si>
    <t>9999那</t>
  </si>
  <si>
    <t>9999思</t>
  </si>
  <si>
    <t>练气一层</t>
  </si>
  <si>
    <t>炼气魔物</t>
  </si>
  <si>
    <t>9E+50</t>
  </si>
  <si>
    <t>9E+40</t>
  </si>
  <si>
    <t>9E+80</t>
  </si>
  <si>
    <t>1E+20</t>
  </si>
  <si>
    <t>练气二层</t>
  </si>
  <si>
    <t>9E+45</t>
  </si>
  <si>
    <t>9E+85</t>
  </si>
  <si>
    <t>练气三层</t>
  </si>
  <si>
    <t>9E+60</t>
  </si>
  <si>
    <t>9E+90</t>
  </si>
  <si>
    <t>1E+30</t>
  </si>
  <si>
    <t>练气四层</t>
  </si>
  <si>
    <t>9E+65</t>
  </si>
  <si>
    <t>9E+95</t>
  </si>
  <si>
    <t>练气五层</t>
  </si>
  <si>
    <t>9E+70</t>
  </si>
  <si>
    <t>9E+100</t>
  </si>
  <si>
    <t>1E+40</t>
  </si>
  <si>
    <t>练气六层</t>
  </si>
  <si>
    <t>9E+105</t>
  </si>
  <si>
    <t>1E+45</t>
  </si>
  <si>
    <t>练气七层</t>
  </si>
  <si>
    <t>9E+110</t>
  </si>
  <si>
    <t>1E+50</t>
  </si>
  <si>
    <t>练气八层</t>
  </si>
  <si>
    <t>9E+115</t>
  </si>
  <si>
    <t>1E+55</t>
  </si>
  <si>
    <t>练气九层</t>
  </si>
  <si>
    <t>9E+120</t>
  </si>
  <si>
    <t>1E+60</t>
  </si>
  <si>
    <t>练气十层</t>
  </si>
  <si>
    <t>9E+125</t>
  </si>
  <si>
    <t>1E+65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</si>
</sst>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3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sz val="9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/>
    <xf numFmtId="0" fontId="1" fillId="0" borderId="0" xfId="0" applyNumberFormat="1" applyFont="1"/>
    <xf numFmtId="176" fontId="1" fillId="0" borderId="0" xfId="0" applyNumberFormat="1" applyFont="1" applyAlignment="1">
      <alignment horizontal="left"/>
    </xf>
    <xf numFmtId="0" fontId="1" fillId="0" borderId="0" xfId="0" applyNumberFormat="1" applyFont="1" applyAlignment="1">
      <alignment horizontal="left"/>
    </xf>
    <xf numFmtId="176" fontId="1" fillId="0" borderId="0" xfId="0" applyNumberFormat="1" applyFont="1"/>
    <xf numFmtId="0" fontId="2" fillId="2" borderId="0" xfId="0" applyFont="1" applyFill="1" applyAlignment="1">
      <alignment horizontal="center"/>
    </xf>
    <xf numFmtId="176" fontId="2" fillId="2" borderId="0" xfId="0" applyNumberFormat="1" applyFont="1" applyFill="1" applyAlignment="1">
      <alignment horizontal="center"/>
    </xf>
    <xf numFmtId="176" fontId="1" fillId="0" borderId="0" xfId="0" applyNumberFormat="1" applyFont="1" applyFill="1" applyAlignment="1">
      <alignment horizontal="left"/>
    </xf>
    <xf numFmtId="0" fontId="1" fillId="0" borderId="0" xfId="0" applyNumberFormat="1" applyFont="1" applyFill="1"/>
    <xf numFmtId="0" fontId="1" fillId="0" borderId="0" xfId="0" applyNumberFormat="1" applyFont="1" applyFill="1" applyAlignment="1">
      <alignment horizontal="left"/>
    </xf>
    <xf numFmtId="0" fontId="3" fillId="3" borderId="0" xfId="0" applyNumberFormat="1" applyFont="1" applyFill="1"/>
    <xf numFmtId="176" fontId="1" fillId="0" borderId="0" xfId="0" applyNumberFormat="1" applyFont="1" applyFill="1" applyAlignment="1" quotePrefix="1">
      <alignment horizontal="left"/>
    </xf>
    <xf numFmtId="0" fontId="1" fillId="0" borderId="0" xfId="0" applyNumberFormat="1" applyFont="1" applyFill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3"/>
  <sheetViews>
    <sheetView tabSelected="1" workbookViewId="0">
      <pane ySplit="5" topLeftCell="A15" activePane="bottomLeft" state="frozen"/>
      <selection/>
      <selection pane="bottomLeft" activeCell="G45" sqref="G45"/>
    </sheetView>
  </sheetViews>
  <sheetFormatPr defaultColWidth="9" defaultRowHeight="14" customHeight="1"/>
  <cols>
    <col min="1" max="1" width="4.12389380530973" style="2" customWidth="1"/>
    <col min="2" max="2" width="4.87610619469027" style="2" customWidth="1"/>
    <col min="3" max="5" width="9.87610619469027" style="1" customWidth="1"/>
    <col min="6" max="6" width="12.4778761061947" style="1" customWidth="1"/>
    <col min="7" max="7" width="16.2477876106195" style="1" customWidth="1"/>
    <col min="8" max="8" width="31.3362831858407" style="3" customWidth="1"/>
    <col min="9" max="9" width="12.5486725663717" style="3" customWidth="1"/>
    <col min="10" max="10" width="18.5221238938053" style="3" customWidth="1"/>
    <col min="11" max="11" width="9.6283185840708" style="2" customWidth="1"/>
    <col min="12" max="12" width="11.6902654867257" style="4" customWidth="1"/>
    <col min="13" max="13" width="12.6283185840708" style="2" customWidth="1"/>
    <col min="14" max="15" width="12.5044247787611" style="2" customWidth="1"/>
    <col min="16" max="16" width="8" style="2" customWidth="1"/>
    <col min="17" max="17" width="12.5044247787611" style="2" customWidth="1"/>
    <col min="18" max="18" width="11.0176991150442" style="2" customWidth="1"/>
    <col min="19" max="19" width="10.4247787610619" style="2" customWidth="1"/>
    <col min="20" max="21" width="9.6283185840708" style="2" customWidth="1"/>
    <col min="24" max="16384" width="9" style="2"/>
  </cols>
  <sheetData>
    <row r="1" s="1" customFormat="1" customHeight="1" spans="1:21">
      <c r="A1" s="2"/>
      <c r="B1" s="2"/>
      <c r="H1" s="5"/>
      <c r="I1" s="5"/>
      <c r="J1" s="5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="1" customFormat="1" customHeight="1" spans="1:21">
      <c r="A2" s="2"/>
      <c r="B2" s="2"/>
      <c r="H2" s="5"/>
      <c r="I2" s="5"/>
      <c r="J2" s="5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="1" customFormat="1" customHeight="1" spans="1:21">
      <c r="A3" s="2"/>
      <c r="B3" s="2"/>
      <c r="C3" s="6" t="s">
        <v>0</v>
      </c>
      <c r="D3" s="6" t="s">
        <v>1</v>
      </c>
      <c r="E3" s="6" t="s">
        <v>2</v>
      </c>
      <c r="F3" s="6" t="s">
        <v>3</v>
      </c>
      <c r="G3" s="6" t="s">
        <v>4</v>
      </c>
      <c r="H3" s="7" t="s">
        <v>5</v>
      </c>
      <c r="I3" s="7" t="s">
        <v>6</v>
      </c>
      <c r="J3" s="7" t="s">
        <v>7</v>
      </c>
      <c r="K3" s="6" t="s">
        <v>8</v>
      </c>
      <c r="L3" s="6" t="s">
        <v>9</v>
      </c>
      <c r="M3" s="6" t="s">
        <v>10</v>
      </c>
      <c r="N3" s="6" t="s">
        <v>11</v>
      </c>
      <c r="O3" s="6" t="s">
        <v>12</v>
      </c>
      <c r="P3" s="6" t="s">
        <v>13</v>
      </c>
      <c r="Q3" s="6" t="s">
        <v>14</v>
      </c>
      <c r="R3" s="6" t="s">
        <v>15</v>
      </c>
      <c r="S3" s="6" t="s">
        <v>16</v>
      </c>
      <c r="T3" s="6" t="s">
        <v>17</v>
      </c>
      <c r="U3" s="6" t="s">
        <v>18</v>
      </c>
    </row>
    <row r="4" s="1" customFormat="1" customHeight="1" spans="1:21">
      <c r="A4" s="2"/>
      <c r="B4" s="2"/>
      <c r="C4" s="6" t="s">
        <v>19</v>
      </c>
      <c r="D4" s="6" t="s">
        <v>1</v>
      </c>
      <c r="E4" s="6" t="s">
        <v>2</v>
      </c>
      <c r="F4" s="6" t="s">
        <v>3</v>
      </c>
      <c r="G4" s="6" t="s">
        <v>4</v>
      </c>
      <c r="H4" s="7" t="s">
        <v>5</v>
      </c>
      <c r="I4" s="7" t="s">
        <v>6</v>
      </c>
      <c r="J4" s="7" t="s">
        <v>7</v>
      </c>
      <c r="K4" s="6" t="s">
        <v>8</v>
      </c>
      <c r="L4" s="6" t="s">
        <v>9</v>
      </c>
      <c r="M4" s="6" t="s">
        <v>10</v>
      </c>
      <c r="N4" s="6" t="s">
        <v>11</v>
      </c>
      <c r="O4" s="6" t="s">
        <v>12</v>
      </c>
      <c r="P4" s="6" t="s">
        <v>13</v>
      </c>
      <c r="Q4" s="6" t="s">
        <v>14</v>
      </c>
      <c r="R4" s="6" t="s">
        <v>15</v>
      </c>
      <c r="S4" s="6" t="s">
        <v>16</v>
      </c>
      <c r="T4" s="6" t="s">
        <v>17</v>
      </c>
      <c r="U4" s="6" t="s">
        <v>18</v>
      </c>
    </row>
    <row r="5" s="1" customFormat="1" customHeight="1" spans="1:21">
      <c r="A5" s="2"/>
      <c r="B5" s="2"/>
      <c r="C5" s="6" t="s">
        <v>20</v>
      </c>
      <c r="D5" s="6" t="s">
        <v>20</v>
      </c>
      <c r="E5" s="6" t="s">
        <v>20</v>
      </c>
      <c r="F5" s="6" t="s">
        <v>21</v>
      </c>
      <c r="G5" s="6" t="s">
        <v>21</v>
      </c>
      <c r="H5" s="7" t="s">
        <v>21</v>
      </c>
      <c r="I5" s="7" t="s">
        <v>21</v>
      </c>
      <c r="J5" s="7" t="s">
        <v>21</v>
      </c>
      <c r="K5" s="7" t="s">
        <v>21</v>
      </c>
      <c r="L5" s="6" t="s">
        <v>21</v>
      </c>
      <c r="M5" s="6" t="s">
        <v>20</v>
      </c>
      <c r="N5" s="6" t="s">
        <v>20</v>
      </c>
      <c r="O5" s="6" t="s">
        <v>20</v>
      </c>
      <c r="P5" s="6" t="s">
        <v>20</v>
      </c>
      <c r="Q5" s="6" t="s">
        <v>20</v>
      </c>
      <c r="R5" s="6" t="s">
        <v>20</v>
      </c>
      <c r="S5" s="6" t="s">
        <v>20</v>
      </c>
      <c r="T5" s="6" t="s">
        <v>20</v>
      </c>
      <c r="U5" s="6" t="s">
        <v>22</v>
      </c>
    </row>
    <row r="6" customHeight="1" spans="3:21">
      <c r="C6" s="1">
        <v>1</v>
      </c>
      <c r="D6" s="1">
        <v>1</v>
      </c>
      <c r="E6" s="1">
        <v>1</v>
      </c>
      <c r="F6" s="1" t="s">
        <v>23</v>
      </c>
      <c r="G6" s="1" t="s">
        <v>24</v>
      </c>
      <c r="H6" s="12" t="s">
        <v>25</v>
      </c>
      <c r="I6" s="12" t="s">
        <v>26</v>
      </c>
      <c r="J6" s="12" t="s">
        <v>27</v>
      </c>
      <c r="K6" s="9">
        <v>0</v>
      </c>
      <c r="L6" s="10">
        <v>0</v>
      </c>
      <c r="M6" s="9">
        <v>500</v>
      </c>
      <c r="N6" s="9">
        <v>500</v>
      </c>
      <c r="O6" s="9">
        <v>1500</v>
      </c>
      <c r="P6" s="9">
        <v>0</v>
      </c>
      <c r="Q6" s="9">
        <v>20</v>
      </c>
      <c r="R6" s="9">
        <v>30</v>
      </c>
      <c r="S6" s="9">
        <v>0</v>
      </c>
      <c r="T6" s="9">
        <v>0</v>
      </c>
      <c r="U6" s="9">
        <v>0</v>
      </c>
    </row>
    <row r="7" customHeight="1" spans="3:21">
      <c r="C7" s="1">
        <v>2</v>
      </c>
      <c r="D7" s="1">
        <v>1</v>
      </c>
      <c r="E7" s="1">
        <v>2</v>
      </c>
      <c r="F7" s="1" t="s">
        <v>28</v>
      </c>
      <c r="G7" s="1" t="s">
        <v>24</v>
      </c>
      <c r="H7" s="12" t="s">
        <v>29</v>
      </c>
      <c r="I7" s="12" t="s">
        <v>30</v>
      </c>
      <c r="J7" s="12" t="s">
        <v>31</v>
      </c>
      <c r="K7" s="9">
        <v>0</v>
      </c>
      <c r="L7" s="10">
        <v>0</v>
      </c>
      <c r="M7" s="9">
        <f t="shared" ref="M7:M17" si="0">M6+200</f>
        <v>700</v>
      </c>
      <c r="N7" s="9">
        <f t="shared" ref="N7:N17" si="1">N6+200</f>
        <v>700</v>
      </c>
      <c r="O7" s="9">
        <f t="shared" ref="O7:O25" si="2">O6+200</f>
        <v>1700</v>
      </c>
      <c r="P7" s="9">
        <v>0</v>
      </c>
      <c r="Q7" s="9">
        <f t="shared" ref="Q7:Q25" si="3">Q6+2</f>
        <v>22</v>
      </c>
      <c r="R7" s="9">
        <f t="shared" ref="R7:R12" si="4">R6+5</f>
        <v>35</v>
      </c>
      <c r="S7" s="9">
        <v>0</v>
      </c>
      <c r="T7" s="9">
        <v>0</v>
      </c>
      <c r="U7" s="9">
        <v>0</v>
      </c>
    </row>
    <row r="8" customHeight="1" spans="3:21">
      <c r="C8" s="1">
        <v>3</v>
      </c>
      <c r="D8" s="1">
        <v>1</v>
      </c>
      <c r="E8" s="1">
        <v>3</v>
      </c>
      <c r="F8" s="1" t="s">
        <v>32</v>
      </c>
      <c r="G8" s="1" t="s">
        <v>24</v>
      </c>
      <c r="H8" s="12" t="s">
        <v>33</v>
      </c>
      <c r="I8" s="12" t="s">
        <v>34</v>
      </c>
      <c r="J8" s="12" t="s">
        <v>35</v>
      </c>
      <c r="K8" s="9">
        <v>0</v>
      </c>
      <c r="L8" s="10">
        <v>0</v>
      </c>
      <c r="M8" s="9">
        <f t="shared" si="0"/>
        <v>900</v>
      </c>
      <c r="N8" s="9">
        <f t="shared" si="1"/>
        <v>900</v>
      </c>
      <c r="O8" s="9">
        <f t="shared" si="2"/>
        <v>1900</v>
      </c>
      <c r="P8" s="9">
        <v>0</v>
      </c>
      <c r="Q8" s="9">
        <f t="shared" si="3"/>
        <v>24</v>
      </c>
      <c r="R8" s="9">
        <f t="shared" si="4"/>
        <v>40</v>
      </c>
      <c r="S8" s="9">
        <v>0</v>
      </c>
      <c r="T8" s="9">
        <v>0</v>
      </c>
      <c r="U8" s="9">
        <v>0</v>
      </c>
    </row>
    <row r="9" customHeight="1" spans="3:21">
      <c r="C9" s="1">
        <v>4</v>
      </c>
      <c r="D9" s="1">
        <v>1</v>
      </c>
      <c r="E9" s="1">
        <v>4</v>
      </c>
      <c r="F9" s="1" t="s">
        <v>36</v>
      </c>
      <c r="G9" s="1" t="s">
        <v>24</v>
      </c>
      <c r="H9" s="12" t="s">
        <v>37</v>
      </c>
      <c r="I9" s="12" t="s">
        <v>38</v>
      </c>
      <c r="J9" s="12" t="s">
        <v>39</v>
      </c>
      <c r="K9" s="9">
        <v>0</v>
      </c>
      <c r="L9" s="10">
        <v>0</v>
      </c>
      <c r="M9" s="9">
        <f t="shared" si="0"/>
        <v>1100</v>
      </c>
      <c r="N9" s="9">
        <f t="shared" si="1"/>
        <v>1100</v>
      </c>
      <c r="O9" s="9">
        <f t="shared" si="2"/>
        <v>2100</v>
      </c>
      <c r="P9" s="9">
        <v>0</v>
      </c>
      <c r="Q9" s="9">
        <f t="shared" si="3"/>
        <v>26</v>
      </c>
      <c r="R9" s="9">
        <f t="shared" si="4"/>
        <v>45</v>
      </c>
      <c r="S9" s="9">
        <v>0</v>
      </c>
      <c r="T9" s="9">
        <v>0</v>
      </c>
      <c r="U9" s="9">
        <v>0</v>
      </c>
    </row>
    <row r="10" customHeight="1" spans="3:21">
      <c r="C10" s="1">
        <v>5</v>
      </c>
      <c r="D10" s="1">
        <v>1</v>
      </c>
      <c r="E10" s="1">
        <v>5</v>
      </c>
      <c r="F10" s="1" t="s">
        <v>40</v>
      </c>
      <c r="G10" s="1" t="s">
        <v>24</v>
      </c>
      <c r="H10" s="12" t="s">
        <v>41</v>
      </c>
      <c r="I10" s="12" t="s">
        <v>42</v>
      </c>
      <c r="J10" s="12" t="s">
        <v>43</v>
      </c>
      <c r="K10" s="9">
        <v>0</v>
      </c>
      <c r="L10" s="10">
        <v>0</v>
      </c>
      <c r="M10" s="9">
        <f t="shared" si="0"/>
        <v>1300</v>
      </c>
      <c r="N10" s="9">
        <f t="shared" si="1"/>
        <v>1300</v>
      </c>
      <c r="O10" s="9">
        <f t="shared" si="2"/>
        <v>2300</v>
      </c>
      <c r="P10" s="9">
        <v>0</v>
      </c>
      <c r="Q10" s="9">
        <f t="shared" si="3"/>
        <v>28</v>
      </c>
      <c r="R10" s="9">
        <f t="shared" si="4"/>
        <v>50</v>
      </c>
      <c r="S10" s="9">
        <v>0</v>
      </c>
      <c r="T10" s="9">
        <v>0</v>
      </c>
      <c r="U10" s="9">
        <v>0</v>
      </c>
    </row>
    <row r="11" customHeight="1" spans="3:21">
      <c r="C11" s="1">
        <v>6</v>
      </c>
      <c r="D11" s="1">
        <v>1</v>
      </c>
      <c r="E11" s="1">
        <v>6</v>
      </c>
      <c r="F11" s="1" t="s">
        <v>44</v>
      </c>
      <c r="G11" s="1" t="s">
        <v>24</v>
      </c>
      <c r="H11" s="12" t="s">
        <v>45</v>
      </c>
      <c r="I11" s="12" t="s">
        <v>46</v>
      </c>
      <c r="J11" s="12" t="s">
        <v>47</v>
      </c>
      <c r="K11" s="9">
        <v>0</v>
      </c>
      <c r="L11" s="10">
        <v>0</v>
      </c>
      <c r="M11" s="9">
        <f t="shared" si="0"/>
        <v>1500</v>
      </c>
      <c r="N11" s="9">
        <f t="shared" si="1"/>
        <v>1500</v>
      </c>
      <c r="O11" s="9">
        <f t="shared" si="2"/>
        <v>2500</v>
      </c>
      <c r="P11" s="9">
        <v>0</v>
      </c>
      <c r="Q11" s="9">
        <f t="shared" si="3"/>
        <v>30</v>
      </c>
      <c r="R11" s="9">
        <f t="shared" si="4"/>
        <v>55</v>
      </c>
      <c r="S11" s="9">
        <v>0</v>
      </c>
      <c r="T11" s="9">
        <v>0</v>
      </c>
      <c r="U11" s="9">
        <v>0</v>
      </c>
    </row>
    <row r="12" customHeight="1" spans="3:21">
      <c r="C12" s="1">
        <v>7</v>
      </c>
      <c r="D12" s="1">
        <v>1</v>
      </c>
      <c r="E12" s="1">
        <v>7</v>
      </c>
      <c r="F12" s="1" t="s">
        <v>48</v>
      </c>
      <c r="G12" s="1" t="s">
        <v>24</v>
      </c>
      <c r="H12" s="12" t="s">
        <v>49</v>
      </c>
      <c r="I12" s="12" t="s">
        <v>50</v>
      </c>
      <c r="J12" s="12" t="s">
        <v>51</v>
      </c>
      <c r="K12" s="9">
        <v>0</v>
      </c>
      <c r="L12" s="10">
        <v>0</v>
      </c>
      <c r="M12" s="9">
        <f t="shared" si="0"/>
        <v>1700</v>
      </c>
      <c r="N12" s="9">
        <f t="shared" si="1"/>
        <v>1700</v>
      </c>
      <c r="O12" s="9">
        <f t="shared" si="2"/>
        <v>2700</v>
      </c>
      <c r="P12" s="9">
        <v>0</v>
      </c>
      <c r="Q12" s="9">
        <f t="shared" si="3"/>
        <v>32</v>
      </c>
      <c r="R12" s="9">
        <f t="shared" si="4"/>
        <v>60</v>
      </c>
      <c r="S12" s="9">
        <v>0</v>
      </c>
      <c r="T12" s="9">
        <v>0</v>
      </c>
      <c r="U12" s="9">
        <v>0</v>
      </c>
    </row>
    <row r="13" customHeight="1" spans="3:21">
      <c r="C13" s="1">
        <v>8</v>
      </c>
      <c r="D13" s="1">
        <v>1</v>
      </c>
      <c r="E13" s="1">
        <v>8</v>
      </c>
      <c r="F13" s="1" t="s">
        <v>52</v>
      </c>
      <c r="G13" s="1" t="s">
        <v>24</v>
      </c>
      <c r="H13" s="12" t="s">
        <v>53</v>
      </c>
      <c r="I13" s="12" t="s">
        <v>54</v>
      </c>
      <c r="J13" s="12" t="s">
        <v>55</v>
      </c>
      <c r="K13" s="9">
        <v>0</v>
      </c>
      <c r="L13" s="10">
        <v>0</v>
      </c>
      <c r="M13" s="9">
        <f t="shared" si="0"/>
        <v>1900</v>
      </c>
      <c r="N13" s="9">
        <f t="shared" si="1"/>
        <v>1900</v>
      </c>
      <c r="O13" s="9">
        <f t="shared" si="2"/>
        <v>2900</v>
      </c>
      <c r="P13" s="9">
        <v>0</v>
      </c>
      <c r="Q13" s="9">
        <f t="shared" si="3"/>
        <v>34</v>
      </c>
      <c r="R13" s="9">
        <f t="shared" ref="R13:R17" si="5">R12+10</f>
        <v>70</v>
      </c>
      <c r="S13" s="9">
        <v>0</v>
      </c>
      <c r="T13" s="9">
        <v>0</v>
      </c>
      <c r="U13" s="9">
        <v>0</v>
      </c>
    </row>
    <row r="14" customHeight="1" spans="3:21">
      <c r="C14" s="1">
        <v>9</v>
      </c>
      <c r="D14" s="1">
        <v>1</v>
      </c>
      <c r="E14" s="1">
        <v>9</v>
      </c>
      <c r="F14" s="1" t="s">
        <v>56</v>
      </c>
      <c r="G14" s="1" t="s">
        <v>24</v>
      </c>
      <c r="H14" s="12" t="s">
        <v>57</v>
      </c>
      <c r="I14" s="12" t="s">
        <v>58</v>
      </c>
      <c r="J14" s="12" t="s">
        <v>59</v>
      </c>
      <c r="K14" s="9">
        <v>0</v>
      </c>
      <c r="L14" s="10">
        <v>0</v>
      </c>
      <c r="M14" s="9">
        <f t="shared" si="0"/>
        <v>2100</v>
      </c>
      <c r="N14" s="9">
        <f t="shared" si="1"/>
        <v>2100</v>
      </c>
      <c r="O14" s="9">
        <f t="shared" si="2"/>
        <v>3100</v>
      </c>
      <c r="P14" s="9">
        <v>0</v>
      </c>
      <c r="Q14" s="9">
        <f t="shared" si="3"/>
        <v>36</v>
      </c>
      <c r="R14" s="9">
        <f t="shared" si="5"/>
        <v>80</v>
      </c>
      <c r="S14" s="9">
        <v>0</v>
      </c>
      <c r="T14" s="9">
        <v>0</v>
      </c>
      <c r="U14" s="9">
        <v>0</v>
      </c>
    </row>
    <row r="15" customHeight="1" spans="3:21">
      <c r="C15" s="1">
        <v>10</v>
      </c>
      <c r="D15" s="1">
        <v>1</v>
      </c>
      <c r="E15" s="1">
        <v>10</v>
      </c>
      <c r="F15" s="1" t="s">
        <v>60</v>
      </c>
      <c r="G15" s="1" t="s">
        <v>24</v>
      </c>
      <c r="H15" s="12" t="s">
        <v>61</v>
      </c>
      <c r="I15" s="12" t="s">
        <v>62</v>
      </c>
      <c r="J15" s="12" t="s">
        <v>63</v>
      </c>
      <c r="K15" s="9">
        <v>0</v>
      </c>
      <c r="L15" s="10">
        <v>0</v>
      </c>
      <c r="M15" s="9">
        <f t="shared" si="0"/>
        <v>2300</v>
      </c>
      <c r="N15" s="9">
        <f t="shared" si="1"/>
        <v>2300</v>
      </c>
      <c r="O15" s="9">
        <f t="shared" si="2"/>
        <v>3300</v>
      </c>
      <c r="P15" s="9">
        <v>0</v>
      </c>
      <c r="Q15" s="9">
        <f t="shared" si="3"/>
        <v>38</v>
      </c>
      <c r="R15" s="9">
        <f t="shared" si="5"/>
        <v>90</v>
      </c>
      <c r="S15" s="9">
        <v>0</v>
      </c>
      <c r="T15" s="9">
        <v>0</v>
      </c>
      <c r="U15" s="9">
        <v>0</v>
      </c>
    </row>
    <row r="16" customHeight="1" spans="3:21">
      <c r="C16" s="1">
        <v>11</v>
      </c>
      <c r="D16" s="1">
        <v>1</v>
      </c>
      <c r="E16" s="1">
        <v>11</v>
      </c>
      <c r="F16" s="1" t="s">
        <v>64</v>
      </c>
      <c r="G16" s="1" t="s">
        <v>24</v>
      </c>
      <c r="H16" s="12" t="s">
        <v>65</v>
      </c>
      <c r="I16" s="12" t="s">
        <v>66</v>
      </c>
      <c r="J16" s="12" t="s">
        <v>67</v>
      </c>
      <c r="K16" s="9">
        <v>0</v>
      </c>
      <c r="L16" s="10">
        <v>0</v>
      </c>
      <c r="M16" s="9">
        <f t="shared" ref="M16:M25" si="6">M15+400</f>
        <v>2700</v>
      </c>
      <c r="N16" s="9">
        <f t="shared" ref="N16:N25" si="7">N15+400</f>
        <v>2700</v>
      </c>
      <c r="O16" s="9">
        <f t="shared" si="2"/>
        <v>3500</v>
      </c>
      <c r="P16" s="9">
        <v>0</v>
      </c>
      <c r="Q16" s="9">
        <f t="shared" si="3"/>
        <v>40</v>
      </c>
      <c r="R16" s="9">
        <f t="shared" ref="R16:R25" si="8">R15+15</f>
        <v>105</v>
      </c>
      <c r="S16" s="9">
        <v>0</v>
      </c>
      <c r="T16" s="9">
        <v>0</v>
      </c>
      <c r="U16" s="9">
        <v>0</v>
      </c>
    </row>
    <row r="17" customHeight="1" spans="3:21">
      <c r="C17" s="1">
        <v>12</v>
      </c>
      <c r="D17" s="1">
        <v>1</v>
      </c>
      <c r="E17" s="1">
        <v>12</v>
      </c>
      <c r="F17" s="1" t="s">
        <v>68</v>
      </c>
      <c r="G17" s="1" t="s">
        <v>24</v>
      </c>
      <c r="H17" s="12" t="s">
        <v>69</v>
      </c>
      <c r="I17" s="12" t="s">
        <v>70</v>
      </c>
      <c r="J17" s="12" t="s">
        <v>71</v>
      </c>
      <c r="K17" s="9">
        <v>0</v>
      </c>
      <c r="L17" s="10">
        <v>0</v>
      </c>
      <c r="M17" s="9">
        <f t="shared" si="6"/>
        <v>3100</v>
      </c>
      <c r="N17" s="9">
        <f t="shared" si="7"/>
        <v>3100</v>
      </c>
      <c r="O17" s="9">
        <f t="shared" si="2"/>
        <v>3700</v>
      </c>
      <c r="P17" s="9">
        <v>0</v>
      </c>
      <c r="Q17" s="9">
        <f t="shared" si="3"/>
        <v>42</v>
      </c>
      <c r="R17" s="9">
        <f t="shared" si="8"/>
        <v>120</v>
      </c>
      <c r="S17" s="9">
        <v>0</v>
      </c>
      <c r="T17" s="9">
        <v>0</v>
      </c>
      <c r="U17" s="9">
        <v>0</v>
      </c>
    </row>
    <row r="18" customHeight="1" spans="3:21">
      <c r="C18" s="1">
        <v>13</v>
      </c>
      <c r="D18" s="1">
        <v>1</v>
      </c>
      <c r="E18" s="1">
        <v>13</v>
      </c>
      <c r="F18" s="1" t="s">
        <v>72</v>
      </c>
      <c r="G18" s="1" t="s">
        <v>24</v>
      </c>
      <c r="H18" s="12" t="s">
        <v>73</v>
      </c>
      <c r="I18" s="12" t="s">
        <v>74</v>
      </c>
      <c r="J18" s="12" t="s">
        <v>75</v>
      </c>
      <c r="K18" s="9">
        <v>0</v>
      </c>
      <c r="L18" s="10">
        <v>0</v>
      </c>
      <c r="M18" s="9">
        <f t="shared" si="6"/>
        <v>3500</v>
      </c>
      <c r="N18" s="9">
        <f t="shared" si="7"/>
        <v>3500</v>
      </c>
      <c r="O18" s="9">
        <f t="shared" si="2"/>
        <v>3900</v>
      </c>
      <c r="P18" s="9">
        <v>0</v>
      </c>
      <c r="Q18" s="9">
        <f t="shared" si="3"/>
        <v>44</v>
      </c>
      <c r="R18" s="9">
        <f t="shared" si="8"/>
        <v>135</v>
      </c>
      <c r="S18" s="9">
        <v>0</v>
      </c>
      <c r="T18" s="9">
        <v>0</v>
      </c>
      <c r="U18" s="9">
        <v>0</v>
      </c>
    </row>
    <row r="19" customHeight="1" spans="3:21">
      <c r="C19" s="1">
        <v>14</v>
      </c>
      <c r="D19" s="1">
        <v>1</v>
      </c>
      <c r="E19" s="1">
        <v>14</v>
      </c>
      <c r="F19" s="1" t="s">
        <v>76</v>
      </c>
      <c r="G19" s="1" t="s">
        <v>24</v>
      </c>
      <c r="H19" s="12" t="s">
        <v>77</v>
      </c>
      <c r="I19" s="12" t="s">
        <v>78</v>
      </c>
      <c r="J19" s="12" t="s">
        <v>79</v>
      </c>
      <c r="K19" s="9">
        <v>0</v>
      </c>
      <c r="L19" s="10">
        <v>0</v>
      </c>
      <c r="M19" s="9">
        <f t="shared" si="6"/>
        <v>3900</v>
      </c>
      <c r="N19" s="9">
        <f t="shared" si="7"/>
        <v>3900</v>
      </c>
      <c r="O19" s="9">
        <f t="shared" si="2"/>
        <v>4100</v>
      </c>
      <c r="P19" s="9">
        <v>0</v>
      </c>
      <c r="Q19" s="9">
        <f t="shared" si="3"/>
        <v>46</v>
      </c>
      <c r="R19" s="9">
        <f t="shared" si="8"/>
        <v>150</v>
      </c>
      <c r="S19" s="9">
        <v>0</v>
      </c>
      <c r="T19" s="9">
        <v>0</v>
      </c>
      <c r="U19" s="9">
        <v>0</v>
      </c>
    </row>
    <row r="20" customHeight="1" spans="3:21">
      <c r="C20" s="1">
        <v>15</v>
      </c>
      <c r="D20" s="1">
        <v>1</v>
      </c>
      <c r="E20" s="1">
        <v>15</v>
      </c>
      <c r="F20" s="1" t="s">
        <v>80</v>
      </c>
      <c r="G20" s="1" t="s">
        <v>24</v>
      </c>
      <c r="H20" s="8" t="s">
        <v>81</v>
      </c>
      <c r="I20" s="8" t="s">
        <v>82</v>
      </c>
      <c r="J20" s="8" t="s">
        <v>83</v>
      </c>
      <c r="K20" s="9">
        <v>0</v>
      </c>
      <c r="L20" s="10">
        <v>0</v>
      </c>
      <c r="M20" s="9">
        <f t="shared" si="6"/>
        <v>4300</v>
      </c>
      <c r="N20" s="9">
        <f t="shared" si="7"/>
        <v>4300</v>
      </c>
      <c r="O20" s="9">
        <f t="shared" si="2"/>
        <v>4300</v>
      </c>
      <c r="P20" s="9">
        <v>0</v>
      </c>
      <c r="Q20" s="9">
        <f t="shared" si="3"/>
        <v>48</v>
      </c>
      <c r="R20" s="9">
        <f t="shared" si="8"/>
        <v>165</v>
      </c>
      <c r="S20" s="9">
        <v>0</v>
      </c>
      <c r="T20" s="9">
        <v>0</v>
      </c>
      <c r="U20" s="9">
        <v>0</v>
      </c>
    </row>
    <row r="21" customHeight="1" spans="3:21">
      <c r="C21" s="1">
        <v>16</v>
      </c>
      <c r="D21" s="1">
        <v>1</v>
      </c>
      <c r="E21" s="1">
        <v>16</v>
      </c>
      <c r="F21" s="1" t="s">
        <v>84</v>
      </c>
      <c r="G21" s="1" t="s">
        <v>24</v>
      </c>
      <c r="H21" s="8" t="s">
        <v>85</v>
      </c>
      <c r="I21" s="8" t="s">
        <v>86</v>
      </c>
      <c r="J21" s="8" t="s">
        <v>87</v>
      </c>
      <c r="K21" s="9">
        <v>0</v>
      </c>
      <c r="L21" s="10">
        <v>0</v>
      </c>
      <c r="M21" s="9">
        <f t="shared" ref="M21:M25" si="9">M20+800</f>
        <v>5100</v>
      </c>
      <c r="N21" s="9">
        <f t="shared" ref="N21:N25" si="10">N20+800</f>
        <v>5100</v>
      </c>
      <c r="O21" s="9">
        <f t="shared" ref="O21:O26" si="11">O20+400</f>
        <v>4700</v>
      </c>
      <c r="P21" s="9">
        <v>0</v>
      </c>
      <c r="Q21" s="9">
        <f t="shared" si="3"/>
        <v>50</v>
      </c>
      <c r="R21" s="9">
        <f t="shared" ref="R21:R25" si="12">R20+30</f>
        <v>195</v>
      </c>
      <c r="S21" s="9">
        <v>0</v>
      </c>
      <c r="T21" s="9">
        <v>10</v>
      </c>
      <c r="U21" s="9">
        <v>0</v>
      </c>
    </row>
    <row r="22" customHeight="1" spans="3:21">
      <c r="C22" s="1">
        <v>17</v>
      </c>
      <c r="D22" s="1">
        <v>1</v>
      </c>
      <c r="E22" s="1">
        <v>17</v>
      </c>
      <c r="F22" s="1" t="s">
        <v>88</v>
      </c>
      <c r="G22" s="1" t="s">
        <v>24</v>
      </c>
      <c r="H22" s="8" t="s">
        <v>89</v>
      </c>
      <c r="I22" s="8" t="s">
        <v>90</v>
      </c>
      <c r="J22" s="8" t="s">
        <v>91</v>
      </c>
      <c r="K22" s="9">
        <v>0</v>
      </c>
      <c r="L22" s="10">
        <v>0</v>
      </c>
      <c r="M22" s="9">
        <f t="shared" si="9"/>
        <v>5900</v>
      </c>
      <c r="N22" s="9">
        <f t="shared" si="10"/>
        <v>5900</v>
      </c>
      <c r="O22" s="9">
        <f t="shared" si="11"/>
        <v>5100</v>
      </c>
      <c r="P22" s="9">
        <v>0</v>
      </c>
      <c r="Q22" s="9">
        <f t="shared" si="3"/>
        <v>52</v>
      </c>
      <c r="R22" s="9">
        <f t="shared" si="12"/>
        <v>225</v>
      </c>
      <c r="S22" s="9">
        <v>0</v>
      </c>
      <c r="T22" s="9">
        <v>20</v>
      </c>
      <c r="U22" s="9">
        <v>0</v>
      </c>
    </row>
    <row r="23" customHeight="1" spans="3:21">
      <c r="C23" s="1">
        <v>18</v>
      </c>
      <c r="D23" s="1">
        <v>1</v>
      </c>
      <c r="E23" s="1">
        <v>18</v>
      </c>
      <c r="F23" s="1" t="s">
        <v>92</v>
      </c>
      <c r="G23" s="1" t="s">
        <v>24</v>
      </c>
      <c r="H23" s="8" t="s">
        <v>93</v>
      </c>
      <c r="I23" s="8" t="s">
        <v>94</v>
      </c>
      <c r="J23" s="8" t="s">
        <v>95</v>
      </c>
      <c r="K23" s="9">
        <v>0</v>
      </c>
      <c r="L23" s="10">
        <v>0</v>
      </c>
      <c r="M23" s="9">
        <f t="shared" si="9"/>
        <v>6700</v>
      </c>
      <c r="N23" s="9">
        <f t="shared" si="10"/>
        <v>6700</v>
      </c>
      <c r="O23" s="9">
        <f t="shared" si="11"/>
        <v>5500</v>
      </c>
      <c r="P23" s="9">
        <v>0</v>
      </c>
      <c r="Q23" s="9">
        <f t="shared" si="3"/>
        <v>54</v>
      </c>
      <c r="R23" s="9">
        <f t="shared" si="12"/>
        <v>255</v>
      </c>
      <c r="S23" s="9">
        <v>0</v>
      </c>
      <c r="T23" s="9">
        <v>30</v>
      </c>
      <c r="U23" s="9">
        <v>0</v>
      </c>
    </row>
    <row r="24" customHeight="1" spans="3:21">
      <c r="C24" s="1">
        <v>19</v>
      </c>
      <c r="D24" s="1">
        <v>1</v>
      </c>
      <c r="E24" s="1">
        <v>19</v>
      </c>
      <c r="F24" s="1" t="s">
        <v>96</v>
      </c>
      <c r="G24" s="1" t="s">
        <v>24</v>
      </c>
      <c r="H24" s="8" t="s">
        <v>97</v>
      </c>
      <c r="I24" s="8" t="s">
        <v>98</v>
      </c>
      <c r="J24" s="8" t="s">
        <v>99</v>
      </c>
      <c r="K24" s="9">
        <v>0</v>
      </c>
      <c r="L24" s="10">
        <v>0</v>
      </c>
      <c r="M24" s="9">
        <f t="shared" si="9"/>
        <v>7500</v>
      </c>
      <c r="N24" s="9">
        <f t="shared" si="10"/>
        <v>7500</v>
      </c>
      <c r="O24" s="9">
        <f t="shared" si="11"/>
        <v>5900</v>
      </c>
      <c r="P24" s="9">
        <v>0</v>
      </c>
      <c r="Q24" s="9">
        <f t="shared" si="3"/>
        <v>56</v>
      </c>
      <c r="R24" s="9">
        <f t="shared" si="12"/>
        <v>285</v>
      </c>
      <c r="S24" s="9">
        <v>0</v>
      </c>
      <c r="T24" s="9">
        <v>40</v>
      </c>
      <c r="U24" s="9">
        <v>0</v>
      </c>
    </row>
    <row r="25" customHeight="1" spans="3:21">
      <c r="C25" s="1">
        <v>20</v>
      </c>
      <c r="D25" s="1">
        <v>1</v>
      </c>
      <c r="E25" s="1">
        <v>20</v>
      </c>
      <c r="F25" s="1" t="s">
        <v>100</v>
      </c>
      <c r="G25" s="1" t="s">
        <v>24</v>
      </c>
      <c r="H25" s="8" t="s">
        <v>86</v>
      </c>
      <c r="I25" s="8" t="s">
        <v>101</v>
      </c>
      <c r="J25" s="8" t="s">
        <v>102</v>
      </c>
      <c r="K25" s="9">
        <v>0</v>
      </c>
      <c r="L25" s="10">
        <v>0</v>
      </c>
      <c r="M25" s="9">
        <f t="shared" si="9"/>
        <v>8300</v>
      </c>
      <c r="N25" s="9">
        <f t="shared" si="10"/>
        <v>8300</v>
      </c>
      <c r="O25" s="9">
        <f t="shared" si="11"/>
        <v>6300</v>
      </c>
      <c r="P25" s="9">
        <v>0</v>
      </c>
      <c r="Q25" s="9">
        <f t="shared" si="3"/>
        <v>58</v>
      </c>
      <c r="R25" s="9">
        <f t="shared" si="12"/>
        <v>315</v>
      </c>
      <c r="S25" s="9">
        <v>0</v>
      </c>
      <c r="T25" s="9">
        <v>50</v>
      </c>
      <c r="U25" s="9">
        <v>0</v>
      </c>
    </row>
    <row r="26" customHeight="1" spans="8:16">
      <c r="H26" s="8"/>
      <c r="L26" s="10"/>
      <c r="O26" s="9"/>
      <c r="P26" s="11"/>
    </row>
    <row r="27" customHeight="1" spans="8:16">
      <c r="H27" s="8"/>
      <c r="I27" s="8"/>
      <c r="L27" s="10"/>
      <c r="P27" s="9"/>
    </row>
    <row r="28" customHeight="1" spans="8:16">
      <c r="H28" s="8"/>
      <c r="I28" s="8"/>
      <c r="L28" s="10"/>
      <c r="P28" s="9"/>
    </row>
    <row r="29" customHeight="1" spans="8:16">
      <c r="H29" s="8"/>
      <c r="I29" s="8"/>
      <c r="L29" s="10"/>
      <c r="P29" s="9"/>
    </row>
    <row r="30" customHeight="1" spans="9:16">
      <c r="I30" s="8"/>
      <c r="L30" s="10"/>
      <c r="P30" s="9"/>
    </row>
    <row r="31" customHeight="1" spans="9:16">
      <c r="I31" s="8"/>
      <c r="L31" s="10"/>
      <c r="P31" s="9"/>
    </row>
    <row r="32" customHeight="1" spans="9:16">
      <c r="I32" s="8"/>
      <c r="L32" s="10"/>
      <c r="P32" s="9"/>
    </row>
    <row r="33" customHeight="1" spans="3:21">
      <c r="C33" s="1">
        <v>101</v>
      </c>
      <c r="D33" s="1">
        <v>2</v>
      </c>
      <c r="E33" s="1">
        <v>1</v>
      </c>
      <c r="F33" s="1" t="s">
        <v>103</v>
      </c>
      <c r="G33" s="1" t="s">
        <v>104</v>
      </c>
      <c r="H33" s="12" t="s">
        <v>105</v>
      </c>
      <c r="I33" s="12" t="s">
        <v>106</v>
      </c>
      <c r="J33" s="12" t="s">
        <v>107</v>
      </c>
      <c r="K33" s="13" t="s">
        <v>108</v>
      </c>
      <c r="L33" s="13" t="s">
        <v>108</v>
      </c>
      <c r="M33" s="11">
        <v>10000</v>
      </c>
      <c r="N33" s="11">
        <v>10000</v>
      </c>
      <c r="O33" s="11">
        <v>10000</v>
      </c>
      <c r="P33" s="11">
        <v>10000</v>
      </c>
      <c r="Q33" s="11">
        <v>150</v>
      </c>
      <c r="R33" s="9">
        <v>150</v>
      </c>
      <c r="S33" s="9"/>
      <c r="T33" s="9">
        <v>99</v>
      </c>
      <c r="U33" s="9">
        <v>200</v>
      </c>
    </row>
    <row r="34" customHeight="1" spans="3:21">
      <c r="C34" s="1">
        <v>102</v>
      </c>
      <c r="D34" s="1">
        <v>2</v>
      </c>
      <c r="E34" s="1">
        <v>2</v>
      </c>
      <c r="F34" s="1" t="s">
        <v>109</v>
      </c>
      <c r="G34" s="1" t="s">
        <v>104</v>
      </c>
      <c r="H34" s="12" t="s">
        <v>59</v>
      </c>
      <c r="I34" s="12" t="s">
        <v>110</v>
      </c>
      <c r="J34" s="12" t="s">
        <v>111</v>
      </c>
      <c r="K34" s="13" t="s">
        <v>45</v>
      </c>
      <c r="L34" s="13" t="s">
        <v>45</v>
      </c>
      <c r="M34" s="11">
        <f t="shared" ref="M33:M42" si="13">M33+1000</f>
        <v>11000</v>
      </c>
      <c r="N34" s="11">
        <f t="shared" ref="N33:N42" si="14">N33+1000</f>
        <v>11000</v>
      </c>
      <c r="O34" s="11">
        <f t="shared" ref="O34:O42" si="15">O33+1500</f>
        <v>11500</v>
      </c>
      <c r="P34" s="9">
        <f t="shared" ref="P34:P42" si="16">P33+2000</f>
        <v>12000</v>
      </c>
      <c r="Q34" s="9">
        <f t="shared" ref="Q34:Q42" si="17">Q33+20</f>
        <v>170</v>
      </c>
      <c r="R34" s="9">
        <f t="shared" ref="R34:R42" si="18">R33+20</f>
        <v>170</v>
      </c>
      <c r="S34" s="9"/>
      <c r="T34" s="9">
        <v>99</v>
      </c>
      <c r="U34" s="9">
        <v>200</v>
      </c>
    </row>
    <row r="35" customHeight="1" spans="3:21">
      <c r="C35" s="1">
        <v>103</v>
      </c>
      <c r="D35" s="1">
        <v>2</v>
      </c>
      <c r="E35" s="1">
        <v>3</v>
      </c>
      <c r="F35" s="1" t="s">
        <v>112</v>
      </c>
      <c r="G35" s="1" t="s">
        <v>104</v>
      </c>
      <c r="H35" s="12" t="s">
        <v>113</v>
      </c>
      <c r="I35" s="12" t="s">
        <v>105</v>
      </c>
      <c r="J35" s="12" t="s">
        <v>114</v>
      </c>
      <c r="K35" s="13" t="s">
        <v>115</v>
      </c>
      <c r="L35" s="13" t="s">
        <v>115</v>
      </c>
      <c r="M35" s="11">
        <f t="shared" si="13"/>
        <v>12000</v>
      </c>
      <c r="N35" s="11">
        <f t="shared" si="14"/>
        <v>12000</v>
      </c>
      <c r="O35" s="11">
        <f t="shared" si="15"/>
        <v>13000</v>
      </c>
      <c r="P35" s="9">
        <f t="shared" si="16"/>
        <v>14000</v>
      </c>
      <c r="Q35" s="9">
        <f t="shared" si="17"/>
        <v>190</v>
      </c>
      <c r="R35" s="9">
        <f t="shared" si="18"/>
        <v>190</v>
      </c>
      <c r="S35" s="9"/>
      <c r="T35" s="9">
        <v>99</v>
      </c>
      <c r="U35" s="9">
        <v>200</v>
      </c>
    </row>
    <row r="36" customHeight="1" spans="3:21">
      <c r="C36" s="1">
        <v>104</v>
      </c>
      <c r="D36" s="1">
        <v>2</v>
      </c>
      <c r="E36" s="1">
        <v>4</v>
      </c>
      <c r="F36" s="1" t="s">
        <v>116</v>
      </c>
      <c r="G36" s="1" t="s">
        <v>104</v>
      </c>
      <c r="H36" s="12" t="s">
        <v>117</v>
      </c>
      <c r="I36" s="12" t="s">
        <v>59</v>
      </c>
      <c r="J36" s="12" t="s">
        <v>118</v>
      </c>
      <c r="K36" s="13" t="s">
        <v>65</v>
      </c>
      <c r="L36" s="13" t="s">
        <v>65</v>
      </c>
      <c r="M36" s="11">
        <f t="shared" si="13"/>
        <v>13000</v>
      </c>
      <c r="N36" s="11">
        <f t="shared" si="14"/>
        <v>13000</v>
      </c>
      <c r="O36" s="11">
        <f t="shared" si="15"/>
        <v>14500</v>
      </c>
      <c r="P36" s="9">
        <f t="shared" si="16"/>
        <v>16000</v>
      </c>
      <c r="Q36" s="9">
        <f t="shared" si="17"/>
        <v>210</v>
      </c>
      <c r="R36" s="9">
        <f t="shared" si="18"/>
        <v>210</v>
      </c>
      <c r="S36" s="9"/>
      <c r="T36" s="9">
        <v>99</v>
      </c>
      <c r="U36" s="9">
        <v>200</v>
      </c>
    </row>
    <row r="37" customHeight="1" spans="3:21">
      <c r="C37" s="1">
        <v>105</v>
      </c>
      <c r="D37" s="1">
        <v>2</v>
      </c>
      <c r="E37" s="1">
        <v>5</v>
      </c>
      <c r="F37" s="1" t="s">
        <v>119</v>
      </c>
      <c r="G37" s="1" t="s">
        <v>104</v>
      </c>
      <c r="H37" s="12" t="s">
        <v>120</v>
      </c>
      <c r="I37" s="12" t="s">
        <v>113</v>
      </c>
      <c r="J37" s="12" t="s">
        <v>121</v>
      </c>
      <c r="K37" s="13" t="s">
        <v>122</v>
      </c>
      <c r="L37" s="13" t="s">
        <v>122</v>
      </c>
      <c r="M37" s="11">
        <f t="shared" si="13"/>
        <v>14000</v>
      </c>
      <c r="N37" s="11">
        <f t="shared" si="14"/>
        <v>14000</v>
      </c>
      <c r="O37" s="11">
        <f t="shared" si="15"/>
        <v>16000</v>
      </c>
      <c r="P37" s="9">
        <f t="shared" si="16"/>
        <v>18000</v>
      </c>
      <c r="Q37" s="9">
        <f t="shared" si="17"/>
        <v>230</v>
      </c>
      <c r="R37" s="9">
        <f t="shared" si="18"/>
        <v>230</v>
      </c>
      <c r="S37" s="9"/>
      <c r="T37" s="9">
        <v>99</v>
      </c>
      <c r="U37" s="9">
        <v>200</v>
      </c>
    </row>
    <row r="38" customHeight="1" spans="3:21">
      <c r="C38" s="1">
        <v>106</v>
      </c>
      <c r="D38" s="1">
        <v>2</v>
      </c>
      <c r="E38" s="1">
        <v>6</v>
      </c>
      <c r="F38" s="1" t="s">
        <v>123</v>
      </c>
      <c r="G38" s="1" t="s">
        <v>104</v>
      </c>
      <c r="H38" s="12" t="s">
        <v>79</v>
      </c>
      <c r="I38" s="12" t="s">
        <v>117</v>
      </c>
      <c r="J38" s="12" t="s">
        <v>124</v>
      </c>
      <c r="K38" s="13" t="s">
        <v>125</v>
      </c>
      <c r="L38" s="13" t="s">
        <v>125</v>
      </c>
      <c r="M38" s="11">
        <f t="shared" si="13"/>
        <v>15000</v>
      </c>
      <c r="N38" s="11">
        <f t="shared" si="14"/>
        <v>15000</v>
      </c>
      <c r="O38" s="11">
        <f t="shared" si="15"/>
        <v>17500</v>
      </c>
      <c r="P38" s="9">
        <f t="shared" si="16"/>
        <v>20000</v>
      </c>
      <c r="Q38" s="9">
        <f t="shared" si="17"/>
        <v>250</v>
      </c>
      <c r="R38" s="9">
        <f t="shared" si="18"/>
        <v>250</v>
      </c>
      <c r="S38" s="9"/>
      <c r="T38" s="9">
        <v>99</v>
      </c>
      <c r="U38" s="9">
        <v>200</v>
      </c>
    </row>
    <row r="39" customHeight="1" spans="3:21">
      <c r="C39" s="1">
        <v>107</v>
      </c>
      <c r="D39" s="1">
        <v>2</v>
      </c>
      <c r="E39" s="1">
        <v>7</v>
      </c>
      <c r="F39" s="1" t="s">
        <v>126</v>
      </c>
      <c r="G39" s="1" t="s">
        <v>104</v>
      </c>
      <c r="H39" s="12" t="s">
        <v>107</v>
      </c>
      <c r="I39" s="12" t="s">
        <v>120</v>
      </c>
      <c r="J39" s="12" t="s">
        <v>127</v>
      </c>
      <c r="K39" s="13" t="s">
        <v>128</v>
      </c>
      <c r="L39" s="13" t="s">
        <v>128</v>
      </c>
      <c r="M39" s="11">
        <f t="shared" si="13"/>
        <v>16000</v>
      </c>
      <c r="N39" s="11">
        <f t="shared" si="14"/>
        <v>16000</v>
      </c>
      <c r="O39" s="11">
        <f t="shared" si="15"/>
        <v>19000</v>
      </c>
      <c r="P39" s="9">
        <f t="shared" si="16"/>
        <v>22000</v>
      </c>
      <c r="Q39" s="9">
        <f t="shared" si="17"/>
        <v>270</v>
      </c>
      <c r="R39" s="9">
        <f t="shared" si="18"/>
        <v>270</v>
      </c>
      <c r="S39" s="9"/>
      <c r="T39" s="9">
        <v>99</v>
      </c>
      <c r="U39" s="9">
        <v>200</v>
      </c>
    </row>
    <row r="40" customHeight="1" spans="3:21">
      <c r="C40" s="1">
        <v>108</v>
      </c>
      <c r="D40" s="1">
        <v>2</v>
      </c>
      <c r="E40" s="1">
        <v>8</v>
      </c>
      <c r="F40" s="1" t="s">
        <v>129</v>
      </c>
      <c r="G40" s="1" t="s">
        <v>104</v>
      </c>
      <c r="H40" s="12" t="s">
        <v>111</v>
      </c>
      <c r="I40" s="12" t="s">
        <v>79</v>
      </c>
      <c r="J40" s="12" t="s">
        <v>130</v>
      </c>
      <c r="K40" s="13" t="s">
        <v>131</v>
      </c>
      <c r="L40" s="13" t="s">
        <v>131</v>
      </c>
      <c r="M40" s="11">
        <f t="shared" si="13"/>
        <v>17000</v>
      </c>
      <c r="N40" s="11">
        <f t="shared" si="14"/>
        <v>17000</v>
      </c>
      <c r="O40" s="11">
        <f t="shared" si="15"/>
        <v>20500</v>
      </c>
      <c r="P40" s="9">
        <f t="shared" si="16"/>
        <v>24000</v>
      </c>
      <c r="Q40" s="9">
        <f t="shared" si="17"/>
        <v>290</v>
      </c>
      <c r="R40" s="9">
        <f t="shared" si="18"/>
        <v>290</v>
      </c>
      <c r="S40" s="9"/>
      <c r="T40" s="9">
        <v>99</v>
      </c>
      <c r="U40" s="9">
        <v>200</v>
      </c>
    </row>
    <row r="41" customHeight="1" spans="3:21">
      <c r="C41" s="1">
        <v>109</v>
      </c>
      <c r="D41" s="1">
        <v>2</v>
      </c>
      <c r="E41" s="1">
        <v>9</v>
      </c>
      <c r="F41" s="1" t="s">
        <v>132</v>
      </c>
      <c r="G41" s="1" t="s">
        <v>104</v>
      </c>
      <c r="H41" s="12" t="s">
        <v>114</v>
      </c>
      <c r="I41" s="12" t="s">
        <v>107</v>
      </c>
      <c r="J41" s="12" t="s">
        <v>133</v>
      </c>
      <c r="K41" s="13" t="s">
        <v>134</v>
      </c>
      <c r="L41" s="13" t="s">
        <v>134</v>
      </c>
      <c r="M41" s="11">
        <f t="shared" si="13"/>
        <v>18000</v>
      </c>
      <c r="N41" s="11">
        <f t="shared" si="14"/>
        <v>18000</v>
      </c>
      <c r="O41" s="11">
        <f t="shared" si="15"/>
        <v>22000</v>
      </c>
      <c r="P41" s="9">
        <f t="shared" si="16"/>
        <v>26000</v>
      </c>
      <c r="Q41" s="9">
        <f t="shared" si="17"/>
        <v>310</v>
      </c>
      <c r="R41" s="9">
        <f t="shared" si="18"/>
        <v>310</v>
      </c>
      <c r="S41" s="9"/>
      <c r="T41" s="9">
        <v>99</v>
      </c>
      <c r="U41" s="9">
        <v>200</v>
      </c>
    </row>
    <row r="42" customHeight="1" spans="3:21">
      <c r="C42" s="1">
        <v>110</v>
      </c>
      <c r="D42" s="1">
        <v>2</v>
      </c>
      <c r="E42" s="1">
        <v>10</v>
      </c>
      <c r="F42" s="1" t="s">
        <v>135</v>
      </c>
      <c r="G42" s="1" t="s">
        <v>104</v>
      </c>
      <c r="H42" s="12" t="s">
        <v>118</v>
      </c>
      <c r="I42" s="12" t="s">
        <v>111</v>
      </c>
      <c r="J42" s="12" t="s">
        <v>136</v>
      </c>
      <c r="K42" s="13" t="s">
        <v>137</v>
      </c>
      <c r="L42" s="13" t="s">
        <v>137</v>
      </c>
      <c r="M42" s="11">
        <f t="shared" si="13"/>
        <v>19000</v>
      </c>
      <c r="N42" s="11">
        <f t="shared" si="14"/>
        <v>19000</v>
      </c>
      <c r="O42" s="11">
        <f t="shared" si="15"/>
        <v>23500</v>
      </c>
      <c r="P42" s="9">
        <f t="shared" si="16"/>
        <v>28000</v>
      </c>
      <c r="Q42" s="9">
        <f t="shared" si="17"/>
        <v>330</v>
      </c>
      <c r="R42" s="9">
        <f t="shared" si="18"/>
        <v>330</v>
      </c>
      <c r="S42" s="9"/>
      <c r="T42" s="9">
        <v>99</v>
      </c>
      <c r="U42" s="9">
        <v>200</v>
      </c>
    </row>
    <row r="43" customHeight="1" spans="12:16">
      <c r="L43" s="9"/>
      <c r="P43" s="9"/>
    </row>
    <row r="44" customHeight="1" spans="12:16">
      <c r="L44" s="9"/>
      <c r="P44" s="9"/>
    </row>
    <row r="45" customHeight="1" spans="12:16">
      <c r="L45" s="9"/>
      <c r="P45" s="9"/>
    </row>
    <row r="53" customHeight="1" spans="8:8">
      <c r="H53" s="8">
        <v>9e+27</v>
      </c>
    </row>
  </sheetData>
  <dataValidations count="1">
    <dataValidation type="custom" allowBlank="1" showErrorMessage="1" errorTitle="拒绝重复输入" error="当前输入的内容，与本区域的其他单元格内容重复。" sqref="C3:U5" errorStyle="warning">
      <formula1>COUNTIF($A:$A,C3)&lt;2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生成配置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2025-05-21T15:16:21Z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66F39FE80FFA40759E47775459CB980C_13</vt:lpwstr>
  </property>
  <property fmtid="{D5CDD505-2E9C-101B-9397-08002B2CF9AE}" pid="4" name="KSOReadingLayout">
    <vt:bool>true</vt:bool>
  </property>
</Properties>
</file>
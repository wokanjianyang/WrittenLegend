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<sst xmlns="http://schemas.openxmlformats.org/spreadsheetml/2006/main" count="614" uniqueCount="293">
  <si>
    <t>ID</t>
  </si>
  <si>
    <t>Type</t>
  </si>
  <si>
    <t>Layer</t>
  </si>
  <si>
    <t>RequireCycle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</si>
  <si>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</si>
  <si>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</si>
  <si>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</si>
  <si>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</si>
  <si>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</si>
  <si>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</si>
  <si>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</si>
  <si>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</si>
  <si>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</si>
  <si>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</si>
  <si>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</si>
  <si>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</si>
  <si>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</si>
  <si>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</si>
  <si>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</si>
  <si>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</si>
  <si>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</si>
  <si>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</si>
  <si>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</si>
  <si>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</si>
  <si>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</si>
  <si>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</si>
  <si>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</si>
  <si>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</si>
  <si>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</si>
  <si>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</si>
  <si>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</si>
  <si>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</si>
  <si>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</si>
  <si>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</si>
  <si>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</si>
  <si>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</si>
  <si>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</si>
  <si>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</si>
  <si>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</si>
  <si>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</si>
  <si>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</si>
  <si>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</si>
  <si>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</si>
  <si>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</si>
  <si>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</si>
  <si>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</si>
  <si>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</si>
  <si>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</si>
  <si>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</si>
  <si>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</si>
  <si>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</si>
  <si>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</si>
  <si>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</si>
  <si>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</si>
  <si>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</si>
  <si>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</si>
  <si>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</si>
  <si>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</si>
  <si>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</si>
  <si>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</si>
  <si>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</si>
  <si>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</si>
  <si>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</si>
  <si>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</si>
  <si>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</si>
  <si>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</si>
  <si>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</si>
  <si>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</si>
  <si>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</si>
  <si>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</si>
  <si>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</si>
  <si>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</si>
  <si>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</si>
  <si>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</si>
  <si>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</si>
  <si>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</si>
  <si>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</si>
  <si>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</si>
  <si>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</si>
  <si>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</si>
  <si>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</si>
  <si>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</si>
  <si>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</si>
  <si>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</si>
  <si>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</si>
  <si>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</si>
  <si>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</si>
  <si>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</si>
  <si>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</si>
  <si>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</si>
  <si>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</si>
  <si>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</si>
  <si>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</si>
  <si>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</si>
  <si>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</si>
  <si>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</si>
  <si>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</si>
  <si>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</si>
  <si>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</si>
  <si>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</si>
  <si>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</si>
  <si>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</si>
  <si>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</si>
  <si>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</si>
  <si>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</si>
  <si>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</si>
  <si>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</si>
  <si>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</si>
  <si>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</si>
  <si>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</si>
  <si>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</si>
  <si>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</si>
  <si>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</si>
  <si>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</si>
  <si>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</si>
  <si>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</si>
  <si>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</si>
  <si>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</si>
  <si>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</si>
  <si>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</si>
  <si>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</si>
  <si>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</si>
  <si>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</si>
  <si>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</si>
  <si>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</si>
  <si>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</si>
  <si>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</si>
  <si>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</si>
  <si>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</si>
  <si>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</si>
  <si>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</si>
  <si>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</si>
  <si>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</si>
  <si>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</si>
  <si>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</si>
  <si>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</si>
  <si>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</si>
  <si>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</si>
  <si>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</si>
  <si>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</si>
  <si>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</si>
  <si>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</si>
  <si>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</si>
  <si>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</si>
  <si>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</si>
  <si>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</si>
  <si>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</si>
  <si>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</si>
  <si>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</si>
  <si>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</si>
  <si>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</si>
  <si>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</si>
  <si>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</si>
  <si>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</si>
  <si>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</si>
  <si>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</si>
  <si>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</si>
  <si>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</si>
  <si>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</si>
  <si>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</si>
  <si>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</si>
  <si>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</si>
  <si>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1E+50</t>
  </si>
  <si>
    <t>1E+20</t>
  </si>
  <si>
    <t>1E+78</t>
  </si>
  <si>
    <t>练气十二层</t>
  </si>
  <si>
    <t>9E+96</t>
  </si>
  <si>
    <t>9E+145</t>
  </si>
  <si>
    <t>1E+52</t>
  </si>
  <si>
    <t>1E+88</t>
  </si>
  <si>
    <t>练气十三层</t>
  </si>
  <si>
    <t>9E+106</t>
  </si>
  <si>
    <t>9E+91</t>
  </si>
  <si>
    <t>9E+155</t>
  </si>
  <si>
    <t>1E+54</t>
  </si>
  <si>
    <t>1E+30</t>
  </si>
  <si>
    <t>1E+98</t>
  </si>
  <si>
    <t>练气十四层</t>
  </si>
  <si>
    <t>9E+116</t>
  </si>
  <si>
    <t>9E+92</t>
  </si>
  <si>
    <t>9E+165</t>
  </si>
  <si>
    <t>1E+56</t>
  </si>
  <si>
    <t>1E+108</t>
  </si>
  <si>
    <t>练气十五层</t>
  </si>
  <si>
    <t>9E+126</t>
  </si>
  <si>
    <t>9E+93</t>
  </si>
  <si>
    <t>9E+175</t>
  </si>
  <si>
    <t>1E+58</t>
  </si>
  <si>
    <t>1E+40</t>
  </si>
  <si>
    <t>1E+118</t>
  </si>
  <si>
    <t>练气十六层</t>
  </si>
  <si>
    <t>9E+136</t>
  </si>
  <si>
    <t>9E+94</t>
  </si>
  <si>
    <t>9E+185</t>
  </si>
  <si>
    <t>1E+45</t>
  </si>
  <si>
    <t>1E+128</t>
  </si>
  <si>
    <t>练气十七层</t>
  </si>
  <si>
    <t>9E+146</t>
  </si>
  <si>
    <t>9E+195</t>
  </si>
  <si>
    <t>1E+62</t>
  </si>
  <si>
    <t>1E+138</t>
  </si>
  <si>
    <t>练气十八层</t>
  </si>
  <si>
    <t>9E+156</t>
  </si>
  <si>
    <t>9E+205</t>
  </si>
  <si>
    <t>1E+64</t>
  </si>
  <si>
    <t>1E+55</t>
  </si>
  <si>
    <t>1E+148</t>
  </si>
  <si>
    <t>练气十九层</t>
  </si>
  <si>
    <t>9E+166</t>
  </si>
  <si>
    <t>9E+97</t>
  </si>
  <si>
    <t>9E+215</t>
  </si>
  <si>
    <t>1E+66</t>
  </si>
  <si>
    <t>1E+158</t>
  </si>
  <si>
    <t>练气二十层</t>
  </si>
  <si>
    <t>9E+176</t>
  </si>
  <si>
    <t>9E+98</t>
  </si>
  <si>
    <t>9E+225</t>
  </si>
  <si>
    <t>1E+65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</si>
  <si>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</si>
  <si>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</si>
  <si>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</si>
  <si>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</si>
  <si>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</si>
  <si>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</si>
  <si>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</si>
  <si>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1E+34</t>
  </si>
  <si>
    <t>炼神三层</t>
  </si>
  <si>
    <t>9E+170</t>
  </si>
  <si>
    <t>1E+43</t>
  </si>
  <si>
    <t>1E+38</t>
  </si>
  <si>
    <t>炼神四层</t>
  </si>
  <si>
    <t>9E+130</t>
  </si>
  <si>
    <t>9E+180</t>
  </si>
  <si>
    <t>炼神五层</t>
  </si>
  <si>
    <t>9E+140</t>
  </si>
  <si>
    <t>9E+190</t>
  </si>
  <si>
    <t>1E+49</t>
  </si>
  <si>
    <t>炼神六层</t>
  </si>
  <si>
    <t>9E+200</t>
  </si>
  <si>
    <t>炼神七层</t>
  </si>
  <si>
    <t>9E+210</t>
  </si>
  <si>
    <t>炼神八层</t>
  </si>
  <si>
    <t>9E+220</t>
  </si>
  <si>
    <t>炼神九层</t>
  </si>
  <si>
    <t>9E+230</t>
  </si>
  <si>
    <t>1E+61</t>
  </si>
  <si>
    <t>炼神十层</t>
  </si>
  <si>
    <t>9E+240</t>
  </si>
  <si>
    <t>炼神十一层</t>
  </si>
  <si>
    <t>9E+250</t>
  </si>
  <si>
    <t>1E+67</t>
  </si>
  <si>
    <t>1E+70</t>
  </si>
  <si>
    <t>炼神十二层</t>
  </si>
  <si>
    <t>9E+260</t>
  </si>
  <si>
    <t>1E+74</t>
  </si>
  <si>
    <t>炼神十三层</t>
  </si>
  <si>
    <t>9E+270</t>
  </si>
  <si>
    <t>1E+73</t>
  </si>
  <si>
    <t>炼神十四层</t>
  </si>
  <si>
    <t>9E+280</t>
  </si>
  <si>
    <t>1E+76</t>
  </si>
  <si>
    <t>1E+82</t>
  </si>
  <si>
    <t>炼神十五层</t>
  </si>
  <si>
    <t>9E+290</t>
  </si>
  <si>
    <t>1E+79</t>
  </si>
  <si>
    <t>1E+86</t>
  </si>
  <si>
    <t>炼神十六层</t>
  </si>
  <si>
    <t>9E+300</t>
  </si>
  <si>
    <t>1E+90</t>
  </si>
  <si>
    <t>炼神十七层</t>
  </si>
  <si>
    <t>9E+310</t>
  </si>
  <si>
    <t>1E+85</t>
  </si>
  <si>
    <t>1E+94</t>
  </si>
  <si>
    <t>炼神十八层</t>
  </si>
  <si>
    <t>9E+320</t>
  </si>
  <si>
    <t>炼神十九层</t>
  </si>
  <si>
    <t>9E+330</t>
  </si>
  <si>
    <t>1E+91</t>
  </si>
  <si>
    <t>1E+102</t>
  </si>
  <si>
    <t>炼神二十层</t>
  </si>
  <si>
    <t>9E+340</t>
  </si>
  <si>
    <t>1E+106</t>
  </si>
  <si>
    <t>炼魂一层</t>
  </si>
  <si>
    <t>炼魂魔物</t>
  </si>
  <si>
    <t>炼魂二层</t>
  </si>
  <si>
    <t>炼魂三层</t>
  </si>
  <si>
    <t>炼魂四层</t>
  </si>
  <si>
    <t>炼魂五层</t>
  </si>
  <si>
    <t>炼魂六层</t>
  </si>
  <si>
    <t>炼魂七层</t>
  </si>
  <si>
    <t>炼魂八层</t>
  </si>
  <si>
    <t>炼魂九层</t>
  </si>
  <si>
    <t>炼魂十层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</si>
</sst>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2" borderId="0" xfId="0" applyNumberFormat="1" applyFont="1" applyFill="1"/>
    <xf numFmtId="0" fontId="3" fillId="0" borderId="0" xfId="0" applyNumberFormat="1" applyFont="1" applyFill="1"/>
    <xf numFmtId="0" fontId="1" fillId="0" borderId="0" xfId="0" applyFont="1" applyFill="1"/>
    <xf numFmtId="3" fontId="1" fillId="0" borderId="0" xfId="0" applyNumberFormat="1" applyFont="1" applyFill="1"/>
    <xf numFmtId="0" fontId="0" fillId="0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8"/>
  <sheetViews>
    <sheetView tabSelected="1" workbookViewId="0">
      <pane ySplit="5" topLeftCell="A51" activePane="bottomLeft" state="frozen"/>
      <selection/>
      <selection pane="bottomLeft" activeCell="D93" sqref="D93"/>
    </sheetView>
  </sheetViews>
  <sheetFormatPr defaultColWidth="9" defaultRowHeight="14" customHeight="1"/>
  <cols>
    <col min="1" max="1" width="4.125" style="3" customWidth="1"/>
    <col min="2" max="2" width="4.875" style="3" customWidth="1"/>
    <col min="3" max="6" width="9.875" style="1" customWidth="1"/>
    <col min="7" max="7" width="12.475" style="1" customWidth="1"/>
    <col min="8" max="8" width="16.25" style="1" customWidth="1"/>
    <col min="9" max="9" width="15.9166666666667" style="4" customWidth="1"/>
    <col min="10" max="10" width="12.55" style="4" customWidth="1"/>
    <col min="11" max="11" width="18.525" style="4" customWidth="1"/>
    <col min="12" max="13" width="9.625" style="3" customWidth="1"/>
    <col min="14" max="14" width="11.6916666666667" style="5" customWidth="1"/>
    <col min="15" max="15" width="12.625" style="3" customWidth="1"/>
    <col min="16" max="17" width="12.5083333333333" style="3" customWidth="1"/>
    <col min="18" max="18" width="8" style="3" customWidth="1"/>
    <col min="19" max="19" width="12.5083333333333" style="3" customWidth="1"/>
    <col min="20" max="20" width="11.0166666666667" style="3" customWidth="1"/>
    <col min="21" max="21" width="10.425" style="3" customWidth="1"/>
    <col min="22" max="23" width="9.625" style="3" customWidth="1"/>
    <col min="24" max="24" width="28.4833333333333" style="3" customWidth="1"/>
    <col min="26" max="16384" width="9" style="3"/>
  </cols>
  <sheetData>
    <row r="1" s="1" customFormat="1" customHeight="1" spans="1:24">
      <c r="A1" s="3"/>
      <c r="B1" s="3"/>
      <c r="I1" s="6"/>
      <c r="J1" s="6"/>
      <c r="K1" s="6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="1" customFormat="1" customHeight="1" spans="1:24">
      <c r="A2" s="3"/>
      <c r="B2" s="3"/>
      <c r="I2" s="6"/>
      <c r="J2" s="6"/>
      <c r="K2" s="6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="1" customFormat="1" customHeight="1" spans="1:24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8" t="s">
        <v>6</v>
      </c>
      <c r="J3" s="8" t="s">
        <v>7</v>
      </c>
      <c r="K3" s="8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</row>
    <row r="4" s="1" customFormat="1" customHeight="1" spans="1:24">
      <c r="A4" s="3"/>
      <c r="B4" s="3"/>
      <c r="C4" s="7" t="s">
        <v>22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8" t="s">
        <v>6</v>
      </c>
      <c r="J4" s="8" t="s">
        <v>7</v>
      </c>
      <c r="K4" s="8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</row>
    <row r="5" s="1" customFormat="1" customHeight="1" spans="1:24">
      <c r="A5" s="3"/>
      <c r="B5" s="3"/>
      <c r="C5" s="7" t="s">
        <v>23</v>
      </c>
      <c r="D5" s="7" t="s">
        <v>23</v>
      </c>
      <c r="E5" s="7" t="s">
        <v>23</v>
      </c>
      <c r="F5" s="7" t="s">
        <v>23</v>
      </c>
      <c r="G5" s="7" t="s">
        <v>24</v>
      </c>
      <c r="H5" s="7" t="s">
        <v>24</v>
      </c>
      <c r="I5" s="8" t="s">
        <v>24</v>
      </c>
      <c r="J5" s="8" t="s">
        <v>24</v>
      </c>
      <c r="K5" s="8" t="s">
        <v>24</v>
      </c>
      <c r="L5" s="8" t="s">
        <v>24</v>
      </c>
      <c r="M5" s="8" t="s">
        <v>24</v>
      </c>
      <c r="N5" s="7" t="s">
        <v>24</v>
      </c>
      <c r="O5" s="7" t="s">
        <v>23</v>
      </c>
      <c r="P5" s="7" t="s">
        <v>23</v>
      </c>
      <c r="Q5" s="7" t="s">
        <v>23</v>
      </c>
      <c r="R5" s="7" t="s">
        <v>23</v>
      </c>
      <c r="S5" s="7" t="s">
        <v>23</v>
      </c>
      <c r="T5" s="7" t="s">
        <v>23</v>
      </c>
      <c r="U5" s="7" t="s">
        <v>23</v>
      </c>
      <c r="V5" s="7" t="s">
        <v>23</v>
      </c>
      <c r="W5" s="7" t="s">
        <v>25</v>
      </c>
      <c r="X5" s="9" t="s">
        <v>26</v>
      </c>
    </row>
    <row r="6" customHeight="1" spans="1:24">
      <c r="C6" s="1">
        <v>1</v>
      </c>
      <c r="D6" s="1">
        <v>1</v>
      </c>
      <c r="E6" s="1">
        <v>1</v>
      </c>
      <c r="F6" s="1">
        <v>1</v>
      </c>
      <c r="G6" s="1" t="s">
        <v>27</v>
      </c>
      <c r="H6" s="1" t="s">
        <v>28</v>
      </c>
      <c r="I6" s="17" t="s">
        <v>29</v>
      </c>
      <c r="J6" s="17" t="s">
        <v>30</v>
      </c>
      <c r="K6" s="17" t="s">
        <v>31</v>
      </c>
      <c r="L6" s="2">
        <v>0</v>
      </c>
      <c r="M6" s="2"/>
      <c r="N6" s="11">
        <v>0</v>
      </c>
      <c r="O6" s="2">
        <v>500</v>
      </c>
      <c r="P6" s="2">
        <v>500</v>
      </c>
      <c r="Q6" s="2">
        <v>1500</v>
      </c>
      <c r="R6" s="2">
        <v>0</v>
      </c>
      <c r="S6" s="2">
        <v>20</v>
      </c>
      <c r="T6" s="2">
        <v>30</v>
      </c>
      <c r="U6" s="2">
        <v>0</v>
      </c>
      <c r="V6" s="2">
        <v>0</v>
      </c>
      <c r="W6" s="2">
        <v>0</v>
      </c>
      <c r="X6" s="18" t="s">
        <v>32</v>
      </c>
    </row>
    <row r="7" customHeight="1" spans="1:24">
      <c r="C7" s="1">
        <v>2</v>
      </c>
      <c r="D7" s="1">
        <v>1</v>
      </c>
      <c r="E7" s="1">
        <v>2</v>
      </c>
      <c r="F7" s="1">
        <v>2</v>
      </c>
      <c r="G7" s="1" t="s">
        <v>33</v>
      </c>
      <c r="H7" s="1" t="s">
        <v>28</v>
      </c>
      <c r="I7" s="17" t="s">
        <v>34</v>
      </c>
      <c r="J7" s="17" t="s">
        <v>35</v>
      </c>
      <c r="K7" s="17" t="s">
        <v>36</v>
      </c>
      <c r="L7" s="2">
        <v>0</v>
      </c>
      <c r="M7" s="2"/>
      <c r="N7" s="11">
        <v>0</v>
      </c>
      <c r="O7" s="2">
        <f t="shared" ref="O7:O17" si="0">O6+200</f>
        <v>700</v>
      </c>
      <c r="P7" s="2">
        <f t="shared" ref="P7:P17" si="1">P6+200</f>
        <v>700</v>
      </c>
      <c r="Q7" s="2">
        <f t="shared" ref="Q7:Q25" si="2">Q6+200</f>
        <v>1700</v>
      </c>
      <c r="R7" s="2">
        <v>0</v>
      </c>
      <c r="S7" s="2">
        <f t="shared" ref="S7:S25" si="3">S6+2</f>
        <v>22</v>
      </c>
      <c r="T7" s="2">
        <f t="shared" ref="T7:T12" si="4">T6+5</f>
        <v>35</v>
      </c>
      <c r="U7" s="2">
        <v>0</v>
      </c>
      <c r="V7" s="2">
        <v>0</v>
      </c>
      <c r="W7" s="2">
        <v>0</v>
      </c>
      <c r="X7" s="18" t="s">
        <v>37</v>
      </c>
    </row>
    <row r="8" customHeight="1" spans="1:24">
      <c r="C8" s="1">
        <v>3</v>
      </c>
      <c r="D8" s="1">
        <v>1</v>
      </c>
      <c r="E8" s="1">
        <v>3</v>
      </c>
      <c r="F8" s="1">
        <v>3</v>
      </c>
      <c r="G8" s="1" t="s">
        <v>38</v>
      </c>
      <c r="H8" s="1" t="s">
        <v>28</v>
      </c>
      <c r="I8" s="17" t="s">
        <v>39</v>
      </c>
      <c r="J8" s="17" t="s">
        <v>40</v>
      </c>
      <c r="K8" s="17" t="s">
        <v>41</v>
      </c>
      <c r="L8" s="2">
        <v>0</v>
      </c>
      <c r="M8" s="2"/>
      <c r="N8" s="11">
        <v>0</v>
      </c>
      <c r="O8" s="2">
        <f t="shared" si="0"/>
        <v>900</v>
      </c>
      <c r="P8" s="2">
        <f t="shared" si="1"/>
        <v>900</v>
      </c>
      <c r="Q8" s="2">
        <f t="shared" si="2"/>
        <v>1900</v>
      </c>
      <c r="R8" s="2">
        <v>0</v>
      </c>
      <c r="S8" s="2">
        <f t="shared" si="3"/>
        <v>24</v>
      </c>
      <c r="T8" s="2">
        <f t="shared" si="4"/>
        <v>40</v>
      </c>
      <c r="U8" s="2">
        <v>0</v>
      </c>
      <c r="V8" s="2">
        <v>0</v>
      </c>
      <c r="W8" s="2">
        <v>0</v>
      </c>
      <c r="X8" s="18" t="s">
        <v>42</v>
      </c>
    </row>
    <row r="9" customHeight="1" spans="1:24">
      <c r="C9" s="1">
        <v>4</v>
      </c>
      <c r="D9" s="1">
        <v>1</v>
      </c>
      <c r="E9" s="1">
        <v>4</v>
      </c>
      <c r="F9" s="1">
        <v>4</v>
      </c>
      <c r="G9" s="1" t="s">
        <v>43</v>
      </c>
      <c r="H9" s="1" t="s">
        <v>28</v>
      </c>
      <c r="I9" s="17" t="s">
        <v>44</v>
      </c>
      <c r="J9" s="17" t="s">
        <v>45</v>
      </c>
      <c r="K9" s="17" t="s">
        <v>46</v>
      </c>
      <c r="L9" s="2">
        <v>0</v>
      </c>
      <c r="M9" s="2"/>
      <c r="N9" s="11">
        <v>0</v>
      </c>
      <c r="O9" s="2">
        <f t="shared" si="0"/>
        <v>1100</v>
      </c>
      <c r="P9" s="2">
        <f t="shared" si="1"/>
        <v>1100</v>
      </c>
      <c r="Q9" s="2">
        <f t="shared" si="2"/>
        <v>2100</v>
      </c>
      <c r="R9" s="2">
        <v>0</v>
      </c>
      <c r="S9" s="2">
        <f t="shared" si="3"/>
        <v>26</v>
      </c>
      <c r="T9" s="2">
        <f t="shared" si="4"/>
        <v>45</v>
      </c>
      <c r="U9" s="2">
        <v>0</v>
      </c>
      <c r="V9" s="2">
        <v>0</v>
      </c>
      <c r="W9" s="2">
        <v>0</v>
      </c>
      <c r="X9" s="18" t="s">
        <v>47</v>
      </c>
    </row>
    <row r="10" customHeight="1" spans="1:24">
      <c r="C10" s="1">
        <v>5</v>
      </c>
      <c r="D10" s="1">
        <v>1</v>
      </c>
      <c r="E10" s="1">
        <v>5</v>
      </c>
      <c r="F10" s="1">
        <v>5</v>
      </c>
      <c r="G10" s="1" t="s">
        <v>48</v>
      </c>
      <c r="H10" s="1" t="s">
        <v>28</v>
      </c>
      <c r="I10" s="17" t="s">
        <v>49</v>
      </c>
      <c r="J10" s="17" t="s">
        <v>50</v>
      </c>
      <c r="K10" s="17" t="s">
        <v>51</v>
      </c>
      <c r="L10" s="2">
        <v>0</v>
      </c>
      <c r="M10" s="2"/>
      <c r="N10" s="11">
        <v>0</v>
      </c>
      <c r="O10" s="2">
        <f t="shared" si="0"/>
        <v>1300</v>
      </c>
      <c r="P10" s="2">
        <f t="shared" si="1"/>
        <v>1300</v>
      </c>
      <c r="Q10" s="2">
        <f t="shared" si="2"/>
        <v>2300</v>
      </c>
      <c r="R10" s="2">
        <v>0</v>
      </c>
      <c r="S10" s="2">
        <f t="shared" si="3"/>
        <v>28</v>
      </c>
      <c r="T10" s="2">
        <f t="shared" si="4"/>
        <v>50</v>
      </c>
      <c r="U10" s="2">
        <v>0</v>
      </c>
      <c r="V10" s="2">
        <v>0</v>
      </c>
      <c r="W10" s="2">
        <v>0</v>
      </c>
      <c r="X10" s="18" t="s">
        <v>52</v>
      </c>
    </row>
    <row r="11" customHeight="1" spans="1:24">
      <c r="C11" s="1">
        <v>6</v>
      </c>
      <c r="D11" s="1">
        <v>1</v>
      </c>
      <c r="E11" s="1">
        <v>6</v>
      </c>
      <c r="F11" s="1">
        <v>6</v>
      </c>
      <c r="G11" s="1" t="s">
        <v>53</v>
      </c>
      <c r="H11" s="1" t="s">
        <v>28</v>
      </c>
      <c r="I11" s="17" t="s">
        <v>54</v>
      </c>
      <c r="J11" s="17" t="s">
        <v>55</v>
      </c>
      <c r="K11" s="17" t="s">
        <v>56</v>
      </c>
      <c r="L11" s="2">
        <v>0</v>
      </c>
      <c r="M11" s="2"/>
      <c r="N11" s="11">
        <v>0</v>
      </c>
      <c r="O11" s="2">
        <f t="shared" si="0"/>
        <v>1500</v>
      </c>
      <c r="P11" s="2">
        <f t="shared" si="1"/>
        <v>1500</v>
      </c>
      <c r="Q11" s="2">
        <f t="shared" si="2"/>
        <v>2500</v>
      </c>
      <c r="R11" s="2">
        <v>0</v>
      </c>
      <c r="S11" s="2">
        <f t="shared" si="3"/>
        <v>30</v>
      </c>
      <c r="T11" s="2">
        <f t="shared" si="4"/>
        <v>55</v>
      </c>
      <c r="U11" s="2">
        <v>0</v>
      </c>
      <c r="V11" s="2">
        <v>0</v>
      </c>
      <c r="W11" s="2">
        <v>0</v>
      </c>
      <c r="X11" s="12"/>
    </row>
    <row r="12" customHeight="1" spans="1:24">
      <c r="C12" s="1">
        <v>7</v>
      </c>
      <c r="D12" s="1">
        <v>1</v>
      </c>
      <c r="E12" s="1">
        <v>7</v>
      </c>
      <c r="F12" s="1">
        <v>7</v>
      </c>
      <c r="G12" s="1" t="s">
        <v>57</v>
      </c>
      <c r="H12" s="1" t="s">
        <v>28</v>
      </c>
      <c r="I12" s="17" t="s">
        <v>58</v>
      </c>
      <c r="J12" s="17" t="s">
        <v>59</v>
      </c>
      <c r="K12" s="17" t="s">
        <v>60</v>
      </c>
      <c r="L12" s="2">
        <v>0</v>
      </c>
      <c r="M12" s="2"/>
      <c r="N12" s="11">
        <v>0</v>
      </c>
      <c r="O12" s="2">
        <f t="shared" si="0"/>
        <v>1700</v>
      </c>
      <c r="P12" s="2">
        <f t="shared" si="1"/>
        <v>1700</v>
      </c>
      <c r="Q12" s="2">
        <f t="shared" si="2"/>
        <v>2700</v>
      </c>
      <c r="R12" s="2">
        <v>0</v>
      </c>
      <c r="S12" s="2">
        <f t="shared" si="3"/>
        <v>32</v>
      </c>
      <c r="T12" s="2">
        <f t="shared" si="4"/>
        <v>60</v>
      </c>
      <c r="U12" s="2">
        <v>0</v>
      </c>
      <c r="V12" s="2">
        <v>0</v>
      </c>
      <c r="W12" s="2">
        <v>0</v>
      </c>
      <c r="X12" s="18" t="s">
        <v>32</v>
      </c>
    </row>
    <row r="13" customHeight="1" spans="1:24">
      <c r="C13" s="1">
        <v>8</v>
      </c>
      <c r="D13" s="1">
        <v>1</v>
      </c>
      <c r="E13" s="1">
        <v>8</v>
      </c>
      <c r="F13" s="1">
        <v>8</v>
      </c>
      <c r="G13" s="1" t="s">
        <v>61</v>
      </c>
      <c r="H13" s="1" t="s">
        <v>28</v>
      </c>
      <c r="I13" s="17" t="s">
        <v>62</v>
      </c>
      <c r="J13" s="17" t="s">
        <v>63</v>
      </c>
      <c r="K13" s="17" t="s">
        <v>64</v>
      </c>
      <c r="L13" s="2">
        <v>0</v>
      </c>
      <c r="M13" s="2"/>
      <c r="N13" s="11">
        <v>0</v>
      </c>
      <c r="O13" s="2">
        <f t="shared" si="0"/>
        <v>1900</v>
      </c>
      <c r="P13" s="2">
        <f t="shared" si="1"/>
        <v>1900</v>
      </c>
      <c r="Q13" s="2">
        <f t="shared" si="2"/>
        <v>2900</v>
      </c>
      <c r="R13" s="2">
        <v>0</v>
      </c>
      <c r="S13" s="2">
        <f t="shared" si="3"/>
        <v>34</v>
      </c>
      <c r="T13" s="2">
        <f t="shared" ref="T13:T17" si="5">T12+10</f>
        <v>70</v>
      </c>
      <c r="U13" s="2">
        <v>0</v>
      </c>
      <c r="V13" s="2">
        <v>0</v>
      </c>
      <c r="W13" s="2">
        <v>0</v>
      </c>
      <c r="X13" s="18" t="s">
        <v>37</v>
      </c>
    </row>
    <row r="14" customHeight="1" spans="1:24">
      <c r="C14" s="1">
        <v>9</v>
      </c>
      <c r="D14" s="1">
        <v>1</v>
      </c>
      <c r="E14" s="1">
        <v>9</v>
      </c>
      <c r="F14" s="1">
        <v>9</v>
      </c>
      <c r="G14" s="1" t="s">
        <v>65</v>
      </c>
      <c r="H14" s="1" t="s">
        <v>28</v>
      </c>
      <c r="I14" s="17" t="s">
        <v>66</v>
      </c>
      <c r="J14" s="17" t="s">
        <v>67</v>
      </c>
      <c r="K14" s="17" t="s">
        <v>68</v>
      </c>
      <c r="L14" s="2">
        <v>0</v>
      </c>
      <c r="M14" s="2"/>
      <c r="N14" s="11">
        <v>0</v>
      </c>
      <c r="O14" s="2">
        <f t="shared" si="0"/>
        <v>2100</v>
      </c>
      <c r="P14" s="2">
        <f t="shared" si="1"/>
        <v>2100</v>
      </c>
      <c r="Q14" s="2">
        <f t="shared" si="2"/>
        <v>3100</v>
      </c>
      <c r="R14" s="2">
        <v>0</v>
      </c>
      <c r="S14" s="2">
        <f t="shared" si="3"/>
        <v>36</v>
      </c>
      <c r="T14" s="2">
        <f t="shared" si="5"/>
        <v>80</v>
      </c>
      <c r="U14" s="2">
        <v>0</v>
      </c>
      <c r="V14" s="2">
        <v>0</v>
      </c>
      <c r="W14" s="2">
        <v>0</v>
      </c>
      <c r="X14" s="18" t="s">
        <v>42</v>
      </c>
    </row>
    <row r="15" customHeight="1" spans="1:24">
      <c r="C15" s="1">
        <v>10</v>
      </c>
      <c r="D15" s="1">
        <v>1</v>
      </c>
      <c r="E15" s="1">
        <v>10</v>
      </c>
      <c r="F15" s="1">
        <v>10</v>
      </c>
      <c r="G15" s="1" t="s">
        <v>69</v>
      </c>
      <c r="H15" s="1" t="s">
        <v>28</v>
      </c>
      <c r="I15" s="17" t="s">
        <v>70</v>
      </c>
      <c r="J15" s="17" t="s">
        <v>71</v>
      </c>
      <c r="K15" s="17" t="s">
        <v>72</v>
      </c>
      <c r="L15" s="2">
        <v>0</v>
      </c>
      <c r="M15" s="2"/>
      <c r="N15" s="11">
        <v>0</v>
      </c>
      <c r="O15" s="2">
        <f t="shared" si="0"/>
        <v>2300</v>
      </c>
      <c r="P15" s="2">
        <f t="shared" si="1"/>
        <v>2300</v>
      </c>
      <c r="Q15" s="2">
        <f t="shared" si="2"/>
        <v>3300</v>
      </c>
      <c r="R15" s="2">
        <v>0</v>
      </c>
      <c r="S15" s="2">
        <f t="shared" si="3"/>
        <v>38</v>
      </c>
      <c r="T15" s="2">
        <f t="shared" si="5"/>
        <v>90</v>
      </c>
      <c r="U15" s="2">
        <v>0</v>
      </c>
      <c r="V15" s="2">
        <v>0</v>
      </c>
      <c r="W15" s="2">
        <v>0</v>
      </c>
    </row>
    <row r="16" customHeight="1" spans="1:24">
      <c r="C16" s="1">
        <v>11</v>
      </c>
      <c r="D16" s="1">
        <v>1</v>
      </c>
      <c r="E16" s="1">
        <v>11</v>
      </c>
      <c r="F16" s="1">
        <v>11</v>
      </c>
      <c r="G16" s="1" t="s">
        <v>73</v>
      </c>
      <c r="H16" s="1" t="s">
        <v>28</v>
      </c>
      <c r="I16" s="17" t="s">
        <v>74</v>
      </c>
      <c r="J16" s="17" t="s">
        <v>75</v>
      </c>
      <c r="K16" s="17" t="s">
        <v>76</v>
      </c>
      <c r="L16" s="2">
        <v>0</v>
      </c>
      <c r="M16" s="2"/>
      <c r="N16" s="11">
        <v>0</v>
      </c>
      <c r="O16" s="2">
        <f t="shared" ref="O16:O25" si="6">O15+400</f>
        <v>2700</v>
      </c>
      <c r="P16" s="2">
        <f t="shared" ref="P16:P25" si="7">P15+400</f>
        <v>2700</v>
      </c>
      <c r="Q16" s="2">
        <f t="shared" si="2"/>
        <v>3500</v>
      </c>
      <c r="R16" s="2">
        <v>0</v>
      </c>
      <c r="S16" s="2">
        <f t="shared" si="3"/>
        <v>40</v>
      </c>
      <c r="T16" s="2">
        <f t="shared" ref="T16:T25" si="8">T15+15</f>
        <v>105</v>
      </c>
      <c r="U16" s="2">
        <v>0</v>
      </c>
      <c r="V16" s="2">
        <v>0</v>
      </c>
      <c r="W16" s="2">
        <v>0</v>
      </c>
    </row>
    <row r="17" customHeight="1" spans="3:23">
      <c r="C17" s="1">
        <v>12</v>
      </c>
      <c r="D17" s="1">
        <v>1</v>
      </c>
      <c r="E17" s="1">
        <v>12</v>
      </c>
      <c r="F17" s="1">
        <v>12</v>
      </c>
      <c r="G17" s="1" t="s">
        <v>77</v>
      </c>
      <c r="H17" s="1" t="s">
        <v>28</v>
      </c>
      <c r="I17" s="17" t="s">
        <v>78</v>
      </c>
      <c r="J17" s="17" t="s">
        <v>79</v>
      </c>
      <c r="K17" s="17" t="s">
        <v>80</v>
      </c>
      <c r="L17" s="2">
        <v>0</v>
      </c>
      <c r="M17" s="2"/>
      <c r="N17" s="11">
        <v>0</v>
      </c>
      <c r="O17" s="2">
        <f t="shared" si="6"/>
        <v>3100</v>
      </c>
      <c r="P17" s="2">
        <f t="shared" si="7"/>
        <v>3100</v>
      </c>
      <c r="Q17" s="2">
        <f t="shared" si="2"/>
        <v>3700</v>
      </c>
      <c r="R17" s="2">
        <v>0</v>
      </c>
      <c r="S17" s="2">
        <f t="shared" si="3"/>
        <v>42</v>
      </c>
      <c r="T17" s="2">
        <f t="shared" si="8"/>
        <v>120</v>
      </c>
      <c r="U17" s="2">
        <v>0</v>
      </c>
      <c r="V17" s="2">
        <v>0</v>
      </c>
      <c r="W17" s="2">
        <v>0</v>
      </c>
    </row>
    <row r="18" customHeight="1" spans="3:23">
      <c r="C18" s="1">
        <v>13</v>
      </c>
      <c r="D18" s="1">
        <v>1</v>
      </c>
      <c r="E18" s="1">
        <v>13</v>
      </c>
      <c r="F18" s="1">
        <v>13</v>
      </c>
      <c r="G18" s="1" t="s">
        <v>81</v>
      </c>
      <c r="H18" s="1" t="s">
        <v>28</v>
      </c>
      <c r="I18" s="17" t="s">
        <v>82</v>
      </c>
      <c r="J18" s="17" t="s">
        <v>83</v>
      </c>
      <c r="K18" s="17" t="s">
        <v>84</v>
      </c>
      <c r="L18" s="2">
        <v>0</v>
      </c>
      <c r="M18" s="2"/>
      <c r="N18" s="11">
        <v>0</v>
      </c>
      <c r="O18" s="2">
        <f t="shared" si="6"/>
        <v>3500</v>
      </c>
      <c r="P18" s="2">
        <f t="shared" si="7"/>
        <v>3500</v>
      </c>
      <c r="Q18" s="2">
        <f t="shared" si="2"/>
        <v>3900</v>
      </c>
      <c r="R18" s="2">
        <v>0</v>
      </c>
      <c r="S18" s="2">
        <f t="shared" si="3"/>
        <v>44</v>
      </c>
      <c r="T18" s="2">
        <f t="shared" si="8"/>
        <v>135</v>
      </c>
      <c r="U18" s="2">
        <v>0</v>
      </c>
      <c r="V18" s="2">
        <v>0</v>
      </c>
      <c r="W18" s="2">
        <v>0</v>
      </c>
    </row>
    <row r="19" customHeight="1" spans="3:23">
      <c r="C19" s="1">
        <v>14</v>
      </c>
      <c r="D19" s="1">
        <v>1</v>
      </c>
      <c r="E19" s="1">
        <v>14</v>
      </c>
      <c r="F19" s="1">
        <v>14</v>
      </c>
      <c r="G19" s="1" t="s">
        <v>85</v>
      </c>
      <c r="H19" s="1" t="s">
        <v>28</v>
      </c>
      <c r="I19" s="17" t="s">
        <v>86</v>
      </c>
      <c r="J19" s="17" t="s">
        <v>87</v>
      </c>
      <c r="K19" s="17" t="s">
        <v>88</v>
      </c>
      <c r="L19" s="2">
        <v>0</v>
      </c>
      <c r="M19" s="2"/>
      <c r="N19" s="11">
        <v>0</v>
      </c>
      <c r="O19" s="2">
        <f t="shared" si="6"/>
        <v>3900</v>
      </c>
      <c r="P19" s="2">
        <f t="shared" si="7"/>
        <v>3900</v>
      </c>
      <c r="Q19" s="2">
        <f t="shared" si="2"/>
        <v>4100</v>
      </c>
      <c r="R19" s="2">
        <v>0</v>
      </c>
      <c r="S19" s="2">
        <f t="shared" si="3"/>
        <v>46</v>
      </c>
      <c r="T19" s="2">
        <f t="shared" si="8"/>
        <v>150</v>
      </c>
      <c r="U19" s="2">
        <v>0</v>
      </c>
      <c r="V19" s="2">
        <v>0</v>
      </c>
      <c r="W19" s="2">
        <v>0</v>
      </c>
    </row>
    <row r="20" customHeight="1" spans="3:23">
      <c r="C20" s="1">
        <v>15</v>
      </c>
      <c r="D20" s="1">
        <v>1</v>
      </c>
      <c r="E20" s="1">
        <v>15</v>
      </c>
      <c r="F20" s="1">
        <v>15</v>
      </c>
      <c r="G20" s="1" t="s">
        <v>89</v>
      </c>
      <c r="H20" s="1" t="s">
        <v>28</v>
      </c>
      <c r="I20" s="10" t="s">
        <v>90</v>
      </c>
      <c r="J20" s="10" t="s">
        <v>91</v>
      </c>
      <c r="K20" s="10" t="s">
        <v>92</v>
      </c>
      <c r="L20" s="2">
        <v>0</v>
      </c>
      <c r="M20" s="2"/>
      <c r="N20" s="11">
        <v>0</v>
      </c>
      <c r="O20" s="2">
        <f t="shared" si="6"/>
        <v>4300</v>
      </c>
      <c r="P20" s="2">
        <f t="shared" si="7"/>
        <v>4300</v>
      </c>
      <c r="Q20" s="2">
        <f t="shared" si="2"/>
        <v>4300</v>
      </c>
      <c r="R20" s="2">
        <v>0</v>
      </c>
      <c r="S20" s="2">
        <f t="shared" si="3"/>
        <v>48</v>
      </c>
      <c r="T20" s="2">
        <f t="shared" si="8"/>
        <v>165</v>
      </c>
      <c r="U20" s="2">
        <v>0</v>
      </c>
      <c r="V20" s="2">
        <v>0</v>
      </c>
      <c r="W20" s="2">
        <v>0</v>
      </c>
    </row>
    <row r="21" customHeight="1" spans="3:23">
      <c r="C21" s="1">
        <v>16</v>
      </c>
      <c r="D21" s="1">
        <v>1</v>
      </c>
      <c r="E21" s="1">
        <v>16</v>
      </c>
      <c r="F21" s="1">
        <v>16</v>
      </c>
      <c r="G21" s="1" t="s">
        <v>93</v>
      </c>
      <c r="H21" s="1" t="s">
        <v>28</v>
      </c>
      <c r="I21" s="10" t="s">
        <v>94</v>
      </c>
      <c r="J21" s="10" t="s">
        <v>95</v>
      </c>
      <c r="K21" s="10" t="s">
        <v>96</v>
      </c>
      <c r="L21" s="2">
        <v>0</v>
      </c>
      <c r="M21" s="2"/>
      <c r="N21" s="11">
        <v>0</v>
      </c>
      <c r="O21" s="2">
        <f t="shared" ref="O21:O25" si="9">O20+800</f>
        <v>5100</v>
      </c>
      <c r="P21" s="2">
        <f t="shared" ref="P21:P25" si="10">P20+800</f>
        <v>5100</v>
      </c>
      <c r="Q21" s="2">
        <f t="shared" ref="Q21:Q26" si="11">Q20+400</f>
        <v>4700</v>
      </c>
      <c r="R21" s="2">
        <v>0</v>
      </c>
      <c r="S21" s="2">
        <f t="shared" si="3"/>
        <v>50</v>
      </c>
      <c r="T21" s="2">
        <f t="shared" ref="T21:T25" si="12">T20+25</f>
        <v>190</v>
      </c>
      <c r="U21" s="2">
        <v>0</v>
      </c>
      <c r="V21" s="2">
        <v>10</v>
      </c>
      <c r="W21" s="2">
        <v>0</v>
      </c>
    </row>
    <row r="22" customHeight="1" spans="3:23">
      <c r="C22" s="1">
        <v>17</v>
      </c>
      <c r="D22" s="1">
        <v>1</v>
      </c>
      <c r="E22" s="1">
        <v>17</v>
      </c>
      <c r="F22" s="1">
        <v>17</v>
      </c>
      <c r="G22" s="1" t="s">
        <v>97</v>
      </c>
      <c r="H22" s="1" t="s">
        <v>28</v>
      </c>
      <c r="I22" s="10" t="s">
        <v>98</v>
      </c>
      <c r="J22" s="10" t="s">
        <v>99</v>
      </c>
      <c r="K22" s="10" t="s">
        <v>100</v>
      </c>
      <c r="L22" s="2">
        <v>0</v>
      </c>
      <c r="M22" s="2"/>
      <c r="N22" s="11">
        <v>0</v>
      </c>
      <c r="O22" s="2">
        <f t="shared" si="9"/>
        <v>5900</v>
      </c>
      <c r="P22" s="2">
        <f t="shared" si="10"/>
        <v>5900</v>
      </c>
      <c r="Q22" s="2">
        <f t="shared" si="11"/>
        <v>5100</v>
      </c>
      <c r="R22" s="2">
        <v>0</v>
      </c>
      <c r="S22" s="2">
        <f t="shared" si="3"/>
        <v>52</v>
      </c>
      <c r="T22" s="2">
        <f t="shared" si="12"/>
        <v>215</v>
      </c>
      <c r="U22" s="2">
        <v>0</v>
      </c>
      <c r="V22" s="2">
        <v>20</v>
      </c>
      <c r="W22" s="2">
        <v>0</v>
      </c>
    </row>
    <row r="23" customHeight="1" spans="3:23">
      <c r="C23" s="1">
        <v>18</v>
      </c>
      <c r="D23" s="1">
        <v>1</v>
      </c>
      <c r="E23" s="1">
        <v>18</v>
      </c>
      <c r="F23" s="1">
        <v>18</v>
      </c>
      <c r="G23" s="1" t="s">
        <v>101</v>
      </c>
      <c r="H23" s="1" t="s">
        <v>28</v>
      </c>
      <c r="I23" s="10" t="s">
        <v>102</v>
      </c>
      <c r="J23" s="10" t="s">
        <v>103</v>
      </c>
      <c r="K23" s="10" t="s">
        <v>104</v>
      </c>
      <c r="L23" s="2">
        <v>0</v>
      </c>
      <c r="M23" s="2"/>
      <c r="N23" s="11">
        <v>0</v>
      </c>
      <c r="O23" s="2">
        <f t="shared" si="9"/>
        <v>6700</v>
      </c>
      <c r="P23" s="2">
        <f t="shared" si="10"/>
        <v>6700</v>
      </c>
      <c r="Q23" s="2">
        <f t="shared" si="11"/>
        <v>5500</v>
      </c>
      <c r="R23" s="2">
        <v>0</v>
      </c>
      <c r="S23" s="2">
        <f t="shared" si="3"/>
        <v>54</v>
      </c>
      <c r="T23" s="2">
        <f t="shared" si="12"/>
        <v>240</v>
      </c>
      <c r="U23" s="2">
        <v>0</v>
      </c>
      <c r="V23" s="2">
        <v>30</v>
      </c>
      <c r="W23" s="2">
        <v>0</v>
      </c>
    </row>
    <row r="24" customHeight="1" spans="3:23">
      <c r="C24" s="1">
        <v>19</v>
      </c>
      <c r="D24" s="1">
        <v>1</v>
      </c>
      <c r="E24" s="1">
        <v>19</v>
      </c>
      <c r="F24" s="1">
        <v>19</v>
      </c>
      <c r="G24" s="1" t="s">
        <v>105</v>
      </c>
      <c r="H24" s="1" t="s">
        <v>28</v>
      </c>
      <c r="I24" s="10" t="s">
        <v>106</v>
      </c>
      <c r="J24" s="10" t="s">
        <v>107</v>
      </c>
      <c r="K24" s="10" t="s">
        <v>108</v>
      </c>
      <c r="L24" s="2">
        <v>0</v>
      </c>
      <c r="M24" s="2"/>
      <c r="N24" s="11">
        <v>0</v>
      </c>
      <c r="O24" s="2">
        <f t="shared" si="9"/>
        <v>7500</v>
      </c>
      <c r="P24" s="2">
        <f t="shared" si="10"/>
        <v>7500</v>
      </c>
      <c r="Q24" s="2">
        <f t="shared" si="11"/>
        <v>5900</v>
      </c>
      <c r="R24" s="2">
        <v>0</v>
      </c>
      <c r="S24" s="2">
        <f t="shared" si="3"/>
        <v>56</v>
      </c>
      <c r="T24" s="2">
        <f t="shared" si="12"/>
        <v>265</v>
      </c>
      <c r="U24" s="2">
        <v>0</v>
      </c>
      <c r="V24" s="2">
        <v>40</v>
      </c>
      <c r="W24" s="2">
        <v>0</v>
      </c>
    </row>
    <row r="25" customHeight="1" spans="3:23">
      <c r="C25" s="1">
        <v>20</v>
      </c>
      <c r="D25" s="1">
        <v>1</v>
      </c>
      <c r="E25" s="1">
        <v>20</v>
      </c>
      <c r="F25" s="1">
        <v>20</v>
      </c>
      <c r="G25" s="1" t="s">
        <v>109</v>
      </c>
      <c r="H25" s="1" t="s">
        <v>28</v>
      </c>
      <c r="I25" s="10" t="s">
        <v>95</v>
      </c>
      <c r="J25" s="10" t="s">
        <v>110</v>
      </c>
      <c r="K25" s="10" t="s">
        <v>111</v>
      </c>
      <c r="L25" s="2">
        <v>0</v>
      </c>
      <c r="M25" s="2"/>
      <c r="N25" s="11">
        <v>0</v>
      </c>
      <c r="O25" s="2">
        <f t="shared" si="9"/>
        <v>8300</v>
      </c>
      <c r="P25" s="2">
        <f t="shared" si="10"/>
        <v>8300</v>
      </c>
      <c r="Q25" s="2">
        <f t="shared" si="11"/>
        <v>6300</v>
      </c>
      <c r="R25" s="2">
        <v>0</v>
      </c>
      <c r="S25" s="2">
        <f t="shared" si="3"/>
        <v>58</v>
      </c>
      <c r="T25" s="2">
        <f t="shared" si="12"/>
        <v>290</v>
      </c>
      <c r="U25" s="2">
        <v>0</v>
      </c>
      <c r="V25" s="2">
        <v>50</v>
      </c>
      <c r="W25" s="2">
        <v>0</v>
      </c>
    </row>
    <row r="26" customHeight="1" spans="3:23">
      <c r="I26" s="10"/>
      <c r="N26" s="11"/>
      <c r="Q26" s="2"/>
      <c r="R26" s="13"/>
    </row>
    <row r="27" customHeight="1" spans="3:23">
      <c r="I27" s="10"/>
      <c r="J27" s="10"/>
      <c r="N27" s="11"/>
      <c r="R27" s="2"/>
    </row>
    <row r="28" customHeight="1" spans="3:23">
      <c r="I28" s="10"/>
      <c r="J28" s="10"/>
      <c r="N28" s="11"/>
      <c r="R28" s="2"/>
    </row>
    <row r="29" customHeight="1" spans="3:23">
      <c r="I29" s="10"/>
      <c r="J29" s="10"/>
      <c r="N29" s="11"/>
      <c r="R29" s="2"/>
    </row>
    <row r="30" customHeight="1" spans="3:23">
      <c r="J30" s="10"/>
      <c r="N30" s="11"/>
      <c r="R30" s="2"/>
    </row>
    <row r="31" customHeight="1" spans="3:23">
      <c r="J31" s="10"/>
      <c r="N31" s="11"/>
      <c r="R31" s="2"/>
    </row>
    <row r="32" customHeight="1" spans="3:23">
      <c r="J32" s="10"/>
      <c r="N32" s="11"/>
      <c r="R32" s="2"/>
    </row>
    <row r="33" s="2" customFormat="1" customHeight="1" spans="3:25">
      <c r="C33" s="14">
        <v>101</v>
      </c>
      <c r="D33" s="14">
        <v>2</v>
      </c>
      <c r="E33" s="14">
        <v>1</v>
      </c>
      <c r="F33" s="14">
        <v>10</v>
      </c>
      <c r="G33" s="14" t="s">
        <v>112</v>
      </c>
      <c r="H33" s="14" t="s">
        <v>113</v>
      </c>
      <c r="I33" s="17" t="s">
        <v>114</v>
      </c>
      <c r="J33" s="17" t="s">
        <v>115</v>
      </c>
      <c r="K33" s="17" t="s">
        <v>116</v>
      </c>
      <c r="L33" s="18" t="s">
        <v>117</v>
      </c>
      <c r="M33" s="2"/>
      <c r="N33" s="18" t="s">
        <v>118</v>
      </c>
      <c r="O33" s="13">
        <v>10000</v>
      </c>
      <c r="P33" s="13">
        <v>10000</v>
      </c>
      <c r="Q33" s="13">
        <v>10000</v>
      </c>
      <c r="R33" s="13">
        <v>10000</v>
      </c>
      <c r="S33" s="2">
        <v>0</v>
      </c>
      <c r="T33" s="13">
        <v>150</v>
      </c>
      <c r="U33" s="2">
        <v>150</v>
      </c>
      <c r="V33" s="2">
        <v>99</v>
      </c>
      <c r="W33" s="2">
        <v>100</v>
      </c>
      <c r="X33" s="19" t="s">
        <v>119</v>
      </c>
      <c r="Y33" s="16"/>
    </row>
    <row r="34" s="2" customFormat="1" customHeight="1" spans="3:25">
      <c r="C34" s="14">
        <v>102</v>
      </c>
      <c r="D34" s="14">
        <v>2</v>
      </c>
      <c r="E34" s="14">
        <v>2</v>
      </c>
      <c r="F34" s="14">
        <v>11</v>
      </c>
      <c r="G34" s="14" t="s">
        <v>120</v>
      </c>
      <c r="H34" s="14" t="s">
        <v>113</v>
      </c>
      <c r="I34" s="17" t="s">
        <v>121</v>
      </c>
      <c r="J34" s="17" t="s">
        <v>122</v>
      </c>
      <c r="K34" s="17" t="s">
        <v>123</v>
      </c>
      <c r="L34" s="18" t="s">
        <v>124</v>
      </c>
      <c r="M34" s="2"/>
      <c r="N34" s="18" t="s">
        <v>125</v>
      </c>
      <c r="O34" s="13">
        <f t="shared" ref="O33:O52" si="13">O33+1000</f>
        <v>11000</v>
      </c>
      <c r="P34" s="13">
        <f t="shared" ref="P33:P52" si="14">P33+1000</f>
        <v>11000</v>
      </c>
      <c r="Q34" s="13">
        <f t="shared" ref="Q34:Q52" si="15">Q33+2000</f>
        <v>12000</v>
      </c>
      <c r="R34" s="2">
        <f t="shared" ref="R34:R52" si="16">R33+2000</f>
        <v>12000</v>
      </c>
      <c r="S34" s="2">
        <v>0</v>
      </c>
      <c r="T34" s="2">
        <f t="shared" ref="T34:T52" si="17">T33+20</f>
        <v>170</v>
      </c>
      <c r="U34" s="2">
        <f t="shared" ref="U34:U52" si="18">U33+30</f>
        <v>180</v>
      </c>
      <c r="V34" s="2">
        <v>99</v>
      </c>
      <c r="W34" s="2">
        <v>100</v>
      </c>
      <c r="X34" s="19" t="s">
        <v>119</v>
      </c>
      <c r="Y34" s="16"/>
    </row>
    <row r="35" s="2" customFormat="1" customHeight="1" spans="3:25">
      <c r="C35" s="14">
        <v>103</v>
      </c>
      <c r="D35" s="14">
        <v>2</v>
      </c>
      <c r="E35" s="14">
        <v>3</v>
      </c>
      <c r="F35" s="14">
        <v>12</v>
      </c>
      <c r="G35" s="14" t="s">
        <v>126</v>
      </c>
      <c r="H35" s="14" t="s">
        <v>113</v>
      </c>
      <c r="I35" s="17" t="s">
        <v>127</v>
      </c>
      <c r="J35" s="17" t="s">
        <v>114</v>
      </c>
      <c r="K35" s="17" t="s">
        <v>128</v>
      </c>
      <c r="L35" s="18" t="s">
        <v>34</v>
      </c>
      <c r="M35" s="2"/>
      <c r="N35" s="18" t="s">
        <v>129</v>
      </c>
      <c r="O35" s="13">
        <f t="shared" si="13"/>
        <v>12000</v>
      </c>
      <c r="P35" s="13">
        <f t="shared" si="14"/>
        <v>12000</v>
      </c>
      <c r="Q35" s="13">
        <f t="shared" si="15"/>
        <v>14000</v>
      </c>
      <c r="R35" s="2">
        <f t="shared" si="16"/>
        <v>14000</v>
      </c>
      <c r="S35" s="2">
        <v>0</v>
      </c>
      <c r="T35" s="2">
        <f t="shared" si="17"/>
        <v>190</v>
      </c>
      <c r="U35" s="2">
        <f t="shared" si="18"/>
        <v>210</v>
      </c>
      <c r="V35" s="2">
        <v>99</v>
      </c>
      <c r="W35" s="2">
        <v>100</v>
      </c>
      <c r="X35" s="19" t="s">
        <v>119</v>
      </c>
      <c r="Y35" s="16"/>
    </row>
    <row r="36" s="2" customFormat="1" customHeight="1" spans="3:25">
      <c r="C36" s="14">
        <v>104</v>
      </c>
      <c r="D36" s="14">
        <v>2</v>
      </c>
      <c r="E36" s="14">
        <v>4</v>
      </c>
      <c r="F36" s="14">
        <v>13</v>
      </c>
      <c r="G36" s="14" t="s">
        <v>130</v>
      </c>
      <c r="H36" s="14" t="s">
        <v>113</v>
      </c>
      <c r="I36" s="17" t="s">
        <v>131</v>
      </c>
      <c r="J36" s="17" t="s">
        <v>68</v>
      </c>
      <c r="K36" s="17" t="s">
        <v>132</v>
      </c>
      <c r="L36" s="18" t="s">
        <v>125</v>
      </c>
      <c r="M36" s="2"/>
      <c r="N36" s="18" t="s">
        <v>66</v>
      </c>
      <c r="O36" s="13">
        <f t="shared" si="13"/>
        <v>13000</v>
      </c>
      <c r="P36" s="13">
        <f t="shared" si="14"/>
        <v>13000</v>
      </c>
      <c r="Q36" s="13">
        <f t="shared" si="15"/>
        <v>16000</v>
      </c>
      <c r="R36" s="2">
        <f t="shared" si="16"/>
        <v>16000</v>
      </c>
      <c r="S36" s="2">
        <v>0</v>
      </c>
      <c r="T36" s="2">
        <f t="shared" si="17"/>
        <v>210</v>
      </c>
      <c r="U36" s="2">
        <f t="shared" si="18"/>
        <v>240</v>
      </c>
      <c r="V36" s="2">
        <v>99</v>
      </c>
      <c r="W36" s="2">
        <v>100</v>
      </c>
      <c r="X36" s="19" t="s">
        <v>119</v>
      </c>
      <c r="Y36" s="16"/>
    </row>
    <row r="37" s="2" customFormat="1" customHeight="1" spans="3:25">
      <c r="C37" s="14">
        <v>105</v>
      </c>
      <c r="D37" s="14">
        <v>2</v>
      </c>
      <c r="E37" s="14">
        <v>5</v>
      </c>
      <c r="F37" s="14">
        <v>14</v>
      </c>
      <c r="G37" s="14" t="s">
        <v>133</v>
      </c>
      <c r="H37" s="14" t="s">
        <v>113</v>
      </c>
      <c r="I37" s="17" t="s">
        <v>134</v>
      </c>
      <c r="J37" s="17" t="s">
        <v>135</v>
      </c>
      <c r="K37" s="17" t="s">
        <v>136</v>
      </c>
      <c r="L37" s="18" t="s">
        <v>58</v>
      </c>
      <c r="M37" s="2"/>
      <c r="N37" s="18" t="s">
        <v>137</v>
      </c>
      <c r="O37" s="13">
        <f t="shared" si="13"/>
        <v>14000</v>
      </c>
      <c r="P37" s="13">
        <f t="shared" si="14"/>
        <v>14000</v>
      </c>
      <c r="Q37" s="13">
        <f t="shared" si="15"/>
        <v>18000</v>
      </c>
      <c r="R37" s="2">
        <f t="shared" si="16"/>
        <v>18000</v>
      </c>
      <c r="S37" s="2">
        <v>0</v>
      </c>
      <c r="T37" s="2">
        <f t="shared" si="17"/>
        <v>230</v>
      </c>
      <c r="U37" s="2">
        <f t="shared" si="18"/>
        <v>270</v>
      </c>
      <c r="V37" s="2">
        <v>99</v>
      </c>
      <c r="W37" s="2">
        <v>100</v>
      </c>
      <c r="X37" s="19" t="s">
        <v>119</v>
      </c>
      <c r="Y37" s="16"/>
    </row>
    <row r="38" s="2" customFormat="1" customHeight="1" spans="3:25">
      <c r="C38" s="14">
        <v>106</v>
      </c>
      <c r="D38" s="14">
        <v>2</v>
      </c>
      <c r="E38" s="14">
        <v>6</v>
      </c>
      <c r="F38" s="14">
        <v>15</v>
      </c>
      <c r="G38" s="14" t="s">
        <v>138</v>
      </c>
      <c r="H38" s="14" t="s">
        <v>113</v>
      </c>
      <c r="I38" s="17" t="s">
        <v>139</v>
      </c>
      <c r="J38" s="17" t="s">
        <v>140</v>
      </c>
      <c r="K38" s="17" t="s">
        <v>141</v>
      </c>
      <c r="L38" s="18" t="s">
        <v>70</v>
      </c>
      <c r="M38" s="2"/>
      <c r="N38" s="18" t="s">
        <v>142</v>
      </c>
      <c r="O38" s="13">
        <f t="shared" si="13"/>
        <v>15000</v>
      </c>
      <c r="P38" s="13">
        <f t="shared" si="14"/>
        <v>15000</v>
      </c>
      <c r="Q38" s="13">
        <f t="shared" si="15"/>
        <v>20000</v>
      </c>
      <c r="R38" s="2">
        <f t="shared" si="16"/>
        <v>20000</v>
      </c>
      <c r="S38" s="2">
        <v>0</v>
      </c>
      <c r="T38" s="2">
        <f t="shared" si="17"/>
        <v>250</v>
      </c>
      <c r="U38" s="2">
        <f t="shared" si="18"/>
        <v>300</v>
      </c>
      <c r="V38" s="2">
        <v>99</v>
      </c>
      <c r="W38" s="2">
        <v>100</v>
      </c>
      <c r="X38" s="19" t="s">
        <v>119</v>
      </c>
      <c r="Y38" s="16"/>
    </row>
    <row r="39" s="2" customFormat="1" customHeight="1" spans="3:25">
      <c r="C39" s="14">
        <v>107</v>
      </c>
      <c r="D39" s="14">
        <v>2</v>
      </c>
      <c r="E39" s="14">
        <v>7</v>
      </c>
      <c r="F39" s="14">
        <v>16</v>
      </c>
      <c r="G39" s="14" t="s">
        <v>143</v>
      </c>
      <c r="H39" s="14" t="s">
        <v>113</v>
      </c>
      <c r="I39" s="17" t="s">
        <v>144</v>
      </c>
      <c r="J39" s="17" t="s">
        <v>139</v>
      </c>
      <c r="K39" s="17" t="s">
        <v>145</v>
      </c>
      <c r="L39" s="18" t="s">
        <v>82</v>
      </c>
      <c r="N39" s="18" t="s">
        <v>146</v>
      </c>
      <c r="O39" s="13">
        <f t="shared" si="13"/>
        <v>16000</v>
      </c>
      <c r="P39" s="13">
        <f t="shared" si="14"/>
        <v>16000</v>
      </c>
      <c r="Q39" s="13">
        <f t="shared" si="15"/>
        <v>22000</v>
      </c>
      <c r="R39" s="2">
        <f t="shared" si="16"/>
        <v>22000</v>
      </c>
      <c r="S39" s="2">
        <v>0</v>
      </c>
      <c r="T39" s="2">
        <f t="shared" si="17"/>
        <v>270</v>
      </c>
      <c r="U39" s="2">
        <f t="shared" si="18"/>
        <v>330</v>
      </c>
      <c r="V39" s="2">
        <v>99</v>
      </c>
      <c r="W39" s="2">
        <v>100</v>
      </c>
      <c r="X39" s="19" t="s">
        <v>119</v>
      </c>
      <c r="Y39" s="16"/>
    </row>
    <row r="40" s="2" customFormat="1" customHeight="1" spans="3:25">
      <c r="C40" s="14">
        <v>108</v>
      </c>
      <c r="D40" s="14">
        <v>2</v>
      </c>
      <c r="E40" s="14">
        <v>8</v>
      </c>
      <c r="F40" s="14">
        <v>17</v>
      </c>
      <c r="G40" s="14" t="s">
        <v>147</v>
      </c>
      <c r="H40" s="14" t="s">
        <v>113</v>
      </c>
      <c r="I40" s="17" t="s">
        <v>148</v>
      </c>
      <c r="J40" s="17" t="s">
        <v>88</v>
      </c>
      <c r="K40" s="17" t="s">
        <v>149</v>
      </c>
      <c r="L40" s="18" t="s">
        <v>150</v>
      </c>
      <c r="M40" s="2"/>
      <c r="N40" s="18" t="s">
        <v>151</v>
      </c>
      <c r="O40" s="13">
        <f t="shared" si="13"/>
        <v>17000</v>
      </c>
      <c r="P40" s="13">
        <f t="shared" si="14"/>
        <v>17000</v>
      </c>
      <c r="Q40" s="13">
        <f t="shared" si="15"/>
        <v>24000</v>
      </c>
      <c r="R40" s="2">
        <f t="shared" si="16"/>
        <v>24000</v>
      </c>
      <c r="S40" s="2">
        <v>0</v>
      </c>
      <c r="T40" s="2">
        <f t="shared" si="17"/>
        <v>290</v>
      </c>
      <c r="U40" s="2">
        <f t="shared" si="18"/>
        <v>360</v>
      </c>
      <c r="V40" s="2">
        <v>99</v>
      </c>
      <c r="W40" s="2">
        <v>100</v>
      </c>
      <c r="X40" s="19" t="s">
        <v>119</v>
      </c>
      <c r="Y40" s="16"/>
    </row>
    <row r="41" s="2" customFormat="1" customHeight="1" spans="3:25">
      <c r="C41" s="14">
        <v>109</v>
      </c>
      <c r="D41" s="14">
        <v>2</v>
      </c>
      <c r="E41" s="14">
        <v>9</v>
      </c>
      <c r="F41" s="14">
        <v>18</v>
      </c>
      <c r="G41" s="14" t="s">
        <v>152</v>
      </c>
      <c r="H41" s="14" t="s">
        <v>113</v>
      </c>
      <c r="I41" s="17" t="s">
        <v>153</v>
      </c>
      <c r="J41" s="17" t="s">
        <v>116</v>
      </c>
      <c r="K41" s="17" t="s">
        <v>154</v>
      </c>
      <c r="L41" s="18" t="s">
        <v>151</v>
      </c>
      <c r="M41" s="2"/>
      <c r="N41" s="18" t="s">
        <v>155</v>
      </c>
      <c r="O41" s="13">
        <f t="shared" si="13"/>
        <v>18000</v>
      </c>
      <c r="P41" s="13">
        <f t="shared" si="14"/>
        <v>18000</v>
      </c>
      <c r="Q41" s="13">
        <f t="shared" si="15"/>
        <v>26000</v>
      </c>
      <c r="R41" s="2">
        <f t="shared" si="16"/>
        <v>26000</v>
      </c>
      <c r="S41" s="2">
        <v>0</v>
      </c>
      <c r="T41" s="2">
        <f t="shared" si="17"/>
        <v>310</v>
      </c>
      <c r="U41" s="2">
        <f t="shared" si="18"/>
        <v>390</v>
      </c>
      <c r="V41" s="2">
        <v>99</v>
      </c>
      <c r="W41" s="2">
        <v>100</v>
      </c>
      <c r="X41" s="19" t="s">
        <v>119</v>
      </c>
      <c r="Y41" s="16"/>
    </row>
    <row r="42" s="2" customFormat="1" customHeight="1" spans="3:25">
      <c r="C42" s="14">
        <v>110</v>
      </c>
      <c r="D42" s="14">
        <v>2</v>
      </c>
      <c r="E42" s="14">
        <v>10</v>
      </c>
      <c r="F42" s="14">
        <v>19</v>
      </c>
      <c r="G42" s="14" t="s">
        <v>156</v>
      </c>
      <c r="H42" s="14" t="s">
        <v>113</v>
      </c>
      <c r="I42" s="17" t="s">
        <v>157</v>
      </c>
      <c r="J42" s="17" t="s">
        <v>123</v>
      </c>
      <c r="K42" s="17" t="s">
        <v>158</v>
      </c>
      <c r="L42" s="18" t="s">
        <v>155</v>
      </c>
      <c r="M42" s="2"/>
      <c r="N42" s="18" t="s">
        <v>159</v>
      </c>
      <c r="O42" s="13">
        <f t="shared" si="13"/>
        <v>19000</v>
      </c>
      <c r="P42" s="13">
        <f t="shared" si="14"/>
        <v>19000</v>
      </c>
      <c r="Q42" s="13">
        <f t="shared" si="15"/>
        <v>28000</v>
      </c>
      <c r="R42" s="2">
        <f t="shared" si="16"/>
        <v>28000</v>
      </c>
      <c r="S42" s="2">
        <v>0</v>
      </c>
      <c r="T42" s="2">
        <f t="shared" si="17"/>
        <v>330</v>
      </c>
      <c r="U42" s="2">
        <f t="shared" si="18"/>
        <v>420</v>
      </c>
      <c r="V42" s="2">
        <v>99</v>
      </c>
      <c r="W42" s="2">
        <v>100</v>
      </c>
      <c r="X42" s="19" t="s">
        <v>119</v>
      </c>
      <c r="Y42" s="16"/>
    </row>
    <row r="43" s="2" customFormat="1" customHeight="1" spans="3:25">
      <c r="C43" s="14">
        <v>111</v>
      </c>
      <c r="D43" s="14">
        <v>2</v>
      </c>
      <c r="E43" s="14">
        <v>11</v>
      </c>
      <c r="F43" s="14">
        <v>20</v>
      </c>
      <c r="G43" s="14" t="s">
        <v>160</v>
      </c>
      <c r="H43" s="14" t="s">
        <v>113</v>
      </c>
      <c r="I43" s="17" t="s">
        <v>157</v>
      </c>
      <c r="J43" s="17" t="s">
        <v>123</v>
      </c>
      <c r="K43" s="17" t="s">
        <v>161</v>
      </c>
      <c r="L43" s="18" t="s">
        <v>162</v>
      </c>
      <c r="M43" s="18" t="s">
        <v>163</v>
      </c>
      <c r="N43" s="18" t="s">
        <v>164</v>
      </c>
      <c r="O43" s="13">
        <f t="shared" si="13"/>
        <v>20000</v>
      </c>
      <c r="P43" s="13">
        <f t="shared" si="14"/>
        <v>20000</v>
      </c>
      <c r="Q43" s="13">
        <f t="shared" si="15"/>
        <v>30000</v>
      </c>
      <c r="R43" s="2">
        <f t="shared" si="16"/>
        <v>30000</v>
      </c>
      <c r="S43" s="2">
        <v>0</v>
      </c>
      <c r="T43" s="2">
        <f t="shared" si="17"/>
        <v>350</v>
      </c>
      <c r="U43" s="2">
        <f t="shared" ref="U43:U52" si="19">U42+40</f>
        <v>460</v>
      </c>
      <c r="V43" s="2">
        <v>99</v>
      </c>
      <c r="W43" s="2">
        <v>120</v>
      </c>
      <c r="X43" s="19" t="s">
        <v>119</v>
      </c>
      <c r="Y43" s="16"/>
    </row>
    <row r="44" s="2" customFormat="1" customHeight="1" spans="3:25">
      <c r="C44" s="14">
        <v>112</v>
      </c>
      <c r="D44" s="14">
        <v>2</v>
      </c>
      <c r="E44" s="14">
        <v>12</v>
      </c>
      <c r="F44" s="14">
        <v>21</v>
      </c>
      <c r="G44" s="14" t="s">
        <v>165</v>
      </c>
      <c r="H44" s="14" t="s">
        <v>113</v>
      </c>
      <c r="I44" s="17" t="s">
        <v>166</v>
      </c>
      <c r="J44" s="17" t="s">
        <v>128</v>
      </c>
      <c r="K44" s="17" t="s">
        <v>167</v>
      </c>
      <c r="L44" s="18" t="s">
        <v>168</v>
      </c>
      <c r="M44" s="18" t="s">
        <v>54</v>
      </c>
      <c r="N44" s="18" t="s">
        <v>169</v>
      </c>
      <c r="O44" s="13">
        <f t="shared" ref="O44:O52" si="20">O43+5000</f>
        <v>25000</v>
      </c>
      <c r="P44" s="13">
        <f t="shared" ref="P44:P52" si="21">P43+5000</f>
        <v>25000</v>
      </c>
      <c r="Q44" s="13">
        <f t="shared" ref="Q44:Q52" si="22">Q43+4000</f>
        <v>34000</v>
      </c>
      <c r="R44" s="13">
        <f t="shared" ref="R44:R52" si="23">R43+4000</f>
        <v>34000</v>
      </c>
      <c r="S44" s="2">
        <v>0</v>
      </c>
      <c r="T44" s="2">
        <f t="shared" si="17"/>
        <v>370</v>
      </c>
      <c r="U44" s="2">
        <f t="shared" si="19"/>
        <v>500</v>
      </c>
      <c r="V44" s="2">
        <v>99</v>
      </c>
      <c r="W44" s="2">
        <v>140</v>
      </c>
      <c r="X44" s="19" t="s">
        <v>119</v>
      </c>
      <c r="Y44" s="16"/>
    </row>
    <row r="45" s="2" customFormat="1" customHeight="1" spans="3:25">
      <c r="C45" s="14">
        <v>113</v>
      </c>
      <c r="D45" s="14">
        <v>2</v>
      </c>
      <c r="E45" s="14">
        <v>13</v>
      </c>
      <c r="F45" s="14">
        <v>22</v>
      </c>
      <c r="G45" s="14" t="s">
        <v>170</v>
      </c>
      <c r="H45" s="14" t="s">
        <v>113</v>
      </c>
      <c r="I45" s="17" t="s">
        <v>171</v>
      </c>
      <c r="J45" s="17" t="s">
        <v>172</v>
      </c>
      <c r="K45" s="17" t="s">
        <v>173</v>
      </c>
      <c r="L45" s="18" t="s">
        <v>174</v>
      </c>
      <c r="M45" s="18" t="s">
        <v>175</v>
      </c>
      <c r="N45" s="18" t="s">
        <v>176</v>
      </c>
      <c r="O45" s="13">
        <f t="shared" si="20"/>
        <v>30000</v>
      </c>
      <c r="P45" s="13">
        <f t="shared" si="21"/>
        <v>30000</v>
      </c>
      <c r="Q45" s="13">
        <f t="shared" si="22"/>
        <v>38000</v>
      </c>
      <c r="R45" s="13">
        <f t="shared" si="23"/>
        <v>38000</v>
      </c>
      <c r="S45" s="2">
        <v>0</v>
      </c>
      <c r="T45" s="2">
        <f t="shared" si="17"/>
        <v>390</v>
      </c>
      <c r="U45" s="2">
        <f t="shared" si="19"/>
        <v>540</v>
      </c>
      <c r="V45" s="2">
        <v>99</v>
      </c>
      <c r="W45" s="2">
        <f t="shared" ref="W45:W52" si="24">W44+20</f>
        <v>160</v>
      </c>
      <c r="X45" s="19" t="s">
        <v>119</v>
      </c>
      <c r="Y45" s="16"/>
    </row>
    <row r="46" s="2" customFormat="1" customHeight="1" spans="3:25">
      <c r="C46" s="14">
        <v>114</v>
      </c>
      <c r="D46" s="14">
        <v>2</v>
      </c>
      <c r="E46" s="14">
        <v>14</v>
      </c>
      <c r="F46" s="14">
        <v>23</v>
      </c>
      <c r="G46" s="14" t="s">
        <v>177</v>
      </c>
      <c r="H46" s="14" t="s">
        <v>113</v>
      </c>
      <c r="I46" s="17" t="s">
        <v>178</v>
      </c>
      <c r="J46" s="17" t="s">
        <v>179</v>
      </c>
      <c r="K46" s="17" t="s">
        <v>180</v>
      </c>
      <c r="L46" s="18" t="s">
        <v>181</v>
      </c>
      <c r="M46" s="18" t="s">
        <v>74</v>
      </c>
      <c r="N46" s="18" t="s">
        <v>182</v>
      </c>
      <c r="O46" s="13">
        <f t="shared" si="20"/>
        <v>35000</v>
      </c>
      <c r="P46" s="13">
        <f t="shared" si="21"/>
        <v>35000</v>
      </c>
      <c r="Q46" s="13">
        <f t="shared" si="22"/>
        <v>42000</v>
      </c>
      <c r="R46" s="13">
        <f t="shared" si="23"/>
        <v>42000</v>
      </c>
      <c r="S46" s="2">
        <v>0</v>
      </c>
      <c r="T46" s="2">
        <f t="shared" si="17"/>
        <v>410</v>
      </c>
      <c r="U46" s="2">
        <f t="shared" si="19"/>
        <v>580</v>
      </c>
      <c r="V46" s="2">
        <v>99</v>
      </c>
      <c r="W46" s="2">
        <f t="shared" si="24"/>
        <v>180</v>
      </c>
      <c r="X46" s="19" t="s">
        <v>119</v>
      </c>
      <c r="Y46" s="16"/>
    </row>
    <row r="47" s="2" customFormat="1" customHeight="1" spans="3:25">
      <c r="C47" s="14">
        <v>115</v>
      </c>
      <c r="D47" s="14">
        <v>2</v>
      </c>
      <c r="E47" s="14">
        <v>15</v>
      </c>
      <c r="F47" s="14">
        <v>24</v>
      </c>
      <c r="G47" s="14" t="s">
        <v>183</v>
      </c>
      <c r="H47" s="14" t="s">
        <v>113</v>
      </c>
      <c r="I47" s="17" t="s">
        <v>184</v>
      </c>
      <c r="J47" s="17" t="s">
        <v>185</v>
      </c>
      <c r="K47" s="17" t="s">
        <v>186</v>
      </c>
      <c r="L47" s="18" t="s">
        <v>187</v>
      </c>
      <c r="M47" s="18" t="s">
        <v>188</v>
      </c>
      <c r="N47" s="18" t="s">
        <v>189</v>
      </c>
      <c r="O47" s="13">
        <f t="shared" si="20"/>
        <v>40000</v>
      </c>
      <c r="P47" s="13">
        <f t="shared" si="21"/>
        <v>40000</v>
      </c>
      <c r="Q47" s="13">
        <f t="shared" si="22"/>
        <v>46000</v>
      </c>
      <c r="R47" s="13">
        <f t="shared" si="23"/>
        <v>46000</v>
      </c>
      <c r="S47" s="2">
        <v>0</v>
      </c>
      <c r="T47" s="2">
        <f t="shared" si="17"/>
        <v>430</v>
      </c>
      <c r="U47" s="2">
        <f t="shared" si="19"/>
        <v>620</v>
      </c>
      <c r="V47" s="2">
        <v>99</v>
      </c>
      <c r="W47" s="2">
        <f t="shared" si="24"/>
        <v>200</v>
      </c>
      <c r="X47" s="19" t="s">
        <v>119</v>
      </c>
      <c r="Y47" s="16"/>
    </row>
    <row r="48" s="2" customFormat="1" customHeight="1" spans="3:25">
      <c r="C48" s="14">
        <v>116</v>
      </c>
      <c r="D48" s="14">
        <v>2</v>
      </c>
      <c r="E48" s="14">
        <v>16</v>
      </c>
      <c r="F48" s="14">
        <v>25</v>
      </c>
      <c r="G48" s="14" t="s">
        <v>190</v>
      </c>
      <c r="H48" s="14" t="s">
        <v>113</v>
      </c>
      <c r="I48" s="17" t="s">
        <v>191</v>
      </c>
      <c r="J48" s="17" t="s">
        <v>192</v>
      </c>
      <c r="K48" s="17" t="s">
        <v>193</v>
      </c>
      <c r="L48" s="18" t="s">
        <v>155</v>
      </c>
      <c r="M48" s="18" t="s">
        <v>194</v>
      </c>
      <c r="N48" s="18" t="s">
        <v>195</v>
      </c>
      <c r="O48" s="13">
        <f t="shared" si="20"/>
        <v>45000</v>
      </c>
      <c r="P48" s="13">
        <f t="shared" si="21"/>
        <v>45000</v>
      </c>
      <c r="Q48" s="13">
        <f t="shared" si="22"/>
        <v>50000</v>
      </c>
      <c r="R48" s="13">
        <f t="shared" si="23"/>
        <v>50000</v>
      </c>
      <c r="S48" s="2">
        <v>0</v>
      </c>
      <c r="T48" s="2">
        <f t="shared" si="17"/>
        <v>450</v>
      </c>
      <c r="U48" s="2">
        <f t="shared" si="19"/>
        <v>660</v>
      </c>
      <c r="V48" s="2">
        <v>99</v>
      </c>
      <c r="W48" s="2">
        <f t="shared" si="24"/>
        <v>220</v>
      </c>
      <c r="X48" s="19" t="s">
        <v>119</v>
      </c>
      <c r="Y48" s="16"/>
    </row>
    <row r="49" s="2" customFormat="1" customHeight="1" spans="3:25">
      <c r="C49" s="14">
        <v>117</v>
      </c>
      <c r="D49" s="14">
        <v>2</v>
      </c>
      <c r="E49" s="14">
        <v>17</v>
      </c>
      <c r="F49" s="14">
        <v>26</v>
      </c>
      <c r="G49" s="14" t="s">
        <v>196</v>
      </c>
      <c r="H49" s="14" t="s">
        <v>113</v>
      </c>
      <c r="I49" s="17" t="s">
        <v>197</v>
      </c>
      <c r="J49" s="17" t="s">
        <v>132</v>
      </c>
      <c r="K49" s="17" t="s">
        <v>198</v>
      </c>
      <c r="L49" s="18" t="s">
        <v>199</v>
      </c>
      <c r="M49" s="18" t="s">
        <v>162</v>
      </c>
      <c r="N49" s="18" t="s">
        <v>200</v>
      </c>
      <c r="O49" s="13">
        <f t="shared" si="20"/>
        <v>50000</v>
      </c>
      <c r="P49" s="13">
        <f t="shared" si="21"/>
        <v>50000</v>
      </c>
      <c r="Q49" s="13">
        <f t="shared" si="22"/>
        <v>54000</v>
      </c>
      <c r="R49" s="13">
        <f t="shared" si="23"/>
        <v>54000</v>
      </c>
      <c r="S49" s="2">
        <v>0</v>
      </c>
      <c r="T49" s="2">
        <f t="shared" si="17"/>
        <v>470</v>
      </c>
      <c r="U49" s="2">
        <f t="shared" si="19"/>
        <v>700</v>
      </c>
      <c r="V49" s="2">
        <v>99</v>
      </c>
      <c r="W49" s="2">
        <f t="shared" si="24"/>
        <v>240</v>
      </c>
      <c r="X49" s="19" t="s">
        <v>119</v>
      </c>
      <c r="Y49" s="16"/>
    </row>
    <row r="50" s="2" customFormat="1" customHeight="1" spans="3:25">
      <c r="C50" s="14">
        <v>118</v>
      </c>
      <c r="D50" s="14">
        <v>2</v>
      </c>
      <c r="E50" s="14">
        <v>18</v>
      </c>
      <c r="F50" s="14">
        <v>27</v>
      </c>
      <c r="G50" s="14" t="s">
        <v>201</v>
      </c>
      <c r="H50" s="14" t="s">
        <v>113</v>
      </c>
      <c r="I50" s="17" t="s">
        <v>202</v>
      </c>
      <c r="J50" s="17" t="s">
        <v>166</v>
      </c>
      <c r="K50" s="17" t="s">
        <v>203</v>
      </c>
      <c r="L50" s="18" t="s">
        <v>204</v>
      </c>
      <c r="M50" s="18" t="s">
        <v>205</v>
      </c>
      <c r="N50" s="18" t="s">
        <v>206</v>
      </c>
      <c r="O50" s="13">
        <f t="shared" si="20"/>
        <v>55000</v>
      </c>
      <c r="P50" s="13">
        <f t="shared" si="21"/>
        <v>55000</v>
      </c>
      <c r="Q50" s="13">
        <f t="shared" si="22"/>
        <v>58000</v>
      </c>
      <c r="R50" s="13">
        <f t="shared" si="23"/>
        <v>58000</v>
      </c>
      <c r="S50" s="2">
        <v>0</v>
      </c>
      <c r="T50" s="2">
        <f t="shared" si="17"/>
        <v>490</v>
      </c>
      <c r="U50" s="2">
        <f t="shared" si="19"/>
        <v>740</v>
      </c>
      <c r="V50" s="2">
        <v>99</v>
      </c>
      <c r="W50" s="2">
        <f t="shared" si="24"/>
        <v>260</v>
      </c>
      <c r="X50" s="19" t="s">
        <v>119</v>
      </c>
      <c r="Y50" s="16"/>
    </row>
    <row r="51" s="2" customFormat="1" customHeight="1" spans="3:25">
      <c r="C51" s="14">
        <v>119</v>
      </c>
      <c r="D51" s="14">
        <v>2</v>
      </c>
      <c r="E51" s="14">
        <v>19</v>
      </c>
      <c r="F51" s="14">
        <v>28</v>
      </c>
      <c r="G51" s="14" t="s">
        <v>207</v>
      </c>
      <c r="H51" s="14" t="s">
        <v>113</v>
      </c>
      <c r="I51" s="17" t="s">
        <v>208</v>
      </c>
      <c r="J51" s="17" t="s">
        <v>209</v>
      </c>
      <c r="K51" s="17" t="s">
        <v>210</v>
      </c>
      <c r="L51" s="18" t="s">
        <v>211</v>
      </c>
      <c r="M51" s="18" t="s">
        <v>155</v>
      </c>
      <c r="N51" s="18" t="s">
        <v>212</v>
      </c>
      <c r="O51" s="13">
        <f t="shared" si="20"/>
        <v>60000</v>
      </c>
      <c r="P51" s="13">
        <f t="shared" si="21"/>
        <v>60000</v>
      </c>
      <c r="Q51" s="13">
        <f t="shared" si="22"/>
        <v>62000</v>
      </c>
      <c r="R51" s="13">
        <f t="shared" si="23"/>
        <v>62000</v>
      </c>
      <c r="S51" s="2">
        <v>0</v>
      </c>
      <c r="T51" s="2">
        <f t="shared" si="17"/>
        <v>510</v>
      </c>
      <c r="U51" s="2">
        <f t="shared" si="19"/>
        <v>780</v>
      </c>
      <c r="V51" s="2">
        <v>99</v>
      </c>
      <c r="W51" s="2">
        <f t="shared" si="24"/>
        <v>280</v>
      </c>
      <c r="X51" s="19" t="s">
        <v>119</v>
      </c>
      <c r="Y51" s="16"/>
    </row>
    <row r="52" s="2" customFormat="1" customHeight="1" spans="3:25">
      <c r="C52" s="14">
        <v>120</v>
      </c>
      <c r="D52" s="14">
        <v>2</v>
      </c>
      <c r="E52" s="14">
        <v>20</v>
      </c>
      <c r="F52" s="14">
        <v>29</v>
      </c>
      <c r="G52" s="14" t="s">
        <v>213</v>
      </c>
      <c r="H52" s="14" t="s">
        <v>113</v>
      </c>
      <c r="I52" s="17" t="s">
        <v>214</v>
      </c>
      <c r="J52" s="17" t="s">
        <v>215</v>
      </c>
      <c r="K52" s="17" t="s">
        <v>216</v>
      </c>
      <c r="L52" s="18" t="s">
        <v>159</v>
      </c>
      <c r="M52" s="18" t="s">
        <v>217</v>
      </c>
      <c r="N52" s="18" t="s">
        <v>218</v>
      </c>
      <c r="O52" s="13">
        <f t="shared" si="20"/>
        <v>65000</v>
      </c>
      <c r="P52" s="13">
        <f t="shared" si="21"/>
        <v>65000</v>
      </c>
      <c r="Q52" s="13">
        <f t="shared" si="22"/>
        <v>66000</v>
      </c>
      <c r="R52" s="13">
        <f t="shared" si="23"/>
        <v>66000</v>
      </c>
      <c r="S52" s="2">
        <v>0</v>
      </c>
      <c r="T52" s="2">
        <f t="shared" si="17"/>
        <v>530</v>
      </c>
      <c r="U52" s="2">
        <f t="shared" si="19"/>
        <v>820</v>
      </c>
      <c r="V52" s="2">
        <v>99</v>
      </c>
      <c r="W52" s="2">
        <f t="shared" si="24"/>
        <v>300</v>
      </c>
      <c r="X52" s="19" t="s">
        <v>119</v>
      </c>
      <c r="Y52" s="16"/>
    </row>
    <row r="53" s="2" customFormat="1" customHeight="1" spans="3:25">
      <c r="C53" s="14"/>
      <c r="D53" s="14"/>
      <c r="E53" s="14"/>
      <c r="F53" s="14"/>
      <c r="G53" s="14"/>
      <c r="H53" s="14"/>
      <c r="I53" s="10"/>
      <c r="J53" s="10"/>
      <c r="K53" s="10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6"/>
    </row>
    <row r="54" s="2" customFormat="1" customHeight="1" spans="3:25">
      <c r="C54" s="14"/>
      <c r="D54" s="14"/>
      <c r="E54" s="14"/>
      <c r="F54" s="14"/>
      <c r="G54" s="14"/>
      <c r="H54" s="14"/>
      <c r="I54" s="10"/>
      <c r="J54" s="10"/>
      <c r="K54" s="10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6"/>
    </row>
    <row r="55" s="2" customFormat="1" customHeight="1" spans="3:25">
      <c r="C55" s="14"/>
      <c r="D55" s="14"/>
      <c r="E55" s="14"/>
      <c r="F55" s="14"/>
      <c r="G55" s="14"/>
      <c r="H55" s="14"/>
      <c r="I55" s="10"/>
      <c r="J55" s="10"/>
      <c r="K55" s="10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6"/>
    </row>
    <row r="56" s="2" customFormat="1" customHeight="1" spans="3:25">
      <c r="C56" s="14">
        <v>201</v>
      </c>
      <c r="D56" s="14">
        <v>3</v>
      </c>
      <c r="E56" s="14">
        <v>1</v>
      </c>
      <c r="F56" s="14">
        <v>20</v>
      </c>
      <c r="G56" s="14" t="s">
        <v>219</v>
      </c>
      <c r="H56" s="14" t="s">
        <v>220</v>
      </c>
      <c r="I56" s="17" t="s">
        <v>136</v>
      </c>
      <c r="J56" s="17" t="s">
        <v>136</v>
      </c>
      <c r="K56" s="17" t="s">
        <v>221</v>
      </c>
      <c r="L56" s="18" t="s">
        <v>78</v>
      </c>
      <c r="M56" s="18" t="s">
        <v>175</v>
      </c>
      <c r="N56" s="17" t="s">
        <v>136</v>
      </c>
      <c r="O56" s="13">
        <v>50000</v>
      </c>
      <c r="P56" s="13">
        <v>50000</v>
      </c>
      <c r="Q56" s="13">
        <v>50000</v>
      </c>
      <c r="R56" s="13">
        <v>50000</v>
      </c>
      <c r="S56" s="2">
        <v>0</v>
      </c>
      <c r="T56" s="13">
        <v>300</v>
      </c>
      <c r="U56" s="2">
        <v>400</v>
      </c>
      <c r="V56" s="2">
        <v>99</v>
      </c>
      <c r="W56" s="2">
        <v>200</v>
      </c>
      <c r="X56" s="19" t="s">
        <v>222</v>
      </c>
      <c r="Y56" s="16"/>
    </row>
    <row r="57" s="2" customFormat="1" customHeight="1" spans="3:25">
      <c r="C57" s="14">
        <v>202</v>
      </c>
      <c r="D57" s="14">
        <v>3</v>
      </c>
      <c r="E57" s="14">
        <v>2</v>
      </c>
      <c r="F57" s="14">
        <v>21</v>
      </c>
      <c r="G57" s="14" t="s">
        <v>223</v>
      </c>
      <c r="H57" s="14" t="s">
        <v>220</v>
      </c>
      <c r="I57" s="17" t="s">
        <v>145</v>
      </c>
      <c r="J57" s="17" t="s">
        <v>145</v>
      </c>
      <c r="K57" s="17" t="s">
        <v>224</v>
      </c>
      <c r="L57" s="18" t="s">
        <v>188</v>
      </c>
      <c r="M57" s="18" t="s">
        <v>225</v>
      </c>
      <c r="N57" s="17" t="s">
        <v>145</v>
      </c>
      <c r="O57" s="13">
        <f t="shared" ref="O57:R57" si="25">O56+10000</f>
        <v>60000</v>
      </c>
      <c r="P57" s="13">
        <f t="shared" si="25"/>
        <v>60000</v>
      </c>
      <c r="Q57" s="13">
        <f t="shared" si="25"/>
        <v>60000</v>
      </c>
      <c r="R57" s="13">
        <f t="shared" si="25"/>
        <v>60000</v>
      </c>
      <c r="S57" s="2">
        <v>0</v>
      </c>
      <c r="T57" s="2">
        <f t="shared" ref="T57:T75" si="26">T56+30</f>
        <v>330</v>
      </c>
      <c r="U57" s="2">
        <f t="shared" ref="U57:U75" si="27">U56+30</f>
        <v>430</v>
      </c>
      <c r="V57" s="2">
        <v>99</v>
      </c>
      <c r="W57" s="2">
        <f t="shared" ref="W57:W75" si="28">W56+20</f>
        <v>220</v>
      </c>
      <c r="X57" s="19" t="s">
        <v>222</v>
      </c>
      <c r="Y57" s="16"/>
    </row>
    <row r="58" s="2" customFormat="1" customHeight="1" spans="3:25">
      <c r="C58" s="14">
        <v>203</v>
      </c>
      <c r="D58" s="14">
        <v>3</v>
      </c>
      <c r="E58" s="14">
        <v>3</v>
      </c>
      <c r="F58" s="14">
        <v>22</v>
      </c>
      <c r="G58" s="14" t="s">
        <v>226</v>
      </c>
      <c r="H58" s="14" t="s">
        <v>220</v>
      </c>
      <c r="I58" s="17" t="s">
        <v>154</v>
      </c>
      <c r="J58" s="17" t="s">
        <v>154</v>
      </c>
      <c r="K58" s="17" t="s">
        <v>227</v>
      </c>
      <c r="L58" s="18" t="s">
        <v>228</v>
      </c>
      <c r="M58" s="18" t="s">
        <v>229</v>
      </c>
      <c r="N58" s="17" t="s">
        <v>154</v>
      </c>
      <c r="O58" s="13">
        <f t="shared" ref="O58:R58" si="29">O57+10000</f>
        <v>70000</v>
      </c>
      <c r="P58" s="13">
        <f t="shared" si="29"/>
        <v>70000</v>
      </c>
      <c r="Q58" s="13">
        <f t="shared" si="29"/>
        <v>70000</v>
      </c>
      <c r="R58" s="13">
        <f t="shared" si="29"/>
        <v>70000</v>
      </c>
      <c r="S58" s="2">
        <v>0</v>
      </c>
      <c r="T58" s="2">
        <f t="shared" si="26"/>
        <v>360</v>
      </c>
      <c r="U58" s="2">
        <f t="shared" si="27"/>
        <v>460</v>
      </c>
      <c r="V58" s="2">
        <v>99</v>
      </c>
      <c r="W58" s="2">
        <f t="shared" si="28"/>
        <v>240</v>
      </c>
      <c r="X58" s="19" t="s">
        <v>222</v>
      </c>
      <c r="Y58" s="16"/>
    </row>
    <row r="59" s="2" customFormat="1" customHeight="1" spans="3:25">
      <c r="C59" s="14">
        <v>204</v>
      </c>
      <c r="D59" s="14">
        <v>3</v>
      </c>
      <c r="E59" s="14">
        <v>4</v>
      </c>
      <c r="F59" s="14">
        <v>23</v>
      </c>
      <c r="G59" s="14" t="s">
        <v>230</v>
      </c>
      <c r="H59" s="14" t="s">
        <v>220</v>
      </c>
      <c r="I59" s="17" t="s">
        <v>231</v>
      </c>
      <c r="J59" s="17" t="s">
        <v>231</v>
      </c>
      <c r="K59" s="17" t="s">
        <v>232</v>
      </c>
      <c r="L59" s="18" t="s">
        <v>150</v>
      </c>
      <c r="M59" s="18" t="s">
        <v>142</v>
      </c>
      <c r="N59" s="17" t="s">
        <v>231</v>
      </c>
      <c r="O59" s="13">
        <f t="shared" ref="O59:R59" si="30">O58+10000</f>
        <v>80000</v>
      </c>
      <c r="P59" s="13">
        <f t="shared" si="30"/>
        <v>80000</v>
      </c>
      <c r="Q59" s="13">
        <f t="shared" si="30"/>
        <v>80000</v>
      </c>
      <c r="R59" s="13">
        <f t="shared" si="30"/>
        <v>80000</v>
      </c>
      <c r="S59" s="2">
        <v>0</v>
      </c>
      <c r="T59" s="2">
        <f t="shared" si="26"/>
        <v>390</v>
      </c>
      <c r="U59" s="2">
        <f t="shared" si="27"/>
        <v>490</v>
      </c>
      <c r="V59" s="2">
        <v>99</v>
      </c>
      <c r="W59" s="2">
        <f t="shared" si="28"/>
        <v>260</v>
      </c>
      <c r="X59" s="19" t="s">
        <v>222</v>
      </c>
      <c r="Y59" s="16"/>
    </row>
    <row r="60" s="2" customFormat="1" customHeight="1" spans="3:25">
      <c r="C60" s="14">
        <v>205</v>
      </c>
      <c r="D60" s="14">
        <v>3</v>
      </c>
      <c r="E60" s="14">
        <v>5</v>
      </c>
      <c r="F60" s="14">
        <v>24</v>
      </c>
      <c r="G60" s="14" t="s">
        <v>233</v>
      </c>
      <c r="H60" s="14" t="s">
        <v>220</v>
      </c>
      <c r="I60" s="17" t="s">
        <v>234</v>
      </c>
      <c r="J60" s="17" t="s">
        <v>234</v>
      </c>
      <c r="K60" s="17" t="s">
        <v>235</v>
      </c>
      <c r="L60" s="18" t="s">
        <v>236</v>
      </c>
      <c r="M60" s="18" t="s">
        <v>150</v>
      </c>
      <c r="N60" s="17" t="s">
        <v>234</v>
      </c>
      <c r="O60" s="13">
        <f t="shared" ref="O60:R60" si="31">O59+10000</f>
        <v>90000</v>
      </c>
      <c r="P60" s="13">
        <f t="shared" si="31"/>
        <v>90000</v>
      </c>
      <c r="Q60" s="13">
        <f t="shared" si="31"/>
        <v>90000</v>
      </c>
      <c r="R60" s="13">
        <f t="shared" si="31"/>
        <v>90000</v>
      </c>
      <c r="S60" s="2">
        <v>0</v>
      </c>
      <c r="T60" s="2">
        <f t="shared" si="26"/>
        <v>420</v>
      </c>
      <c r="U60" s="2">
        <f t="shared" si="27"/>
        <v>520</v>
      </c>
      <c r="V60" s="2">
        <v>99</v>
      </c>
      <c r="W60" s="2">
        <f t="shared" si="28"/>
        <v>280</v>
      </c>
      <c r="X60" s="19" t="s">
        <v>222</v>
      </c>
      <c r="Y60" s="16"/>
    </row>
    <row r="61" s="2" customFormat="1" customHeight="1" spans="3:25">
      <c r="C61" s="14">
        <v>206</v>
      </c>
      <c r="D61" s="14">
        <v>3</v>
      </c>
      <c r="E61" s="14">
        <v>6</v>
      </c>
      <c r="F61" s="14">
        <v>25</v>
      </c>
      <c r="G61" s="14" t="s">
        <v>237</v>
      </c>
      <c r="H61" s="14" t="s">
        <v>220</v>
      </c>
      <c r="I61" s="17" t="s">
        <v>221</v>
      </c>
      <c r="J61" s="17" t="s">
        <v>221</v>
      </c>
      <c r="K61" s="17" t="s">
        <v>238</v>
      </c>
      <c r="L61" s="18" t="s">
        <v>168</v>
      </c>
      <c r="M61" s="18" t="s">
        <v>162</v>
      </c>
      <c r="N61" s="17" t="s">
        <v>221</v>
      </c>
      <c r="O61" s="13">
        <f t="shared" ref="O61:R61" si="32">O60+10000</f>
        <v>100000</v>
      </c>
      <c r="P61" s="13">
        <f t="shared" si="32"/>
        <v>100000</v>
      </c>
      <c r="Q61" s="13">
        <f t="shared" si="32"/>
        <v>100000</v>
      </c>
      <c r="R61" s="13">
        <f t="shared" si="32"/>
        <v>100000</v>
      </c>
      <c r="S61" s="2">
        <v>0</v>
      </c>
      <c r="T61" s="2">
        <f t="shared" si="26"/>
        <v>450</v>
      </c>
      <c r="U61" s="2">
        <f t="shared" si="27"/>
        <v>550</v>
      </c>
      <c r="V61" s="2">
        <v>99</v>
      </c>
      <c r="W61" s="2">
        <f t="shared" si="28"/>
        <v>300</v>
      </c>
      <c r="X61" s="19" t="s">
        <v>222</v>
      </c>
      <c r="Y61" s="16"/>
    </row>
    <row r="62" s="2" customFormat="1" customHeight="1" spans="3:25">
      <c r="C62" s="14">
        <v>207</v>
      </c>
      <c r="D62" s="14">
        <v>3</v>
      </c>
      <c r="E62" s="14">
        <v>7</v>
      </c>
      <c r="F62" s="14">
        <v>26</v>
      </c>
      <c r="G62" s="14" t="s">
        <v>239</v>
      </c>
      <c r="H62" s="14" t="s">
        <v>220</v>
      </c>
      <c r="I62" s="17" t="s">
        <v>224</v>
      </c>
      <c r="J62" s="17" t="s">
        <v>224</v>
      </c>
      <c r="K62" s="17" t="s">
        <v>240</v>
      </c>
      <c r="L62" s="18" t="s">
        <v>205</v>
      </c>
      <c r="M62" s="18" t="s">
        <v>174</v>
      </c>
      <c r="N62" s="17" t="s">
        <v>224</v>
      </c>
      <c r="O62" s="13">
        <f t="shared" ref="O62:R62" si="33">O61+10000</f>
        <v>110000</v>
      </c>
      <c r="P62" s="13">
        <f t="shared" si="33"/>
        <v>110000</v>
      </c>
      <c r="Q62" s="13">
        <f t="shared" si="33"/>
        <v>110000</v>
      </c>
      <c r="R62" s="13">
        <f t="shared" si="33"/>
        <v>110000</v>
      </c>
      <c r="S62" s="2">
        <v>0</v>
      </c>
      <c r="T62" s="2">
        <f t="shared" si="26"/>
        <v>480</v>
      </c>
      <c r="U62" s="2">
        <f t="shared" si="27"/>
        <v>580</v>
      </c>
      <c r="V62" s="2">
        <v>99</v>
      </c>
      <c r="W62" s="2">
        <f t="shared" si="28"/>
        <v>320</v>
      </c>
      <c r="X62" s="19" t="s">
        <v>222</v>
      </c>
      <c r="Y62" s="16"/>
    </row>
    <row r="63" s="2" customFormat="1" customHeight="1" spans="3:25">
      <c r="C63" s="14">
        <v>208</v>
      </c>
      <c r="D63" s="14">
        <v>3</v>
      </c>
      <c r="E63" s="14">
        <v>8</v>
      </c>
      <c r="F63" s="14">
        <v>27</v>
      </c>
      <c r="G63" s="14" t="s">
        <v>241</v>
      </c>
      <c r="H63" s="14" t="s">
        <v>220</v>
      </c>
      <c r="I63" s="17" t="s">
        <v>227</v>
      </c>
      <c r="J63" s="17" t="s">
        <v>227</v>
      </c>
      <c r="K63" s="17" t="s">
        <v>242</v>
      </c>
      <c r="L63" s="18" t="s">
        <v>187</v>
      </c>
      <c r="M63" s="18" t="s">
        <v>187</v>
      </c>
      <c r="N63" s="17" t="s">
        <v>227</v>
      </c>
      <c r="O63" s="13">
        <f t="shared" ref="O63:R63" si="34">O62+10000</f>
        <v>120000</v>
      </c>
      <c r="P63" s="13">
        <f t="shared" si="34"/>
        <v>120000</v>
      </c>
      <c r="Q63" s="13">
        <f t="shared" si="34"/>
        <v>120000</v>
      </c>
      <c r="R63" s="13">
        <f t="shared" si="34"/>
        <v>120000</v>
      </c>
      <c r="S63" s="2">
        <v>0</v>
      </c>
      <c r="T63" s="2">
        <f t="shared" si="26"/>
        <v>510</v>
      </c>
      <c r="U63" s="2">
        <f t="shared" si="27"/>
        <v>610</v>
      </c>
      <c r="V63" s="2">
        <v>99</v>
      </c>
      <c r="W63" s="2">
        <f t="shared" si="28"/>
        <v>340</v>
      </c>
      <c r="X63" s="19" t="s">
        <v>222</v>
      </c>
      <c r="Y63" s="16"/>
    </row>
    <row r="64" s="2" customFormat="1" customHeight="1" spans="3:25">
      <c r="C64" s="14">
        <v>209</v>
      </c>
      <c r="D64" s="14">
        <v>3</v>
      </c>
      <c r="E64" s="14">
        <v>9</v>
      </c>
      <c r="F64" s="14">
        <v>28</v>
      </c>
      <c r="G64" s="14" t="s">
        <v>243</v>
      </c>
      <c r="H64" s="14" t="s">
        <v>220</v>
      </c>
      <c r="I64" s="17" t="s">
        <v>232</v>
      </c>
      <c r="J64" s="17" t="s">
        <v>232</v>
      </c>
      <c r="K64" s="17" t="s">
        <v>244</v>
      </c>
      <c r="L64" s="18" t="s">
        <v>245</v>
      </c>
      <c r="M64" s="18" t="s">
        <v>199</v>
      </c>
      <c r="N64" s="17" t="s">
        <v>232</v>
      </c>
      <c r="O64" s="13">
        <f t="shared" ref="O64:R64" si="35">O63+10000</f>
        <v>130000</v>
      </c>
      <c r="P64" s="13">
        <f t="shared" si="35"/>
        <v>130000</v>
      </c>
      <c r="Q64" s="13">
        <f t="shared" si="35"/>
        <v>130000</v>
      </c>
      <c r="R64" s="13">
        <f t="shared" si="35"/>
        <v>130000</v>
      </c>
      <c r="S64" s="2">
        <v>0</v>
      </c>
      <c r="T64" s="2">
        <f t="shared" si="26"/>
        <v>540</v>
      </c>
      <c r="U64" s="2">
        <f t="shared" si="27"/>
        <v>640</v>
      </c>
      <c r="V64" s="2">
        <v>99</v>
      </c>
      <c r="W64" s="2">
        <f t="shared" si="28"/>
        <v>360</v>
      </c>
      <c r="X64" s="19" t="s">
        <v>222</v>
      </c>
      <c r="Y64" s="16"/>
    </row>
    <row r="65" s="2" customFormat="1" customHeight="1" spans="3:25">
      <c r="C65" s="14">
        <v>210</v>
      </c>
      <c r="D65" s="14">
        <v>3</v>
      </c>
      <c r="E65" s="14">
        <v>10</v>
      </c>
      <c r="F65" s="14">
        <v>29</v>
      </c>
      <c r="G65" s="14" t="s">
        <v>246</v>
      </c>
      <c r="H65" s="14" t="s">
        <v>220</v>
      </c>
      <c r="I65" s="17" t="s">
        <v>235</v>
      </c>
      <c r="J65" s="17" t="s">
        <v>235</v>
      </c>
      <c r="K65" s="17" t="s">
        <v>247</v>
      </c>
      <c r="L65" s="18" t="s">
        <v>204</v>
      </c>
      <c r="M65" s="18" t="s">
        <v>211</v>
      </c>
      <c r="N65" s="17" t="s">
        <v>235</v>
      </c>
      <c r="O65" s="13">
        <f t="shared" ref="O65:O75" si="36">O64+10000</f>
        <v>140000</v>
      </c>
      <c r="P65" s="13">
        <f t="shared" ref="P65:P75" si="37">P64+10000</f>
        <v>140000</v>
      </c>
      <c r="Q65" s="13">
        <f t="shared" ref="Q65:Q75" si="38">Q64+10000</f>
        <v>140000</v>
      </c>
      <c r="R65" s="13">
        <f t="shared" ref="R65:R75" si="39">R64+10000</f>
        <v>140000</v>
      </c>
      <c r="S65" s="2">
        <v>0</v>
      </c>
      <c r="T65" s="2">
        <f t="shared" si="26"/>
        <v>570</v>
      </c>
      <c r="U65" s="2">
        <f t="shared" si="27"/>
        <v>670</v>
      </c>
      <c r="V65" s="2">
        <v>99</v>
      </c>
      <c r="W65" s="2">
        <f t="shared" si="28"/>
        <v>380</v>
      </c>
      <c r="X65" s="19" t="s">
        <v>222</v>
      </c>
      <c r="Y65" s="16"/>
    </row>
    <row r="66" s="2" customFormat="1" customHeight="1" spans="3:25">
      <c r="C66" s="14">
        <v>211</v>
      </c>
      <c r="D66" s="14">
        <v>3</v>
      </c>
      <c r="E66" s="14">
        <v>11</v>
      </c>
      <c r="F66" s="14">
        <v>30</v>
      </c>
      <c r="G66" s="14" t="s">
        <v>248</v>
      </c>
      <c r="H66" s="14" t="s">
        <v>220</v>
      </c>
      <c r="I66" s="17" t="s">
        <v>238</v>
      </c>
      <c r="J66" s="17" t="s">
        <v>235</v>
      </c>
      <c r="K66" s="17" t="s">
        <v>249</v>
      </c>
      <c r="L66" s="18" t="s">
        <v>250</v>
      </c>
      <c r="M66" s="18" t="s">
        <v>251</v>
      </c>
      <c r="N66" s="17" t="s">
        <v>238</v>
      </c>
      <c r="O66" s="13">
        <f t="shared" si="36"/>
        <v>150000</v>
      </c>
      <c r="P66" s="13">
        <f t="shared" si="37"/>
        <v>150000</v>
      </c>
      <c r="Q66" s="13">
        <f t="shared" si="38"/>
        <v>150000</v>
      </c>
      <c r="R66" s="13">
        <f t="shared" si="39"/>
        <v>150000</v>
      </c>
      <c r="S66" s="2">
        <v>0</v>
      </c>
      <c r="T66" s="2">
        <f t="shared" si="26"/>
        <v>600</v>
      </c>
      <c r="U66" s="2">
        <f t="shared" si="27"/>
        <v>700</v>
      </c>
      <c r="V66" s="2">
        <v>99</v>
      </c>
      <c r="W66" s="2">
        <v>400</v>
      </c>
      <c r="X66" s="19" t="s">
        <v>222</v>
      </c>
      <c r="Y66" s="16"/>
    </row>
    <row r="67" s="2" customFormat="1" customHeight="1" spans="3:25">
      <c r="C67" s="14">
        <v>212</v>
      </c>
      <c r="D67" s="14">
        <v>3</v>
      </c>
      <c r="E67" s="14">
        <v>12</v>
      </c>
      <c r="F67" s="14">
        <v>31</v>
      </c>
      <c r="G67" s="14" t="s">
        <v>252</v>
      </c>
      <c r="H67" s="14" t="s">
        <v>220</v>
      </c>
      <c r="I67" s="17" t="s">
        <v>240</v>
      </c>
      <c r="J67" s="17" t="s">
        <v>235</v>
      </c>
      <c r="K67" s="17" t="s">
        <v>253</v>
      </c>
      <c r="L67" s="18" t="s">
        <v>251</v>
      </c>
      <c r="M67" s="18" t="s">
        <v>254</v>
      </c>
      <c r="N67" s="17" t="s">
        <v>240</v>
      </c>
      <c r="O67" s="13">
        <f t="shared" si="36"/>
        <v>160000</v>
      </c>
      <c r="P67" s="13">
        <f t="shared" si="37"/>
        <v>160000</v>
      </c>
      <c r="Q67" s="13">
        <f t="shared" si="38"/>
        <v>160000</v>
      </c>
      <c r="R67" s="13">
        <f t="shared" si="39"/>
        <v>160000</v>
      </c>
      <c r="S67" s="2">
        <v>0</v>
      </c>
      <c r="T67" s="2">
        <f t="shared" si="26"/>
        <v>630</v>
      </c>
      <c r="U67" s="2">
        <f t="shared" si="27"/>
        <v>730</v>
      </c>
      <c r="V67" s="2">
        <v>99</v>
      </c>
      <c r="W67" s="2">
        <v>400</v>
      </c>
      <c r="X67" s="19" t="s">
        <v>222</v>
      </c>
      <c r="Y67" s="16"/>
    </row>
    <row r="68" s="2" customFormat="1" customHeight="1" spans="3:25">
      <c r="C68" s="14">
        <v>213</v>
      </c>
      <c r="D68" s="14">
        <v>3</v>
      </c>
      <c r="E68" s="14">
        <v>13</v>
      </c>
      <c r="F68" s="14">
        <v>32</v>
      </c>
      <c r="G68" s="14" t="s">
        <v>255</v>
      </c>
      <c r="H68" s="14" t="s">
        <v>220</v>
      </c>
      <c r="I68" s="17" t="s">
        <v>242</v>
      </c>
      <c r="J68" s="17" t="s">
        <v>235</v>
      </c>
      <c r="K68" s="17" t="s">
        <v>256</v>
      </c>
      <c r="L68" s="18" t="s">
        <v>257</v>
      </c>
      <c r="M68" s="18" t="s">
        <v>164</v>
      </c>
      <c r="N68" s="17" t="s">
        <v>242</v>
      </c>
      <c r="O68" s="13">
        <f t="shared" si="36"/>
        <v>170000</v>
      </c>
      <c r="P68" s="13">
        <f t="shared" si="37"/>
        <v>170000</v>
      </c>
      <c r="Q68" s="13">
        <f t="shared" si="38"/>
        <v>170000</v>
      </c>
      <c r="R68" s="13">
        <f t="shared" si="39"/>
        <v>170000</v>
      </c>
      <c r="S68" s="2">
        <v>0</v>
      </c>
      <c r="T68" s="2">
        <f t="shared" si="26"/>
        <v>660</v>
      </c>
      <c r="U68" s="2">
        <f t="shared" si="27"/>
        <v>760</v>
      </c>
      <c r="V68" s="2">
        <v>99</v>
      </c>
      <c r="W68" s="2">
        <v>400</v>
      </c>
      <c r="X68" s="19" t="s">
        <v>222</v>
      </c>
      <c r="Y68" s="16"/>
    </row>
    <row r="69" customHeight="1" spans="3:25">
      <c r="C69" s="14">
        <v>214</v>
      </c>
      <c r="D69" s="14">
        <v>3</v>
      </c>
      <c r="E69" s="14">
        <v>14</v>
      </c>
      <c r="F69" s="14">
        <v>33</v>
      </c>
      <c r="G69" s="14" t="s">
        <v>258</v>
      </c>
      <c r="H69" s="14" t="s">
        <v>220</v>
      </c>
      <c r="I69" s="17" t="s">
        <v>244</v>
      </c>
      <c r="J69" s="17" t="s">
        <v>235</v>
      </c>
      <c r="K69" s="17" t="s">
        <v>259</v>
      </c>
      <c r="L69" s="18" t="s">
        <v>260</v>
      </c>
      <c r="M69" s="18" t="s">
        <v>261</v>
      </c>
      <c r="N69" s="17" t="s">
        <v>244</v>
      </c>
      <c r="O69" s="13">
        <f t="shared" si="36"/>
        <v>180000</v>
      </c>
      <c r="P69" s="13">
        <f t="shared" si="37"/>
        <v>180000</v>
      </c>
      <c r="Q69" s="13">
        <f t="shared" si="38"/>
        <v>180000</v>
      </c>
      <c r="R69" s="13">
        <f t="shared" si="39"/>
        <v>180000</v>
      </c>
      <c r="S69" s="2">
        <v>0</v>
      </c>
      <c r="T69" s="2">
        <f t="shared" si="26"/>
        <v>690</v>
      </c>
      <c r="U69" s="2">
        <f t="shared" si="27"/>
        <v>790</v>
      </c>
      <c r="V69" s="2">
        <v>99</v>
      </c>
      <c r="W69" s="2">
        <v>400</v>
      </c>
      <c r="X69" s="19" t="s">
        <v>222</v>
      </c>
    </row>
    <row r="70" customHeight="1" spans="3:25">
      <c r="C70" s="14">
        <v>215</v>
      </c>
      <c r="D70" s="14">
        <v>3</v>
      </c>
      <c r="E70" s="14">
        <v>15</v>
      </c>
      <c r="F70" s="14">
        <v>34</v>
      </c>
      <c r="G70" s="14" t="s">
        <v>262</v>
      </c>
      <c r="H70" s="14" t="s">
        <v>220</v>
      </c>
      <c r="I70" s="17" t="s">
        <v>247</v>
      </c>
      <c r="J70" s="17" t="s">
        <v>235</v>
      </c>
      <c r="K70" s="17" t="s">
        <v>263</v>
      </c>
      <c r="L70" s="18" t="s">
        <v>264</v>
      </c>
      <c r="M70" s="18" t="s">
        <v>265</v>
      </c>
      <c r="N70" s="17" t="s">
        <v>247</v>
      </c>
      <c r="O70" s="13">
        <f t="shared" si="36"/>
        <v>190000</v>
      </c>
      <c r="P70" s="13">
        <f t="shared" si="37"/>
        <v>190000</v>
      </c>
      <c r="Q70" s="13">
        <f t="shared" si="38"/>
        <v>190000</v>
      </c>
      <c r="R70" s="13">
        <f t="shared" si="39"/>
        <v>190000</v>
      </c>
      <c r="S70" s="2">
        <v>0</v>
      </c>
      <c r="T70" s="2">
        <f t="shared" si="26"/>
        <v>720</v>
      </c>
      <c r="U70" s="2">
        <f t="shared" si="27"/>
        <v>820</v>
      </c>
      <c r="V70" s="2">
        <v>99</v>
      </c>
      <c r="W70" s="2">
        <v>400</v>
      </c>
      <c r="X70" s="19" t="s">
        <v>222</v>
      </c>
    </row>
    <row r="71" customHeight="1" spans="3:25">
      <c r="C71" s="14">
        <v>216</v>
      </c>
      <c r="D71" s="14">
        <v>3</v>
      </c>
      <c r="E71" s="14">
        <v>16</v>
      </c>
      <c r="F71" s="14">
        <v>35</v>
      </c>
      <c r="G71" s="14" t="s">
        <v>266</v>
      </c>
      <c r="H71" s="14" t="s">
        <v>220</v>
      </c>
      <c r="I71" s="17" t="s">
        <v>249</v>
      </c>
      <c r="J71" s="17" t="s">
        <v>235</v>
      </c>
      <c r="K71" s="17" t="s">
        <v>267</v>
      </c>
      <c r="L71" s="18" t="s">
        <v>261</v>
      </c>
      <c r="M71" s="18" t="s">
        <v>268</v>
      </c>
      <c r="N71" s="17" t="s">
        <v>249</v>
      </c>
      <c r="O71" s="13">
        <f t="shared" si="36"/>
        <v>200000</v>
      </c>
      <c r="P71" s="13">
        <f t="shared" si="37"/>
        <v>200000</v>
      </c>
      <c r="Q71" s="13">
        <f t="shared" si="38"/>
        <v>200000</v>
      </c>
      <c r="R71" s="13">
        <f t="shared" si="39"/>
        <v>200000</v>
      </c>
      <c r="S71" s="2">
        <v>0</v>
      </c>
      <c r="T71" s="2">
        <f t="shared" si="26"/>
        <v>750</v>
      </c>
      <c r="U71" s="2">
        <f t="shared" si="27"/>
        <v>850</v>
      </c>
      <c r="V71" s="2">
        <v>99</v>
      </c>
      <c r="W71" s="2">
        <v>400</v>
      </c>
      <c r="X71" s="19" t="s">
        <v>222</v>
      </c>
    </row>
    <row r="72" customHeight="1" spans="3:25">
      <c r="C72" s="14">
        <v>217</v>
      </c>
      <c r="D72" s="14">
        <v>3</v>
      </c>
      <c r="E72" s="14">
        <v>17</v>
      </c>
      <c r="F72" s="14">
        <v>36</v>
      </c>
      <c r="G72" s="14" t="s">
        <v>269</v>
      </c>
      <c r="H72" s="14" t="s">
        <v>220</v>
      </c>
      <c r="I72" s="17" t="s">
        <v>253</v>
      </c>
      <c r="J72" s="17" t="s">
        <v>235</v>
      </c>
      <c r="K72" s="17" t="s">
        <v>270</v>
      </c>
      <c r="L72" s="18" t="s">
        <v>271</v>
      </c>
      <c r="M72" s="18" t="s">
        <v>272</v>
      </c>
      <c r="N72" s="17" t="s">
        <v>253</v>
      </c>
      <c r="O72" s="13">
        <f t="shared" si="36"/>
        <v>210000</v>
      </c>
      <c r="P72" s="13">
        <f t="shared" si="37"/>
        <v>210000</v>
      </c>
      <c r="Q72" s="13">
        <f t="shared" si="38"/>
        <v>210000</v>
      </c>
      <c r="R72" s="13">
        <f t="shared" si="39"/>
        <v>210000</v>
      </c>
      <c r="S72" s="2">
        <v>0</v>
      </c>
      <c r="T72" s="2">
        <f t="shared" si="26"/>
        <v>780</v>
      </c>
      <c r="U72" s="2">
        <f t="shared" si="27"/>
        <v>880</v>
      </c>
      <c r="V72" s="2">
        <v>99</v>
      </c>
      <c r="W72" s="2">
        <v>400</v>
      </c>
      <c r="X72" s="19" t="s">
        <v>222</v>
      </c>
    </row>
    <row r="73" customHeight="1" spans="3:25">
      <c r="C73" s="14">
        <v>218</v>
      </c>
      <c r="D73" s="14">
        <v>3</v>
      </c>
      <c r="E73" s="14">
        <v>18</v>
      </c>
      <c r="F73" s="14">
        <v>37</v>
      </c>
      <c r="G73" s="14" t="s">
        <v>273</v>
      </c>
      <c r="H73" s="14" t="s">
        <v>220</v>
      </c>
      <c r="I73" s="17" t="s">
        <v>256</v>
      </c>
      <c r="J73" s="17" t="s">
        <v>235</v>
      </c>
      <c r="K73" s="17" t="s">
        <v>274</v>
      </c>
      <c r="L73" s="18" t="s">
        <v>169</v>
      </c>
      <c r="M73" s="18" t="s">
        <v>176</v>
      </c>
      <c r="N73" s="17" t="s">
        <v>256</v>
      </c>
      <c r="O73" s="13">
        <f t="shared" si="36"/>
        <v>220000</v>
      </c>
      <c r="P73" s="13">
        <f t="shared" si="37"/>
        <v>220000</v>
      </c>
      <c r="Q73" s="13">
        <f t="shared" si="38"/>
        <v>220000</v>
      </c>
      <c r="R73" s="13">
        <f t="shared" si="39"/>
        <v>220000</v>
      </c>
      <c r="S73" s="2">
        <v>0</v>
      </c>
      <c r="T73" s="2">
        <f t="shared" si="26"/>
        <v>810</v>
      </c>
      <c r="U73" s="2">
        <f t="shared" si="27"/>
        <v>910</v>
      </c>
      <c r="V73" s="2">
        <v>99</v>
      </c>
      <c r="W73" s="2">
        <v>400</v>
      </c>
      <c r="X73" s="19" t="s">
        <v>222</v>
      </c>
    </row>
    <row r="74" customHeight="1" spans="3:25">
      <c r="C74" s="14">
        <v>219</v>
      </c>
      <c r="D74" s="14">
        <v>3</v>
      </c>
      <c r="E74" s="14">
        <v>19</v>
      </c>
      <c r="F74" s="14">
        <v>38</v>
      </c>
      <c r="G74" s="14" t="s">
        <v>275</v>
      </c>
      <c r="H74" s="14" t="s">
        <v>220</v>
      </c>
      <c r="I74" s="17" t="s">
        <v>259</v>
      </c>
      <c r="J74" s="17" t="s">
        <v>235</v>
      </c>
      <c r="K74" s="17" t="s">
        <v>276</v>
      </c>
      <c r="L74" s="18" t="s">
        <v>277</v>
      </c>
      <c r="M74" s="18" t="s">
        <v>278</v>
      </c>
      <c r="N74" s="17" t="s">
        <v>259</v>
      </c>
      <c r="O74" s="13">
        <f t="shared" si="36"/>
        <v>230000</v>
      </c>
      <c r="P74" s="13">
        <f t="shared" si="37"/>
        <v>230000</v>
      </c>
      <c r="Q74" s="13">
        <f t="shared" si="38"/>
        <v>230000</v>
      </c>
      <c r="R74" s="13">
        <f t="shared" si="39"/>
        <v>230000</v>
      </c>
      <c r="S74" s="2">
        <v>0</v>
      </c>
      <c r="T74" s="2">
        <f t="shared" si="26"/>
        <v>840</v>
      </c>
      <c r="U74" s="2">
        <f t="shared" si="27"/>
        <v>940</v>
      </c>
      <c r="V74" s="2">
        <v>99</v>
      </c>
      <c r="W74" s="2">
        <v>400</v>
      </c>
      <c r="X74" s="19" t="s">
        <v>222</v>
      </c>
    </row>
    <row r="75" customHeight="1" spans="3:25">
      <c r="C75" s="14">
        <v>220</v>
      </c>
      <c r="D75" s="14">
        <v>3</v>
      </c>
      <c r="E75" s="14">
        <v>20</v>
      </c>
      <c r="F75" s="14">
        <v>39</v>
      </c>
      <c r="G75" s="14" t="s">
        <v>279</v>
      </c>
      <c r="H75" s="14" t="s">
        <v>220</v>
      </c>
      <c r="I75" s="17" t="s">
        <v>263</v>
      </c>
      <c r="J75" s="17" t="s">
        <v>235</v>
      </c>
      <c r="K75" s="17" t="s">
        <v>280</v>
      </c>
      <c r="L75" s="18" t="s">
        <v>272</v>
      </c>
      <c r="M75" s="18" t="s">
        <v>281</v>
      </c>
      <c r="N75" s="17" t="s">
        <v>263</v>
      </c>
      <c r="O75" s="13">
        <f t="shared" si="36"/>
        <v>240000</v>
      </c>
      <c r="P75" s="13">
        <f t="shared" si="37"/>
        <v>240000</v>
      </c>
      <c r="Q75" s="13">
        <f t="shared" si="38"/>
        <v>240000</v>
      </c>
      <c r="R75" s="13">
        <f t="shared" si="39"/>
        <v>240000</v>
      </c>
      <c r="S75" s="2">
        <v>0</v>
      </c>
      <c r="T75" s="2">
        <f t="shared" si="26"/>
        <v>870</v>
      </c>
      <c r="U75" s="2">
        <f t="shared" si="27"/>
        <v>970</v>
      </c>
      <c r="V75" s="2">
        <v>99</v>
      </c>
      <c r="W75" s="2">
        <v>400</v>
      </c>
      <c r="X75" s="19" t="s">
        <v>222</v>
      </c>
    </row>
    <row r="79" customHeight="1" spans="3:25">
      <c r="C79" s="14">
        <v>301</v>
      </c>
      <c r="D79" s="14">
        <v>4</v>
      </c>
      <c r="E79" s="14">
        <v>1</v>
      </c>
      <c r="F79" s="14">
        <v>30</v>
      </c>
      <c r="G79" s="14" t="s">
        <v>282</v>
      </c>
      <c r="H79" s="14" t="s">
        <v>283</v>
      </c>
      <c r="I79" s="17" t="s">
        <v>238</v>
      </c>
      <c r="J79" s="17" t="s">
        <v>235</v>
      </c>
      <c r="K79" s="17" t="s">
        <v>249</v>
      </c>
      <c r="L79" s="18" t="s">
        <v>250</v>
      </c>
      <c r="M79" s="18" t="s">
        <v>251</v>
      </c>
      <c r="N79" s="17" t="s">
        <v>238</v>
      </c>
      <c r="O79" s="13">
        <v>200000</v>
      </c>
      <c r="P79" s="13">
        <v>200000</v>
      </c>
      <c r="Q79" s="13">
        <v>200000</v>
      </c>
      <c r="R79" s="13">
        <v>200000</v>
      </c>
      <c r="S79" s="2">
        <v>0</v>
      </c>
      <c r="T79" s="2">
        <v>750</v>
      </c>
      <c r="U79" s="2">
        <v>850</v>
      </c>
      <c r="V79" s="2">
        <v>99</v>
      </c>
      <c r="W79" s="2">
        <v>400</v>
      </c>
      <c r="X79" s="19" t="s">
        <v>222</v>
      </c>
    </row>
    <row r="80" customHeight="1" spans="3:25">
      <c r="C80" s="14">
        <v>302</v>
      </c>
      <c r="D80" s="14">
        <v>4</v>
      </c>
      <c r="E80" s="14">
        <v>2</v>
      </c>
      <c r="F80" s="14">
        <v>31</v>
      </c>
      <c r="G80" s="14" t="s">
        <v>284</v>
      </c>
      <c r="H80" s="14" t="s">
        <v>283</v>
      </c>
      <c r="I80" s="17" t="s">
        <v>240</v>
      </c>
      <c r="J80" s="17" t="s">
        <v>235</v>
      </c>
      <c r="K80" s="17" t="s">
        <v>253</v>
      </c>
      <c r="L80" s="18" t="s">
        <v>251</v>
      </c>
      <c r="M80" s="18" t="s">
        <v>254</v>
      </c>
      <c r="N80" s="17" t="s">
        <v>240</v>
      </c>
      <c r="O80" s="13">
        <f t="shared" ref="O80:R80" si="40">O79+20000</f>
        <v>220000</v>
      </c>
      <c r="P80" s="13">
        <f t="shared" si="40"/>
        <v>220000</v>
      </c>
      <c r="Q80" s="13">
        <f t="shared" si="40"/>
        <v>220000</v>
      </c>
      <c r="R80" s="13">
        <f t="shared" si="40"/>
        <v>220000</v>
      </c>
      <c r="S80" s="2">
        <v>0</v>
      </c>
      <c r="T80" s="2">
        <f t="shared" ref="T79:T88" si="41">T79+30</f>
        <v>780</v>
      </c>
      <c r="U80" s="2">
        <f t="shared" ref="U79:U88" si="42">U79+30</f>
        <v>880</v>
      </c>
      <c r="V80" s="2">
        <v>99</v>
      </c>
      <c r="W80" s="2">
        <v>400</v>
      </c>
      <c r="X80" s="19" t="s">
        <v>222</v>
      </c>
    </row>
    <row r="81" customHeight="1" spans="3:24">
      <c r="C81" s="14">
        <v>303</v>
      </c>
      <c r="D81" s="14">
        <v>4</v>
      </c>
      <c r="E81" s="14">
        <v>3</v>
      </c>
      <c r="F81" s="14">
        <v>32</v>
      </c>
      <c r="G81" s="14" t="s">
        <v>285</v>
      </c>
      <c r="H81" s="14" t="s">
        <v>283</v>
      </c>
      <c r="I81" s="17" t="s">
        <v>242</v>
      </c>
      <c r="J81" s="17" t="s">
        <v>235</v>
      </c>
      <c r="K81" s="17" t="s">
        <v>256</v>
      </c>
      <c r="L81" s="18" t="s">
        <v>257</v>
      </c>
      <c r="M81" s="18" t="s">
        <v>164</v>
      </c>
      <c r="N81" s="17" t="s">
        <v>242</v>
      </c>
      <c r="O81" s="13">
        <f t="shared" ref="O81:R81" si="43">O80+20000</f>
        <v>240000</v>
      </c>
      <c r="P81" s="13">
        <f t="shared" si="43"/>
        <v>240000</v>
      </c>
      <c r="Q81" s="13">
        <f t="shared" si="43"/>
        <v>240000</v>
      </c>
      <c r="R81" s="13">
        <f t="shared" si="43"/>
        <v>240000</v>
      </c>
      <c r="S81" s="2">
        <v>0</v>
      </c>
      <c r="T81" s="2">
        <f t="shared" si="41"/>
        <v>810</v>
      </c>
      <c r="U81" s="2">
        <f t="shared" si="42"/>
        <v>910</v>
      </c>
      <c r="V81" s="2">
        <v>99</v>
      </c>
      <c r="W81" s="2">
        <v>400</v>
      </c>
      <c r="X81" s="19" t="s">
        <v>222</v>
      </c>
    </row>
    <row r="82" customHeight="1" spans="3:24">
      <c r="C82" s="14">
        <v>304</v>
      </c>
      <c r="D82" s="14">
        <v>4</v>
      </c>
      <c r="E82" s="14">
        <v>4</v>
      </c>
      <c r="F82" s="14">
        <v>33</v>
      </c>
      <c r="G82" s="14" t="s">
        <v>286</v>
      </c>
      <c r="H82" s="14" t="s">
        <v>283</v>
      </c>
      <c r="I82" s="17" t="s">
        <v>244</v>
      </c>
      <c r="J82" s="17" t="s">
        <v>235</v>
      </c>
      <c r="K82" s="17" t="s">
        <v>259</v>
      </c>
      <c r="L82" s="18" t="s">
        <v>260</v>
      </c>
      <c r="M82" s="18" t="s">
        <v>261</v>
      </c>
      <c r="N82" s="17" t="s">
        <v>244</v>
      </c>
      <c r="O82" s="13">
        <f t="shared" ref="O82:R82" si="44">O81+20000</f>
        <v>260000</v>
      </c>
      <c r="P82" s="13">
        <f t="shared" si="44"/>
        <v>260000</v>
      </c>
      <c r="Q82" s="13">
        <f t="shared" si="44"/>
        <v>260000</v>
      </c>
      <c r="R82" s="13">
        <f t="shared" si="44"/>
        <v>260000</v>
      </c>
      <c r="S82" s="2">
        <v>0</v>
      </c>
      <c r="T82" s="2">
        <f t="shared" si="41"/>
        <v>840</v>
      </c>
      <c r="U82" s="2">
        <f t="shared" si="42"/>
        <v>940</v>
      </c>
      <c r="V82" s="2">
        <v>99</v>
      </c>
      <c r="W82" s="2">
        <v>400</v>
      </c>
      <c r="X82" s="19" t="s">
        <v>222</v>
      </c>
    </row>
    <row r="83" customHeight="1" spans="3:24">
      <c r="C83" s="14">
        <v>305</v>
      </c>
      <c r="D83" s="14">
        <v>4</v>
      </c>
      <c r="E83" s="14">
        <v>5</v>
      </c>
      <c r="F83" s="14">
        <v>34</v>
      </c>
      <c r="G83" s="14" t="s">
        <v>287</v>
      </c>
      <c r="H83" s="14" t="s">
        <v>283</v>
      </c>
      <c r="I83" s="17" t="s">
        <v>247</v>
      </c>
      <c r="J83" s="17" t="s">
        <v>235</v>
      </c>
      <c r="K83" s="17" t="s">
        <v>263</v>
      </c>
      <c r="L83" s="18" t="s">
        <v>264</v>
      </c>
      <c r="M83" s="18" t="s">
        <v>265</v>
      </c>
      <c r="N83" s="17" t="s">
        <v>247</v>
      </c>
      <c r="O83" s="13">
        <f t="shared" ref="O83:R83" si="45">O82+20000</f>
        <v>280000</v>
      </c>
      <c r="P83" s="13">
        <f t="shared" si="45"/>
        <v>280000</v>
      </c>
      <c r="Q83" s="13">
        <f t="shared" si="45"/>
        <v>280000</v>
      </c>
      <c r="R83" s="13">
        <f t="shared" si="45"/>
        <v>280000</v>
      </c>
      <c r="S83" s="2">
        <v>0</v>
      </c>
      <c r="T83" s="2">
        <f t="shared" si="41"/>
        <v>870</v>
      </c>
      <c r="U83" s="2">
        <f t="shared" si="42"/>
        <v>970</v>
      </c>
      <c r="V83" s="2">
        <v>99</v>
      </c>
      <c r="W83" s="2">
        <v>400</v>
      </c>
      <c r="X83" s="19" t="s">
        <v>222</v>
      </c>
    </row>
    <row r="84" customHeight="1" spans="3:24">
      <c r="C84" s="14">
        <v>306</v>
      </c>
      <c r="D84" s="14">
        <v>4</v>
      </c>
      <c r="E84" s="14">
        <v>6</v>
      </c>
      <c r="F84" s="14">
        <v>35</v>
      </c>
      <c r="G84" s="14" t="s">
        <v>288</v>
      </c>
      <c r="H84" s="14" t="s">
        <v>283</v>
      </c>
      <c r="I84" s="17" t="s">
        <v>249</v>
      </c>
      <c r="J84" s="17" t="s">
        <v>235</v>
      </c>
      <c r="K84" s="17" t="s">
        <v>267</v>
      </c>
      <c r="L84" s="18" t="s">
        <v>261</v>
      </c>
      <c r="M84" s="18" t="s">
        <v>268</v>
      </c>
      <c r="N84" s="17" t="s">
        <v>249</v>
      </c>
      <c r="O84" s="13">
        <f t="shared" ref="O84:R84" si="46">O83+20000</f>
        <v>300000</v>
      </c>
      <c r="P84" s="13">
        <f t="shared" si="46"/>
        <v>300000</v>
      </c>
      <c r="Q84" s="13">
        <f t="shared" si="46"/>
        <v>300000</v>
      </c>
      <c r="R84" s="13">
        <f t="shared" si="46"/>
        <v>300000</v>
      </c>
      <c r="S84" s="2">
        <v>0</v>
      </c>
      <c r="T84" s="2">
        <f t="shared" si="41"/>
        <v>900</v>
      </c>
      <c r="U84" s="2">
        <f t="shared" si="42"/>
        <v>1000</v>
      </c>
      <c r="V84" s="2">
        <v>99</v>
      </c>
      <c r="W84" s="2">
        <v>400</v>
      </c>
      <c r="X84" s="19" t="s">
        <v>222</v>
      </c>
    </row>
    <row r="85" customHeight="1" spans="3:24">
      <c r="C85" s="14">
        <v>307</v>
      </c>
      <c r="D85" s="14">
        <v>4</v>
      </c>
      <c r="E85" s="14">
        <v>7</v>
      </c>
      <c r="F85" s="14">
        <v>36</v>
      </c>
      <c r="G85" s="14" t="s">
        <v>289</v>
      </c>
      <c r="H85" s="14" t="s">
        <v>283</v>
      </c>
      <c r="I85" s="17" t="s">
        <v>253</v>
      </c>
      <c r="J85" s="17" t="s">
        <v>235</v>
      </c>
      <c r="K85" s="17" t="s">
        <v>270</v>
      </c>
      <c r="L85" s="18" t="s">
        <v>271</v>
      </c>
      <c r="M85" s="18" t="s">
        <v>272</v>
      </c>
      <c r="N85" s="17" t="s">
        <v>253</v>
      </c>
      <c r="O85" s="13">
        <f t="shared" ref="O85:R85" si="47">O84+20000</f>
        <v>320000</v>
      </c>
      <c r="P85" s="13">
        <f t="shared" si="47"/>
        <v>320000</v>
      </c>
      <c r="Q85" s="13">
        <f t="shared" si="47"/>
        <v>320000</v>
      </c>
      <c r="R85" s="13">
        <f t="shared" si="47"/>
        <v>320000</v>
      </c>
      <c r="S85" s="2">
        <v>0</v>
      </c>
      <c r="T85" s="2">
        <f t="shared" si="41"/>
        <v>930</v>
      </c>
      <c r="U85" s="2">
        <f t="shared" si="42"/>
        <v>1030</v>
      </c>
      <c r="V85" s="2">
        <v>99</v>
      </c>
      <c r="W85" s="2">
        <v>400</v>
      </c>
      <c r="X85" s="19" t="s">
        <v>222</v>
      </c>
    </row>
    <row r="86" customHeight="1" spans="3:24">
      <c r="C86" s="14">
        <v>308</v>
      </c>
      <c r="D86" s="14">
        <v>4</v>
      </c>
      <c r="E86" s="14">
        <v>8</v>
      </c>
      <c r="F86" s="14">
        <v>37</v>
      </c>
      <c r="G86" s="14" t="s">
        <v>290</v>
      </c>
      <c r="H86" s="14" t="s">
        <v>283</v>
      </c>
      <c r="I86" s="17" t="s">
        <v>256</v>
      </c>
      <c r="J86" s="17" t="s">
        <v>235</v>
      </c>
      <c r="K86" s="17" t="s">
        <v>274</v>
      </c>
      <c r="L86" s="18" t="s">
        <v>169</v>
      </c>
      <c r="M86" s="18" t="s">
        <v>176</v>
      </c>
      <c r="N86" s="17" t="s">
        <v>256</v>
      </c>
      <c r="O86" s="13">
        <f t="shared" ref="O86:R86" si="48">O85+20000</f>
        <v>340000</v>
      </c>
      <c r="P86" s="13">
        <f t="shared" si="48"/>
        <v>340000</v>
      </c>
      <c r="Q86" s="13">
        <f t="shared" si="48"/>
        <v>340000</v>
      </c>
      <c r="R86" s="13">
        <f t="shared" si="48"/>
        <v>340000</v>
      </c>
      <c r="S86" s="2">
        <v>0</v>
      </c>
      <c r="T86" s="2">
        <f t="shared" si="41"/>
        <v>960</v>
      </c>
      <c r="U86" s="2">
        <f t="shared" si="42"/>
        <v>1060</v>
      </c>
      <c r="V86" s="2">
        <v>99</v>
      </c>
      <c r="W86" s="2">
        <v>400</v>
      </c>
      <c r="X86" s="19" t="s">
        <v>222</v>
      </c>
    </row>
    <row r="87" customHeight="1" spans="3:24">
      <c r="C87" s="14">
        <v>309</v>
      </c>
      <c r="D87" s="14">
        <v>4</v>
      </c>
      <c r="E87" s="14">
        <v>9</v>
      </c>
      <c r="F87" s="14">
        <v>38</v>
      </c>
      <c r="G87" s="14" t="s">
        <v>291</v>
      </c>
      <c r="H87" s="14" t="s">
        <v>283</v>
      </c>
      <c r="I87" s="17" t="s">
        <v>259</v>
      </c>
      <c r="J87" s="17" t="s">
        <v>235</v>
      </c>
      <c r="K87" s="17" t="s">
        <v>276</v>
      </c>
      <c r="L87" s="18" t="s">
        <v>277</v>
      </c>
      <c r="M87" s="18" t="s">
        <v>278</v>
      </c>
      <c r="N87" s="17" t="s">
        <v>259</v>
      </c>
      <c r="O87" s="13">
        <f t="shared" ref="O87:R87" si="49">O86+20000</f>
        <v>360000</v>
      </c>
      <c r="P87" s="13">
        <f t="shared" si="49"/>
        <v>360000</v>
      </c>
      <c r="Q87" s="13">
        <f t="shared" si="49"/>
        <v>360000</v>
      </c>
      <c r="R87" s="13">
        <f t="shared" si="49"/>
        <v>360000</v>
      </c>
      <c r="S87" s="2">
        <v>0</v>
      </c>
      <c r="T87" s="2">
        <f t="shared" si="41"/>
        <v>990</v>
      </c>
      <c r="U87" s="2">
        <f t="shared" si="42"/>
        <v>1090</v>
      </c>
      <c r="V87" s="2">
        <v>99</v>
      </c>
      <c r="W87" s="2">
        <v>400</v>
      </c>
      <c r="X87" s="19" t="s">
        <v>222</v>
      </c>
    </row>
    <row r="88" customHeight="1" spans="3:24">
      <c r="C88" s="14">
        <v>310</v>
      </c>
      <c r="D88" s="14">
        <v>4</v>
      </c>
      <c r="E88" s="14">
        <v>10</v>
      </c>
      <c r="F88" s="14">
        <v>39</v>
      </c>
      <c r="G88" s="14" t="s">
        <v>292</v>
      </c>
      <c r="H88" s="14" t="s">
        <v>283</v>
      </c>
      <c r="I88" s="17" t="s">
        <v>263</v>
      </c>
      <c r="J88" s="17" t="s">
        <v>235</v>
      </c>
      <c r="K88" s="17" t="s">
        <v>280</v>
      </c>
      <c r="L88" s="18" t="s">
        <v>272</v>
      </c>
      <c r="M88" s="18" t="s">
        <v>281</v>
      </c>
      <c r="N88" s="17" t="s">
        <v>263</v>
      </c>
      <c r="O88" s="13">
        <f t="shared" ref="O88:R88" si="50">O87+20000</f>
        <v>380000</v>
      </c>
      <c r="P88" s="13">
        <f t="shared" si="50"/>
        <v>380000</v>
      </c>
      <c r="Q88" s="13">
        <f t="shared" si="50"/>
        <v>380000</v>
      </c>
      <c r="R88" s="13">
        <f t="shared" si="50"/>
        <v>380000</v>
      </c>
      <c r="S88" s="2">
        <v>0</v>
      </c>
      <c r="T88" s="2">
        <f t="shared" si="41"/>
        <v>1020</v>
      </c>
      <c r="U88" s="2">
        <f t="shared" si="42"/>
        <v>1120</v>
      </c>
      <c r="V88" s="2">
        <v>99</v>
      </c>
      <c r="W88" s="2">
        <v>400</v>
      </c>
      <c r="X88" s="19" t="s">
        <v>222</v>
      </c>
    </row>
  </sheetData>
  <dataValidations count="1">
    <dataValidation type="custom" allowBlank="1" showErrorMessage="1" errorTitle="拒绝重复输入" error="当前输入的内容，与本区域的其他单元格内容重复。" sqref="C3:X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2026-04-06T14:31:27Z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
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<sst xmlns="http://schemas.openxmlformats.org/spreadsheetml/2006/main" count="204" uniqueCount="116">
  <si>
    <t>ID</t>
  </si>
  <si>
    <t>Type</t>
  </si>
  <si>
    <t>Layer</t>
  </si>
  <si>
    <t>MapName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</si>
  <si>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</si>
  <si>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</si>
  <si>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</si>
  <si>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</si>
  <si>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</si>
  <si>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</si>
  <si>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</si>
  <si>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</t>
  </si>
  <si>
    <t>ResotrePercent</t>
  </si>
  <si>
    <t>Miss</t>
  </si>
  <si>
    <t>Protect</t>
  </si>
  <si>
    <t>Speed</t>
  </si>
  <si>
    <t>Strong</t>
  </si>
  <si>
    <t>DamageMul</t>
  </si>
  <si>
    <t>Id</t>
  </si>
  <si>
    <t>int</t>
  </si>
  <si>
    <t>string</t>
  </si>
  <si>
    <t>double</t>
  </si>
  <si>
    <t>炼体秘境一层</t>
  </si>
  <si>
    <t>幻境魔物</t>
  </si>
  <si>
    <t>1000000000000000</t>
  </si>
  <si>
    <t>50000000000000000</t>
  </si>
  <si>
    <t>900000000000000000000000</t>
  </si>
  <si>
    <t>炼体秘境二层</t>
  </si>
  <si>
    <t>100000000000000000</t>
  </si>
  <si>
    <t>50000000000000000000</t>
  </si>
  <si>
    <t>9000000000000000000000000000</t>
  </si>
  <si>
    <t>炼体秘境三层</t>
  </si>
  <si>
    <t>10000000000000000000</t>
  </si>
  <si>
    <t>50000000000000000000000</t>
  </si>
  <si>
    <t>90000000000000000000000000000000</t>
  </si>
  <si>
    <t>炼体秘境四层</t>
  </si>
  <si>
    <t>1000000000000000000000</t>
  </si>
  <si>
    <t>50000000000000000000000000</t>
  </si>
  <si>
    <t>900000000000000000000000000000000000</t>
  </si>
  <si>
    <t>炼体秘境五层</t>
  </si>
  <si>
    <t>100000000000000000000000</t>
  </si>
  <si>
    <t>50000000000000000000000000000</t>
  </si>
  <si>
    <t>9000000000000000000000000000000000000000</t>
  </si>
  <si>
    <t>炼体秘境六层</t>
  </si>
  <si>
    <t>10000000000000000000000000</t>
  </si>
  <si>
    <t>50000000000000000000000000000000</t>
  </si>
  <si>
    <t>90000000000000000000000000000000000000000000</t>
  </si>
  <si>
    <t>炼体秘境七层</t>
  </si>
  <si>
    <t>1000000000000000000000000000</t>
  </si>
  <si>
    <t>50000000000000000000000000000000000</t>
  </si>
  <si>
    <t>900000000000000000000000000000000000000000000000</t>
  </si>
  <si>
    <t>炼体秘境八层</t>
  </si>
  <si>
    <t>100000000000000000000000000000</t>
  </si>
  <si>
    <t>50000000000000000000000000000000000000</t>
  </si>
  <si>
    <t>9000000000000000000000000000000000000000000000000000</t>
  </si>
  <si>
    <t>炼体秘境九层</t>
  </si>
  <si>
    <t>10000000000000000000000000000000</t>
  </si>
  <si>
    <t>50000000000000000000000000000000000000000</t>
  </si>
  <si>
    <t>90000000000000000000000000000000000000000000000000000000</t>
  </si>
  <si>
    <t>炼体秘境十层</t>
  </si>
  <si>
    <t>1000000000000000000000000000000000</t>
  </si>
  <si>
    <t>50000000000000000000000000000000000000000000</t>
  </si>
  <si>
    <t>900000000000000000000000000000000000000000000000000000000000</t>
  </si>
  <si>
    <t>炼体秘境十一层</t>
  </si>
  <si>
    <t>100000000000000000000000000000000000</t>
  </si>
  <si>
    <t>50000000000000000000000000000000000000000000000</t>
  </si>
  <si>
    <t>9000000000000000000000000000000000000000000000000000000000000000</t>
  </si>
  <si>
    <t>炼体秘境十二层</t>
  </si>
  <si>
    <t>10000000000000000000000000000000000000</t>
  </si>
  <si>
    <t>50000000000000000000000000000000000000000000000000</t>
  </si>
  <si>
    <t>90000000000000000000000000000000000000000000000000000000000000000000</t>
  </si>
  <si>
    <t>炼体秘境十三层</t>
  </si>
  <si>
    <t>1000000000000000000000000000000000000000</t>
  </si>
  <si>
    <t>50000000000000000000000000000000000000000000000000000</t>
  </si>
  <si>
    <t>900000000000000000000000000000000000000000000000000000000000000000000000</t>
  </si>
  <si>
    <t>炼体秘境十四层</t>
  </si>
  <si>
    <t>100000000000000000000000000000000000000000</t>
  </si>
  <si>
    <t>50000000000000000000000000000000000000000000000000000000</t>
  </si>
  <si>
    <t>9000000000000000000000000000000000000000000000000000000000000000000000000000</t>
  </si>
  <si>
    <t>炼体秘境十五层</t>
  </si>
  <si>
    <t>1000正</t>
  </si>
  <si>
    <t>500河</t>
  </si>
  <si>
    <t>9000那</t>
  </si>
  <si>
    <t>炼体秘境十六层</t>
  </si>
  <si>
    <t>9999载</t>
  </si>
  <si>
    <t>9999沙</t>
  </si>
  <si>
    <t>9999由</t>
  </si>
  <si>
    <t>炼体秘境十七层</t>
  </si>
  <si>
    <t>9999极</t>
  </si>
  <si>
    <t>9999阿</t>
  </si>
  <si>
    <t>9999他</t>
  </si>
  <si>
    <t>炼体秘境十八层</t>
  </si>
  <si>
    <t>9999恒</t>
  </si>
  <si>
    <t>9999僧</t>
  </si>
  <si>
    <t>9999不</t>
  </si>
  <si>
    <t>炼体秘境十九层</t>
  </si>
  <si>
    <t>9999河</t>
  </si>
  <si>
    <t>9999祇</t>
  </si>
  <si>
    <t>9999可</t>
  </si>
  <si>
    <t>炼体秘境二十层</t>
  </si>
  <si>
    <t>9999那</t>
  </si>
  <si>
    <t>9999思</t>
  </si>
  <si>
    <t>练气秘境一层</t>
  </si>
  <si>
    <t>炼气魔物</t>
  </si>
  <si>
    <t>9E+47</t>
  </si>
  <si>
    <t>9E+57</t>
  </si>
  <si>
    <t>9E+77</t>
  </si>
  <si>
    <t>练气秘境二层</t>
  </si>
  <si>
    <t>练气秘境三层</t>
  </si>
  <si>
    <t>练气秘境四层</t>
  </si>
  <si>
    <t>练气秘境五层</t>
  </si>
  <si>
    <t>练气秘境六层</t>
  </si>
  <si>
    <t>练气秘境七层</t>
  </si>
  <si>
    <t>练气秘境八层</t>
  </si>
  <si>
    <t>练气秘境九层</t>
  </si>
  <si>
    <t>练气秘境十层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</si>
</sst>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3" fillId="3" borderId="0" xfId="0" applyNumberFormat="1" applyFont="1" applyFill="1"/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5"/>
  <sheetViews>
    <sheetView tabSelected="1" workbookViewId="0">
      <pane ySplit="5" topLeftCell="A12" activePane="bottomLeft" state="frozen"/>
      <selection/>
      <selection pane="bottomLeft" activeCell="F47" sqref="F47"/>
    </sheetView>
  </sheetViews>
  <sheetFormatPr defaultColWidth="9" defaultRowHeight="14" customHeight="1"/>
  <cols>
    <col min="1" max="1" width="4.12389380530973" style="2" customWidth="1"/>
    <col min="2" max="2" width="4.87610619469027" style="2" customWidth="1"/>
    <col min="3" max="5" width="9.87610619469027" style="1" customWidth="1"/>
    <col min="6" max="6" width="12.4778761061947" style="1" customWidth="1"/>
    <col min="7" max="7" width="16.2477876106195" style="1" customWidth="1"/>
    <col min="8" max="8" width="20.1238938053097" style="3" customWidth="1"/>
    <col min="9" max="9" width="21.6283185840708" style="3" customWidth="1"/>
    <col min="10" max="10" width="20.3805309734513" style="3" customWidth="1"/>
    <col min="11" max="11" width="12.6283185840708" style="2" customWidth="1"/>
    <col min="12" max="13" width="12.5044247787611" style="2" customWidth="1"/>
    <col min="14" max="14" width="8" style="2" customWidth="1"/>
    <col min="15" max="15" width="12.5044247787611" style="2" customWidth="1"/>
    <col min="16" max="16" width="14.1238938053097" style="2" customWidth="1"/>
    <col min="17" max="19" width="9.6283185840708" style="2" customWidth="1"/>
    <col min="20" max="20" width="13.6637168141593" style="4" customWidth="1"/>
    <col min="21" max="16384" width="9" style="2"/>
  </cols>
  <sheetData>
    <row r="1" s="1" customFormat="1" customHeight="1" spans="1:20">
      <c r="A1" s="2"/>
      <c r="B1" s="2"/>
      <c r="H1" s="5"/>
      <c r="I1" s="5"/>
      <c r="J1" s="5"/>
      <c r="K1" s="2"/>
      <c r="L1" s="2"/>
      <c r="M1" s="2"/>
      <c r="N1" s="2"/>
      <c r="O1" s="2"/>
      <c r="P1" s="2"/>
      <c r="Q1" s="2"/>
      <c r="R1" s="2"/>
      <c r="S1" s="2"/>
      <c r="T1" s="2"/>
    </row>
    <row r="2" s="1" customFormat="1" customHeight="1" spans="1:20">
      <c r="A2" s="2"/>
      <c r="B2" s="2"/>
      <c r="H2" s="5"/>
      <c r="I2" s="5"/>
      <c r="J2" s="5"/>
      <c r="K2" s="2"/>
      <c r="L2" s="2"/>
      <c r="M2" s="2"/>
      <c r="N2" s="2"/>
      <c r="O2" s="2"/>
      <c r="P2" s="2"/>
      <c r="Q2" s="2"/>
      <c r="R2" s="2"/>
      <c r="S2" s="2"/>
      <c r="T2" s="2"/>
    </row>
    <row r="3" s="1" customFormat="1" customHeight="1" spans="1:20">
      <c r="A3" s="2"/>
      <c r="B3" s="2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</row>
    <row r="4" s="1" customFormat="1" customHeight="1" spans="1:20">
      <c r="A4" s="2"/>
      <c r="B4" s="2"/>
      <c r="C4" s="6" t="s">
        <v>18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</row>
    <row r="5" s="1" customFormat="1" customHeight="1" spans="1:20">
      <c r="A5" s="2"/>
      <c r="B5" s="2"/>
      <c r="C5" s="6" t="s">
        <v>19</v>
      </c>
      <c r="D5" s="6" t="s">
        <v>19</v>
      </c>
      <c r="E5" s="6" t="s">
        <v>19</v>
      </c>
      <c r="F5" s="6" t="s">
        <v>20</v>
      </c>
      <c r="G5" s="6" t="s">
        <v>20</v>
      </c>
      <c r="H5" s="7" t="s">
        <v>20</v>
      </c>
      <c r="I5" s="7" t="s">
        <v>20</v>
      </c>
      <c r="J5" s="7" t="s">
        <v>20</v>
      </c>
      <c r="K5" s="6" t="s">
        <v>19</v>
      </c>
      <c r="L5" s="6" t="s">
        <v>19</v>
      </c>
      <c r="M5" s="6" t="s">
        <v>19</v>
      </c>
      <c r="N5" s="6" t="s">
        <v>19</v>
      </c>
      <c r="O5" s="6" t="s">
        <v>19</v>
      </c>
      <c r="P5" s="6" t="s">
        <v>19</v>
      </c>
      <c r="Q5" s="6" t="s">
        <v>19</v>
      </c>
      <c r="R5" s="6" t="s">
        <v>21</v>
      </c>
      <c r="S5" s="6" t="s">
        <v>21</v>
      </c>
      <c r="T5" s="6" t="s">
        <v>20</v>
      </c>
    </row>
    <row r="6" customHeight="1" spans="3:20">
      <c r="C6" s="1">
        <v>1</v>
      </c>
      <c r="D6" s="1">
        <v>1</v>
      </c>
      <c r="E6" s="1">
        <v>1</v>
      </c>
      <c r="F6" s="1" t="s">
        <v>22</v>
      </c>
      <c r="G6" s="1" t="s">
        <v>23</v>
      </c>
      <c r="H6" s="12" t="s">
        <v>24</v>
      </c>
      <c r="I6" s="12" t="s">
        <v>25</v>
      </c>
      <c r="J6" s="12" t="s">
        <v>26</v>
      </c>
      <c r="K6" s="9">
        <v>500</v>
      </c>
      <c r="L6" s="9">
        <v>500</v>
      </c>
      <c r="M6" s="9">
        <v>1500</v>
      </c>
      <c r="N6" s="9">
        <v>0</v>
      </c>
      <c r="O6" s="9">
        <v>20</v>
      </c>
      <c r="P6" s="9">
        <v>30</v>
      </c>
      <c r="Q6" s="9">
        <v>0</v>
      </c>
      <c r="R6" s="9">
        <v>0</v>
      </c>
      <c r="S6" s="9">
        <v>0</v>
      </c>
      <c r="T6" s="11">
        <v>0</v>
      </c>
    </row>
    <row r="7" customHeight="1" spans="3:20">
      <c r="C7" s="1">
        <v>2</v>
      </c>
      <c r="D7" s="1">
        <v>1</v>
      </c>
      <c r="E7" s="1">
        <v>2</v>
      </c>
      <c r="F7" s="1" t="s">
        <v>27</v>
      </c>
      <c r="G7" s="1" t="s">
        <v>23</v>
      </c>
      <c r="H7" s="12" t="s">
        <v>28</v>
      </c>
      <c r="I7" s="12" t="s">
        <v>29</v>
      </c>
      <c r="J7" s="12" t="s">
        <v>30</v>
      </c>
      <c r="K7" s="9">
        <f t="shared" ref="K7:K17" si="0">K6+200</f>
        <v>700</v>
      </c>
      <c r="L7" s="9">
        <f t="shared" ref="L7:L17" si="1">L6+200</f>
        <v>700</v>
      </c>
      <c r="M7" s="9">
        <f t="shared" ref="M7:M25" si="2">M6+200</f>
        <v>1700</v>
      </c>
      <c r="N7" s="9">
        <v>0</v>
      </c>
      <c r="O7" s="9">
        <f t="shared" ref="O7:O25" si="3">O6+2</f>
        <v>22</v>
      </c>
      <c r="P7" s="9">
        <f t="shared" ref="P7:P12" si="4">P6+5</f>
        <v>35</v>
      </c>
      <c r="Q7" s="9">
        <v>0</v>
      </c>
      <c r="R7" s="9">
        <v>0</v>
      </c>
      <c r="S7" s="9">
        <v>0</v>
      </c>
      <c r="T7" s="11">
        <v>0</v>
      </c>
    </row>
    <row r="8" customHeight="1" spans="3:20">
      <c r="C8" s="1">
        <v>3</v>
      </c>
      <c r="D8" s="1">
        <v>1</v>
      </c>
      <c r="E8" s="1">
        <v>3</v>
      </c>
      <c r="F8" s="1" t="s">
        <v>31</v>
      </c>
      <c r="G8" s="1" t="s">
        <v>23</v>
      </c>
      <c r="H8" s="12" t="s">
        <v>32</v>
      </c>
      <c r="I8" s="12" t="s">
        <v>33</v>
      </c>
      <c r="J8" s="12" t="s">
        <v>34</v>
      </c>
      <c r="K8" s="9">
        <f t="shared" si="0"/>
        <v>900</v>
      </c>
      <c r="L8" s="9">
        <f t="shared" si="1"/>
        <v>900</v>
      </c>
      <c r="M8" s="9">
        <f t="shared" si="2"/>
        <v>1900</v>
      </c>
      <c r="N8" s="9">
        <v>0</v>
      </c>
      <c r="O8" s="9">
        <f t="shared" si="3"/>
        <v>24</v>
      </c>
      <c r="P8" s="9">
        <f t="shared" si="4"/>
        <v>40</v>
      </c>
      <c r="Q8" s="9">
        <v>0</v>
      </c>
      <c r="R8" s="9">
        <v>0</v>
      </c>
      <c r="S8" s="9">
        <v>0</v>
      </c>
      <c r="T8" s="11">
        <v>0</v>
      </c>
    </row>
    <row r="9" customHeight="1" spans="3:20">
      <c r="C9" s="1">
        <v>4</v>
      </c>
      <c r="D9" s="1">
        <v>1</v>
      </c>
      <c r="E9" s="1">
        <v>4</v>
      </c>
      <c r="F9" s="1" t="s">
        <v>35</v>
      </c>
      <c r="G9" s="1" t="s">
        <v>23</v>
      </c>
      <c r="H9" s="12" t="s">
        <v>36</v>
      </c>
      <c r="I9" s="12" t="s">
        <v>37</v>
      </c>
      <c r="J9" s="12" t="s">
        <v>38</v>
      </c>
      <c r="K9" s="9">
        <f t="shared" si="0"/>
        <v>1100</v>
      </c>
      <c r="L9" s="9">
        <f t="shared" si="1"/>
        <v>1100</v>
      </c>
      <c r="M9" s="9">
        <f t="shared" si="2"/>
        <v>2100</v>
      </c>
      <c r="N9" s="9">
        <v>0</v>
      </c>
      <c r="O9" s="9">
        <f t="shared" si="3"/>
        <v>26</v>
      </c>
      <c r="P9" s="9">
        <f t="shared" si="4"/>
        <v>45</v>
      </c>
      <c r="Q9" s="9">
        <v>0</v>
      </c>
      <c r="R9" s="9">
        <v>0</v>
      </c>
      <c r="S9" s="9">
        <v>0</v>
      </c>
      <c r="T9" s="11">
        <v>0</v>
      </c>
    </row>
    <row r="10" customHeight="1" spans="3:20">
      <c r="C10" s="1">
        <v>5</v>
      </c>
      <c r="D10" s="1">
        <v>1</v>
      </c>
      <c r="E10" s="1">
        <v>5</v>
      </c>
      <c r="F10" s="1" t="s">
        <v>39</v>
      </c>
      <c r="G10" s="1" t="s">
        <v>23</v>
      </c>
      <c r="H10" s="12" t="s">
        <v>40</v>
      </c>
      <c r="I10" s="12" t="s">
        <v>41</v>
      </c>
      <c r="J10" s="12" t="s">
        <v>42</v>
      </c>
      <c r="K10" s="9">
        <f t="shared" si="0"/>
        <v>1300</v>
      </c>
      <c r="L10" s="9">
        <f t="shared" si="1"/>
        <v>1300</v>
      </c>
      <c r="M10" s="9">
        <f t="shared" si="2"/>
        <v>2300</v>
      </c>
      <c r="N10" s="9">
        <v>0</v>
      </c>
      <c r="O10" s="9">
        <f t="shared" si="3"/>
        <v>28</v>
      </c>
      <c r="P10" s="9">
        <f t="shared" si="4"/>
        <v>50</v>
      </c>
      <c r="Q10" s="9">
        <v>0</v>
      </c>
      <c r="R10" s="9">
        <v>0</v>
      </c>
      <c r="S10" s="9">
        <v>0</v>
      </c>
      <c r="T10" s="11">
        <v>0</v>
      </c>
    </row>
    <row r="11" customHeight="1" spans="3:20">
      <c r="C11" s="1">
        <v>6</v>
      </c>
      <c r="D11" s="1">
        <v>1</v>
      </c>
      <c r="E11" s="1">
        <v>6</v>
      </c>
      <c r="F11" s="1" t="s">
        <v>43</v>
      </c>
      <c r="G11" s="1" t="s">
        <v>23</v>
      </c>
      <c r="H11" s="12" t="s">
        <v>44</v>
      </c>
      <c r="I11" s="12" t="s">
        <v>45</v>
      </c>
      <c r="J11" s="12" t="s">
        <v>46</v>
      </c>
      <c r="K11" s="9">
        <f t="shared" si="0"/>
        <v>1500</v>
      </c>
      <c r="L11" s="9">
        <f t="shared" si="1"/>
        <v>1500</v>
      </c>
      <c r="M11" s="9">
        <f t="shared" si="2"/>
        <v>2500</v>
      </c>
      <c r="N11" s="9">
        <v>0</v>
      </c>
      <c r="O11" s="9">
        <f t="shared" si="3"/>
        <v>30</v>
      </c>
      <c r="P11" s="9">
        <f t="shared" si="4"/>
        <v>55</v>
      </c>
      <c r="Q11" s="9">
        <v>0</v>
      </c>
      <c r="R11" s="9">
        <v>0</v>
      </c>
      <c r="S11" s="9">
        <v>0</v>
      </c>
      <c r="T11" s="11">
        <v>0</v>
      </c>
    </row>
    <row r="12" customHeight="1" spans="3:20">
      <c r="C12" s="1">
        <v>7</v>
      </c>
      <c r="D12" s="1">
        <v>1</v>
      </c>
      <c r="E12" s="1">
        <v>7</v>
      </c>
      <c r="F12" s="1" t="s">
        <v>47</v>
      </c>
      <c r="G12" s="1" t="s">
        <v>23</v>
      </c>
      <c r="H12" s="12" t="s">
        <v>48</v>
      </c>
      <c r="I12" s="12" t="s">
        <v>49</v>
      </c>
      <c r="J12" s="12" t="s">
        <v>50</v>
      </c>
      <c r="K12" s="9">
        <f t="shared" si="0"/>
        <v>1700</v>
      </c>
      <c r="L12" s="9">
        <f t="shared" si="1"/>
        <v>1700</v>
      </c>
      <c r="M12" s="9">
        <f t="shared" si="2"/>
        <v>2700</v>
      </c>
      <c r="N12" s="9">
        <v>0</v>
      </c>
      <c r="O12" s="9">
        <f t="shared" si="3"/>
        <v>32</v>
      </c>
      <c r="P12" s="9">
        <f t="shared" si="4"/>
        <v>60</v>
      </c>
      <c r="Q12" s="9">
        <v>0</v>
      </c>
      <c r="R12" s="9">
        <v>0</v>
      </c>
      <c r="S12" s="9">
        <v>0</v>
      </c>
      <c r="T12" s="11">
        <v>0</v>
      </c>
    </row>
    <row r="13" customHeight="1" spans="3:20">
      <c r="C13" s="1">
        <v>8</v>
      </c>
      <c r="D13" s="1">
        <v>1</v>
      </c>
      <c r="E13" s="1">
        <v>8</v>
      </c>
      <c r="F13" s="1" t="s">
        <v>51</v>
      </c>
      <c r="G13" s="1" t="s">
        <v>23</v>
      </c>
      <c r="H13" s="12" t="s">
        <v>52</v>
      </c>
      <c r="I13" s="12" t="s">
        <v>53</v>
      </c>
      <c r="J13" s="12" t="s">
        <v>54</v>
      </c>
      <c r="K13" s="9">
        <f t="shared" si="0"/>
        <v>1900</v>
      </c>
      <c r="L13" s="9">
        <f t="shared" si="1"/>
        <v>1900</v>
      </c>
      <c r="M13" s="9">
        <f t="shared" si="2"/>
        <v>2900</v>
      </c>
      <c r="N13" s="9">
        <v>0</v>
      </c>
      <c r="O13" s="9">
        <f t="shared" si="3"/>
        <v>34</v>
      </c>
      <c r="P13" s="9">
        <f t="shared" ref="P13:P17" si="5">P12+10</f>
        <v>70</v>
      </c>
      <c r="Q13" s="9">
        <v>0</v>
      </c>
      <c r="R13" s="9">
        <v>0</v>
      </c>
      <c r="S13" s="9">
        <v>0</v>
      </c>
      <c r="T13" s="11">
        <v>0</v>
      </c>
    </row>
    <row r="14" customHeight="1" spans="3:20">
      <c r="C14" s="1">
        <v>9</v>
      </c>
      <c r="D14" s="1">
        <v>1</v>
      </c>
      <c r="E14" s="1">
        <v>9</v>
      </c>
      <c r="F14" s="1" t="s">
        <v>55</v>
      </c>
      <c r="G14" s="1" t="s">
        <v>23</v>
      </c>
      <c r="H14" s="12" t="s">
        <v>56</v>
      </c>
      <c r="I14" s="12" t="s">
        <v>57</v>
      </c>
      <c r="J14" s="12" t="s">
        <v>58</v>
      </c>
      <c r="K14" s="9">
        <f t="shared" si="0"/>
        <v>2100</v>
      </c>
      <c r="L14" s="9">
        <f t="shared" si="1"/>
        <v>2100</v>
      </c>
      <c r="M14" s="9">
        <f t="shared" si="2"/>
        <v>3100</v>
      </c>
      <c r="N14" s="9">
        <v>0</v>
      </c>
      <c r="O14" s="9">
        <f t="shared" si="3"/>
        <v>36</v>
      </c>
      <c r="P14" s="9">
        <f t="shared" si="5"/>
        <v>80</v>
      </c>
      <c r="Q14" s="9">
        <v>0</v>
      </c>
      <c r="R14" s="9">
        <v>0</v>
      </c>
      <c r="S14" s="9">
        <v>0</v>
      </c>
      <c r="T14" s="11">
        <v>0</v>
      </c>
    </row>
    <row r="15" customHeight="1" spans="3:20">
      <c r="C15" s="1">
        <v>10</v>
      </c>
      <c r="D15" s="1">
        <v>1</v>
      </c>
      <c r="E15" s="1">
        <v>10</v>
      </c>
      <c r="F15" s="1" t="s">
        <v>59</v>
      </c>
      <c r="G15" s="1" t="s">
        <v>23</v>
      </c>
      <c r="H15" s="12" t="s">
        <v>60</v>
      </c>
      <c r="I15" s="12" t="s">
        <v>61</v>
      </c>
      <c r="J15" s="12" t="s">
        <v>62</v>
      </c>
      <c r="K15" s="9">
        <f t="shared" si="0"/>
        <v>2300</v>
      </c>
      <c r="L15" s="9">
        <f t="shared" si="1"/>
        <v>2300</v>
      </c>
      <c r="M15" s="9">
        <f t="shared" si="2"/>
        <v>3300</v>
      </c>
      <c r="N15" s="9">
        <v>0</v>
      </c>
      <c r="O15" s="9">
        <f t="shared" si="3"/>
        <v>38</v>
      </c>
      <c r="P15" s="9">
        <f t="shared" si="5"/>
        <v>90</v>
      </c>
      <c r="Q15" s="9">
        <v>0</v>
      </c>
      <c r="R15" s="9">
        <v>0</v>
      </c>
      <c r="S15" s="9">
        <v>0</v>
      </c>
      <c r="T15" s="11">
        <v>0</v>
      </c>
    </row>
    <row r="16" customHeight="1" spans="3:20">
      <c r="C16" s="1">
        <v>11</v>
      </c>
      <c r="D16" s="1">
        <v>1</v>
      </c>
      <c r="E16" s="1">
        <v>11</v>
      </c>
      <c r="F16" s="1" t="s">
        <v>63</v>
      </c>
      <c r="G16" s="1" t="s">
        <v>23</v>
      </c>
      <c r="H16" s="12" t="s">
        <v>64</v>
      </c>
      <c r="I16" s="12" t="s">
        <v>65</v>
      </c>
      <c r="J16" s="12" t="s">
        <v>66</v>
      </c>
      <c r="K16" s="9">
        <f t="shared" ref="K16:K25" si="6">K15+400</f>
        <v>2700</v>
      </c>
      <c r="L16" s="9">
        <f t="shared" ref="L16:L25" si="7">L15+400</f>
        <v>2700</v>
      </c>
      <c r="M16" s="9">
        <f t="shared" si="2"/>
        <v>3500</v>
      </c>
      <c r="N16" s="9">
        <v>0</v>
      </c>
      <c r="O16" s="9">
        <f t="shared" si="3"/>
        <v>40</v>
      </c>
      <c r="P16" s="9">
        <f t="shared" ref="P16:P25" si="8">P15+15</f>
        <v>105</v>
      </c>
      <c r="Q16" s="9">
        <v>0</v>
      </c>
      <c r="R16" s="9">
        <v>0</v>
      </c>
      <c r="S16" s="9">
        <v>0</v>
      </c>
      <c r="T16" s="11">
        <v>0</v>
      </c>
    </row>
    <row r="17" customHeight="1" spans="3:20">
      <c r="C17" s="1">
        <v>12</v>
      </c>
      <c r="D17" s="1">
        <v>1</v>
      </c>
      <c r="E17" s="1">
        <v>12</v>
      </c>
      <c r="F17" s="1" t="s">
        <v>67</v>
      </c>
      <c r="G17" s="1" t="s">
        <v>23</v>
      </c>
      <c r="H17" s="12" t="s">
        <v>68</v>
      </c>
      <c r="I17" s="12" t="s">
        <v>69</v>
      </c>
      <c r="J17" s="12" t="s">
        <v>70</v>
      </c>
      <c r="K17" s="9">
        <f t="shared" si="6"/>
        <v>3100</v>
      </c>
      <c r="L17" s="9">
        <f t="shared" si="7"/>
        <v>3100</v>
      </c>
      <c r="M17" s="9">
        <f t="shared" si="2"/>
        <v>3700</v>
      </c>
      <c r="N17" s="9">
        <v>0</v>
      </c>
      <c r="O17" s="9">
        <f t="shared" si="3"/>
        <v>42</v>
      </c>
      <c r="P17" s="9">
        <f t="shared" si="8"/>
        <v>120</v>
      </c>
      <c r="Q17" s="9">
        <v>0</v>
      </c>
      <c r="R17" s="9">
        <v>0</v>
      </c>
      <c r="S17" s="9">
        <v>0</v>
      </c>
      <c r="T17" s="11">
        <v>0</v>
      </c>
    </row>
    <row r="18" customHeight="1" spans="3:20">
      <c r="C18" s="1">
        <v>13</v>
      </c>
      <c r="D18" s="1">
        <v>1</v>
      </c>
      <c r="E18" s="1">
        <v>13</v>
      </c>
      <c r="F18" s="1" t="s">
        <v>71</v>
      </c>
      <c r="G18" s="1" t="s">
        <v>23</v>
      </c>
      <c r="H18" s="12" t="s">
        <v>72</v>
      </c>
      <c r="I18" s="12" t="s">
        <v>73</v>
      </c>
      <c r="J18" s="12" t="s">
        <v>74</v>
      </c>
      <c r="K18" s="9">
        <f t="shared" si="6"/>
        <v>3500</v>
      </c>
      <c r="L18" s="9">
        <f t="shared" si="7"/>
        <v>3500</v>
      </c>
      <c r="M18" s="9">
        <f t="shared" si="2"/>
        <v>3900</v>
      </c>
      <c r="N18" s="9">
        <v>0</v>
      </c>
      <c r="O18" s="9">
        <f t="shared" si="3"/>
        <v>44</v>
      </c>
      <c r="P18" s="9">
        <f t="shared" si="8"/>
        <v>135</v>
      </c>
      <c r="Q18" s="9">
        <v>0</v>
      </c>
      <c r="R18" s="9">
        <v>0</v>
      </c>
      <c r="S18" s="9">
        <v>0</v>
      </c>
      <c r="T18" s="11">
        <v>0</v>
      </c>
    </row>
    <row r="19" customHeight="1" spans="3:20">
      <c r="C19" s="1">
        <v>14</v>
      </c>
      <c r="D19" s="1">
        <v>1</v>
      </c>
      <c r="E19" s="1">
        <v>14</v>
      </c>
      <c r="F19" s="1" t="s">
        <v>75</v>
      </c>
      <c r="G19" s="1" t="s">
        <v>23</v>
      </c>
      <c r="H19" s="12" t="s">
        <v>76</v>
      </c>
      <c r="I19" s="12" t="s">
        <v>77</v>
      </c>
      <c r="J19" s="12" t="s">
        <v>78</v>
      </c>
      <c r="K19" s="9">
        <f t="shared" si="6"/>
        <v>3900</v>
      </c>
      <c r="L19" s="9">
        <f t="shared" si="7"/>
        <v>3900</v>
      </c>
      <c r="M19" s="9">
        <f t="shared" si="2"/>
        <v>4100</v>
      </c>
      <c r="N19" s="9">
        <v>0</v>
      </c>
      <c r="O19" s="9">
        <f t="shared" si="3"/>
        <v>46</v>
      </c>
      <c r="P19" s="9">
        <f t="shared" si="8"/>
        <v>150</v>
      </c>
      <c r="Q19" s="9">
        <v>0</v>
      </c>
      <c r="R19" s="9">
        <v>0</v>
      </c>
      <c r="S19" s="9">
        <v>0</v>
      </c>
      <c r="T19" s="11">
        <v>0</v>
      </c>
    </row>
    <row r="20" customHeight="1" spans="3:20">
      <c r="C20" s="1">
        <v>15</v>
      </c>
      <c r="D20" s="1">
        <v>1</v>
      </c>
      <c r="E20" s="1">
        <v>15</v>
      </c>
      <c r="F20" s="1" t="s">
        <v>79</v>
      </c>
      <c r="G20" s="1" t="s">
        <v>23</v>
      </c>
      <c r="H20" s="8" t="s">
        <v>80</v>
      </c>
      <c r="I20" s="8" t="s">
        <v>81</v>
      </c>
      <c r="J20" s="8" t="s">
        <v>82</v>
      </c>
      <c r="K20" s="9">
        <f t="shared" si="6"/>
        <v>4300</v>
      </c>
      <c r="L20" s="9">
        <f t="shared" si="7"/>
        <v>4300</v>
      </c>
      <c r="M20" s="9">
        <f t="shared" si="2"/>
        <v>4300</v>
      </c>
      <c r="N20" s="9">
        <v>0</v>
      </c>
      <c r="O20" s="9">
        <f t="shared" si="3"/>
        <v>48</v>
      </c>
      <c r="P20" s="9">
        <f t="shared" si="8"/>
        <v>165</v>
      </c>
      <c r="Q20" s="9">
        <v>0</v>
      </c>
      <c r="R20" s="9">
        <v>0</v>
      </c>
      <c r="S20" s="9">
        <v>0</v>
      </c>
      <c r="T20" s="11">
        <v>0</v>
      </c>
    </row>
    <row r="21" customHeight="1" spans="3:20">
      <c r="C21" s="1">
        <v>16</v>
      </c>
      <c r="D21" s="1">
        <v>1</v>
      </c>
      <c r="E21" s="1">
        <v>16</v>
      </c>
      <c r="F21" s="1" t="s">
        <v>83</v>
      </c>
      <c r="G21" s="1" t="s">
        <v>23</v>
      </c>
      <c r="H21" s="8" t="s">
        <v>84</v>
      </c>
      <c r="I21" s="8" t="s">
        <v>85</v>
      </c>
      <c r="J21" s="8" t="s">
        <v>86</v>
      </c>
      <c r="K21" s="9">
        <f t="shared" ref="K21:K25" si="9">K20+800</f>
        <v>5100</v>
      </c>
      <c r="L21" s="9">
        <f t="shared" ref="L21:L25" si="10">L20+800</f>
        <v>5100</v>
      </c>
      <c r="M21" s="9">
        <f t="shared" ref="M21:M26" si="11">M20+400</f>
        <v>4700</v>
      </c>
      <c r="N21" s="9">
        <v>0</v>
      </c>
      <c r="O21" s="9">
        <f t="shared" si="3"/>
        <v>50</v>
      </c>
      <c r="P21" s="9">
        <f t="shared" ref="P21:P25" si="12">P20+30</f>
        <v>195</v>
      </c>
      <c r="Q21" s="9">
        <v>10</v>
      </c>
      <c r="R21" s="9">
        <v>0</v>
      </c>
      <c r="S21" s="9">
        <v>0</v>
      </c>
      <c r="T21" s="11">
        <v>0</v>
      </c>
    </row>
    <row r="22" customHeight="1" spans="3:20">
      <c r="C22" s="1">
        <v>17</v>
      </c>
      <c r="D22" s="1">
        <v>1</v>
      </c>
      <c r="E22" s="1">
        <v>17</v>
      </c>
      <c r="F22" s="1" t="s">
        <v>87</v>
      </c>
      <c r="G22" s="1" t="s">
        <v>23</v>
      </c>
      <c r="H22" s="8" t="s">
        <v>88</v>
      </c>
      <c r="I22" s="8" t="s">
        <v>89</v>
      </c>
      <c r="J22" s="8" t="s">
        <v>90</v>
      </c>
      <c r="K22" s="9">
        <f t="shared" si="9"/>
        <v>5900</v>
      </c>
      <c r="L22" s="9">
        <f t="shared" si="10"/>
        <v>5900</v>
      </c>
      <c r="M22" s="9">
        <f t="shared" si="11"/>
        <v>5100</v>
      </c>
      <c r="N22" s="9">
        <v>0</v>
      </c>
      <c r="O22" s="9">
        <f t="shared" si="3"/>
        <v>52</v>
      </c>
      <c r="P22" s="9">
        <f t="shared" si="12"/>
        <v>225</v>
      </c>
      <c r="Q22" s="9">
        <v>20</v>
      </c>
      <c r="R22" s="9">
        <v>0</v>
      </c>
      <c r="S22" s="9">
        <v>0</v>
      </c>
      <c r="T22" s="11">
        <v>0</v>
      </c>
    </row>
    <row r="23" customHeight="1" spans="3:20">
      <c r="C23" s="1">
        <v>18</v>
      </c>
      <c r="D23" s="1">
        <v>1</v>
      </c>
      <c r="E23" s="1">
        <v>18</v>
      </c>
      <c r="F23" s="1" t="s">
        <v>91</v>
      </c>
      <c r="G23" s="1" t="s">
        <v>23</v>
      </c>
      <c r="H23" s="8" t="s">
        <v>92</v>
      </c>
      <c r="I23" s="8" t="s">
        <v>93</v>
      </c>
      <c r="J23" s="8" t="s">
        <v>94</v>
      </c>
      <c r="K23" s="9">
        <f t="shared" si="9"/>
        <v>6700</v>
      </c>
      <c r="L23" s="9">
        <f t="shared" si="10"/>
        <v>6700</v>
      </c>
      <c r="M23" s="9">
        <f t="shared" si="11"/>
        <v>5500</v>
      </c>
      <c r="N23" s="9">
        <v>0</v>
      </c>
      <c r="O23" s="9">
        <f t="shared" si="3"/>
        <v>54</v>
      </c>
      <c r="P23" s="9">
        <f t="shared" si="12"/>
        <v>255</v>
      </c>
      <c r="Q23" s="9">
        <v>30</v>
      </c>
      <c r="R23" s="9">
        <v>0</v>
      </c>
      <c r="S23" s="9">
        <v>0</v>
      </c>
      <c r="T23" s="11">
        <v>0</v>
      </c>
    </row>
    <row r="24" customHeight="1" spans="3:20">
      <c r="C24" s="1">
        <v>19</v>
      </c>
      <c r="D24" s="1">
        <v>1</v>
      </c>
      <c r="E24" s="1">
        <v>19</v>
      </c>
      <c r="F24" s="1" t="s">
        <v>95</v>
      </c>
      <c r="G24" s="1" t="s">
        <v>23</v>
      </c>
      <c r="H24" s="8" t="s">
        <v>96</v>
      </c>
      <c r="I24" s="8" t="s">
        <v>97</v>
      </c>
      <c r="J24" s="8" t="s">
        <v>98</v>
      </c>
      <c r="K24" s="9">
        <f t="shared" si="9"/>
        <v>7500</v>
      </c>
      <c r="L24" s="9">
        <f t="shared" si="10"/>
        <v>7500</v>
      </c>
      <c r="M24" s="9">
        <f t="shared" si="11"/>
        <v>5900</v>
      </c>
      <c r="N24" s="9">
        <v>0</v>
      </c>
      <c r="O24" s="9">
        <f t="shared" si="3"/>
        <v>56</v>
      </c>
      <c r="P24" s="9">
        <f t="shared" si="12"/>
        <v>285</v>
      </c>
      <c r="Q24" s="9">
        <v>40</v>
      </c>
      <c r="R24" s="9">
        <v>0</v>
      </c>
      <c r="S24" s="9">
        <v>0</v>
      </c>
      <c r="T24" s="11">
        <v>0</v>
      </c>
    </row>
    <row r="25" customHeight="1" spans="3:20">
      <c r="C25" s="1">
        <v>20</v>
      </c>
      <c r="D25" s="1">
        <v>1</v>
      </c>
      <c r="E25" s="1">
        <v>20</v>
      </c>
      <c r="F25" s="1" t="s">
        <v>99</v>
      </c>
      <c r="G25" s="1" t="s">
        <v>23</v>
      </c>
      <c r="H25" s="8" t="s">
        <v>85</v>
      </c>
      <c r="I25" s="8" t="s">
        <v>100</v>
      </c>
      <c r="J25" s="8" t="s">
        <v>101</v>
      </c>
      <c r="K25" s="9">
        <f t="shared" si="9"/>
        <v>8300</v>
      </c>
      <c r="L25" s="9">
        <f t="shared" si="10"/>
        <v>8300</v>
      </c>
      <c r="M25" s="9">
        <f t="shared" si="11"/>
        <v>6300</v>
      </c>
      <c r="N25" s="9">
        <v>0</v>
      </c>
      <c r="O25" s="9">
        <f t="shared" si="3"/>
        <v>58</v>
      </c>
      <c r="P25" s="9">
        <f t="shared" si="12"/>
        <v>315</v>
      </c>
      <c r="Q25" s="9">
        <v>50</v>
      </c>
      <c r="R25" s="9">
        <v>0</v>
      </c>
      <c r="S25" s="9">
        <v>0</v>
      </c>
      <c r="T25" s="11">
        <v>0</v>
      </c>
    </row>
    <row r="26" customHeight="1" spans="8:20">
      <c r="H26" s="8"/>
      <c r="M26" s="9"/>
      <c r="N26" s="10"/>
      <c r="T26" s="11"/>
    </row>
    <row r="27" customHeight="1" spans="8:20">
      <c r="H27" s="8"/>
      <c r="I27" s="8"/>
      <c r="N27" s="9"/>
      <c r="T27" s="11"/>
    </row>
    <row r="28" customHeight="1" spans="8:20">
      <c r="H28" s="8"/>
      <c r="I28" s="8"/>
      <c r="N28" s="9"/>
      <c r="T28" s="11"/>
    </row>
    <row r="29" customHeight="1" spans="8:20">
      <c r="H29" s="8"/>
      <c r="I29" s="8"/>
      <c r="N29" s="9"/>
      <c r="T29" s="11"/>
    </row>
    <row r="30" customHeight="1" spans="9:20">
      <c r="I30" s="8"/>
      <c r="N30" s="9"/>
      <c r="T30" s="11"/>
    </row>
    <row r="31" customHeight="1" spans="9:20">
      <c r="I31" s="8"/>
      <c r="N31" s="9"/>
      <c r="T31" s="11"/>
    </row>
    <row r="32" customHeight="1" spans="9:20">
      <c r="I32" s="8"/>
      <c r="N32" s="9"/>
      <c r="T32" s="11"/>
    </row>
    <row r="33" customHeight="1" spans="3:20">
      <c r="C33" s="1">
        <v>101</v>
      </c>
      <c r="D33" s="1">
        <v>2</v>
      </c>
      <c r="E33" s="1">
        <v>1</v>
      </c>
      <c r="F33" s="1" t="s">
        <v>102</v>
      </c>
      <c r="G33" s="1" t="s">
        <v>103</v>
      </c>
      <c r="H33" s="12" t="s">
        <v>104</v>
      </c>
      <c r="I33" s="12" t="s">
        <v>105</v>
      </c>
      <c r="J33" s="12" t="s">
        <v>106</v>
      </c>
      <c r="K33" s="10">
        <f t="shared" ref="K33:K42" si="13">K32+1000</f>
        <v>1000</v>
      </c>
      <c r="L33" s="10">
        <f t="shared" ref="L33:L42" si="14">L32+1000</f>
        <v>1000</v>
      </c>
      <c r="M33" s="10">
        <f t="shared" ref="M33:M42" si="15">M32+500</f>
        <v>500</v>
      </c>
      <c r="N33" s="9">
        <v>10000</v>
      </c>
      <c r="O33" s="10">
        <v>1</v>
      </c>
      <c r="P33" s="9">
        <v>150</v>
      </c>
      <c r="Q33" s="9">
        <v>50</v>
      </c>
      <c r="R33" s="9">
        <v>0</v>
      </c>
      <c r="S33" s="9">
        <v>0</v>
      </c>
      <c r="T33" s="9">
        <v>0</v>
      </c>
    </row>
    <row r="34" customHeight="1" spans="3:20">
      <c r="C34" s="1">
        <v>102</v>
      </c>
      <c r="D34" s="1">
        <v>2</v>
      </c>
      <c r="E34" s="1">
        <v>2</v>
      </c>
      <c r="F34" s="1" t="s">
        <v>107</v>
      </c>
      <c r="G34" s="1" t="s">
        <v>103</v>
      </c>
      <c r="H34" s="12" t="s">
        <v>104</v>
      </c>
      <c r="I34" s="12" t="s">
        <v>105</v>
      </c>
      <c r="J34" s="12" t="s">
        <v>106</v>
      </c>
      <c r="K34" s="10">
        <f t="shared" si="13"/>
        <v>2000</v>
      </c>
      <c r="L34" s="10">
        <f t="shared" si="14"/>
        <v>2000</v>
      </c>
      <c r="M34" s="10">
        <f t="shared" si="15"/>
        <v>1000</v>
      </c>
      <c r="N34" s="9">
        <f t="shared" ref="N34:N42" si="16">N33+2000</f>
        <v>12000</v>
      </c>
      <c r="O34" s="10">
        <v>1</v>
      </c>
      <c r="P34" s="9">
        <f t="shared" ref="P34:P42" si="17">P33+20</f>
        <v>170</v>
      </c>
      <c r="Q34" s="9">
        <v>50</v>
      </c>
      <c r="R34" s="9">
        <v>0</v>
      </c>
      <c r="S34" s="9">
        <v>0</v>
      </c>
      <c r="T34" s="9">
        <v>0</v>
      </c>
    </row>
    <row r="35" customHeight="1" spans="3:20">
      <c r="C35" s="1">
        <v>103</v>
      </c>
      <c r="D35" s="1">
        <v>2</v>
      </c>
      <c r="E35" s="1">
        <v>3</v>
      </c>
      <c r="F35" s="1" t="s">
        <v>108</v>
      </c>
      <c r="G35" s="1" t="s">
        <v>103</v>
      </c>
      <c r="H35" s="12" t="s">
        <v>104</v>
      </c>
      <c r="I35" s="12" t="s">
        <v>105</v>
      </c>
      <c r="J35" s="12" t="s">
        <v>106</v>
      </c>
      <c r="K35" s="10">
        <f t="shared" si="13"/>
        <v>3000</v>
      </c>
      <c r="L35" s="10">
        <f t="shared" si="14"/>
        <v>3000</v>
      </c>
      <c r="M35" s="10">
        <f t="shared" si="15"/>
        <v>1500</v>
      </c>
      <c r="N35" s="9">
        <f t="shared" si="16"/>
        <v>14000</v>
      </c>
      <c r="O35" s="10">
        <v>1</v>
      </c>
      <c r="P35" s="9">
        <f t="shared" si="17"/>
        <v>190</v>
      </c>
      <c r="Q35" s="9">
        <v>50</v>
      </c>
      <c r="R35" s="9">
        <v>0</v>
      </c>
      <c r="S35" s="9">
        <v>0</v>
      </c>
      <c r="T35" s="9">
        <v>0</v>
      </c>
    </row>
    <row r="36" customHeight="1" spans="3:20">
      <c r="C36" s="1">
        <v>104</v>
      </c>
      <c r="D36" s="1">
        <v>2</v>
      </c>
      <c r="E36" s="1">
        <v>4</v>
      </c>
      <c r="F36" s="1" t="s">
        <v>109</v>
      </c>
      <c r="G36" s="1" t="s">
        <v>103</v>
      </c>
      <c r="H36" s="12" t="s">
        <v>104</v>
      </c>
      <c r="I36" s="12" t="s">
        <v>105</v>
      </c>
      <c r="J36" s="12" t="s">
        <v>106</v>
      </c>
      <c r="K36" s="10">
        <f t="shared" si="13"/>
        <v>4000</v>
      </c>
      <c r="L36" s="10">
        <f t="shared" si="14"/>
        <v>4000</v>
      </c>
      <c r="M36" s="10">
        <f t="shared" si="15"/>
        <v>2000</v>
      </c>
      <c r="N36" s="9">
        <f t="shared" si="16"/>
        <v>16000</v>
      </c>
      <c r="O36" s="10">
        <v>1</v>
      </c>
      <c r="P36" s="9">
        <f t="shared" si="17"/>
        <v>210</v>
      </c>
      <c r="Q36" s="9">
        <v>50</v>
      </c>
      <c r="R36" s="9">
        <v>0</v>
      </c>
      <c r="S36" s="9">
        <v>0</v>
      </c>
      <c r="T36" s="9">
        <v>0</v>
      </c>
    </row>
    <row r="37" customHeight="1" spans="3:20">
      <c r="C37" s="1">
        <v>105</v>
      </c>
      <c r="D37" s="1">
        <v>2</v>
      </c>
      <c r="E37" s="1">
        <v>5</v>
      </c>
      <c r="F37" s="1" t="s">
        <v>110</v>
      </c>
      <c r="G37" s="1" t="s">
        <v>103</v>
      </c>
      <c r="H37" s="12" t="s">
        <v>104</v>
      </c>
      <c r="I37" s="12" t="s">
        <v>105</v>
      </c>
      <c r="J37" s="12" t="s">
        <v>106</v>
      </c>
      <c r="K37" s="10">
        <f t="shared" si="13"/>
        <v>5000</v>
      </c>
      <c r="L37" s="10">
        <f t="shared" si="14"/>
        <v>5000</v>
      </c>
      <c r="M37" s="10">
        <f t="shared" si="15"/>
        <v>2500</v>
      </c>
      <c r="N37" s="9">
        <f t="shared" si="16"/>
        <v>18000</v>
      </c>
      <c r="O37" s="10">
        <v>1</v>
      </c>
      <c r="P37" s="9">
        <f t="shared" si="17"/>
        <v>230</v>
      </c>
      <c r="Q37" s="9">
        <v>50</v>
      </c>
      <c r="R37" s="9">
        <v>0</v>
      </c>
      <c r="S37" s="9">
        <v>0</v>
      </c>
      <c r="T37" s="9">
        <v>0</v>
      </c>
    </row>
    <row r="38" customHeight="1" spans="3:20">
      <c r="C38" s="1">
        <v>106</v>
      </c>
      <c r="D38" s="1">
        <v>2</v>
      </c>
      <c r="E38" s="1">
        <v>6</v>
      </c>
      <c r="F38" s="1" t="s">
        <v>111</v>
      </c>
      <c r="G38" s="1" t="s">
        <v>103</v>
      </c>
      <c r="H38" s="12" t="s">
        <v>104</v>
      </c>
      <c r="I38" s="12" t="s">
        <v>105</v>
      </c>
      <c r="J38" s="12" t="s">
        <v>106</v>
      </c>
      <c r="K38" s="10">
        <f t="shared" si="13"/>
        <v>6000</v>
      </c>
      <c r="L38" s="10">
        <f t="shared" si="14"/>
        <v>6000</v>
      </c>
      <c r="M38" s="10">
        <f t="shared" si="15"/>
        <v>3000</v>
      </c>
      <c r="N38" s="9">
        <f t="shared" si="16"/>
        <v>20000</v>
      </c>
      <c r="O38" s="10">
        <v>1</v>
      </c>
      <c r="P38" s="9">
        <f t="shared" ref="P38:P42" si="18">P37+30</f>
        <v>260</v>
      </c>
      <c r="Q38" s="9">
        <v>50</v>
      </c>
      <c r="R38" s="9">
        <v>0</v>
      </c>
      <c r="S38" s="9">
        <v>0</v>
      </c>
      <c r="T38" s="9">
        <v>0</v>
      </c>
    </row>
    <row r="39" customHeight="1" spans="3:20">
      <c r="C39" s="1">
        <v>107</v>
      </c>
      <c r="D39" s="1">
        <v>2</v>
      </c>
      <c r="E39" s="1">
        <v>7</v>
      </c>
      <c r="F39" s="1" t="s">
        <v>112</v>
      </c>
      <c r="G39" s="1" t="s">
        <v>103</v>
      </c>
      <c r="H39" s="12" t="s">
        <v>104</v>
      </c>
      <c r="I39" s="12" t="s">
        <v>105</v>
      </c>
      <c r="J39" s="12" t="s">
        <v>106</v>
      </c>
      <c r="K39" s="10">
        <f t="shared" si="13"/>
        <v>7000</v>
      </c>
      <c r="L39" s="10">
        <f t="shared" si="14"/>
        <v>7000</v>
      </c>
      <c r="M39" s="10">
        <f t="shared" si="15"/>
        <v>3500</v>
      </c>
      <c r="N39" s="9">
        <f t="shared" si="16"/>
        <v>22000</v>
      </c>
      <c r="O39" s="10">
        <v>1</v>
      </c>
      <c r="P39" s="9">
        <f t="shared" si="18"/>
        <v>290</v>
      </c>
      <c r="Q39" s="9">
        <v>50</v>
      </c>
      <c r="R39" s="9">
        <v>0</v>
      </c>
      <c r="S39" s="9">
        <v>0</v>
      </c>
      <c r="T39" s="9">
        <v>0</v>
      </c>
    </row>
    <row r="40" customHeight="1" spans="3:20">
      <c r="C40" s="1">
        <v>108</v>
      </c>
      <c r="D40" s="1">
        <v>2</v>
      </c>
      <c r="E40" s="1">
        <v>8</v>
      </c>
      <c r="F40" s="1" t="s">
        <v>113</v>
      </c>
      <c r="G40" s="1" t="s">
        <v>103</v>
      </c>
      <c r="H40" s="12" t="s">
        <v>104</v>
      </c>
      <c r="I40" s="12" t="s">
        <v>105</v>
      </c>
      <c r="J40" s="12" t="s">
        <v>106</v>
      </c>
      <c r="K40" s="10">
        <f t="shared" si="13"/>
        <v>8000</v>
      </c>
      <c r="L40" s="10">
        <f t="shared" si="14"/>
        <v>8000</v>
      </c>
      <c r="M40" s="10">
        <f t="shared" si="15"/>
        <v>4000</v>
      </c>
      <c r="N40" s="9">
        <f t="shared" si="16"/>
        <v>24000</v>
      </c>
      <c r="O40" s="10">
        <v>1</v>
      </c>
      <c r="P40" s="9">
        <f t="shared" si="18"/>
        <v>320</v>
      </c>
      <c r="Q40" s="9">
        <v>50</v>
      </c>
      <c r="R40" s="9">
        <v>0</v>
      </c>
      <c r="S40" s="9">
        <v>0</v>
      </c>
      <c r="T40" s="9">
        <v>0</v>
      </c>
    </row>
    <row r="41" customHeight="1" spans="3:20">
      <c r="C41" s="1">
        <v>109</v>
      </c>
      <c r="D41" s="1">
        <v>2</v>
      </c>
      <c r="E41" s="1">
        <v>9</v>
      </c>
      <c r="F41" s="1" t="s">
        <v>114</v>
      </c>
      <c r="G41" s="1" t="s">
        <v>103</v>
      </c>
      <c r="H41" s="12" t="s">
        <v>104</v>
      </c>
      <c r="I41" s="12" t="s">
        <v>105</v>
      </c>
      <c r="J41" s="12" t="s">
        <v>106</v>
      </c>
      <c r="K41" s="10">
        <f t="shared" si="13"/>
        <v>9000</v>
      </c>
      <c r="L41" s="10">
        <f t="shared" si="14"/>
        <v>9000</v>
      </c>
      <c r="M41" s="10">
        <f t="shared" si="15"/>
        <v>4500</v>
      </c>
      <c r="N41" s="9">
        <f t="shared" si="16"/>
        <v>26000</v>
      </c>
      <c r="O41" s="10">
        <v>1</v>
      </c>
      <c r="P41" s="9">
        <f t="shared" si="18"/>
        <v>350</v>
      </c>
      <c r="Q41" s="9">
        <v>50</v>
      </c>
      <c r="R41" s="9">
        <v>0</v>
      </c>
      <c r="S41" s="9">
        <v>0</v>
      </c>
      <c r="T41" s="9">
        <v>0</v>
      </c>
    </row>
    <row r="42" customHeight="1" spans="3:20">
      <c r="C42" s="1">
        <v>110</v>
      </c>
      <c r="D42" s="1">
        <v>2</v>
      </c>
      <c r="E42" s="1">
        <v>10</v>
      </c>
      <c r="F42" s="1" t="s">
        <v>115</v>
      </c>
      <c r="G42" s="1" t="s">
        <v>103</v>
      </c>
      <c r="H42" s="12" t="s">
        <v>104</v>
      </c>
      <c r="I42" s="12" t="s">
        <v>105</v>
      </c>
      <c r="J42" s="12" t="s">
        <v>106</v>
      </c>
      <c r="K42" s="10">
        <f t="shared" si="13"/>
        <v>10000</v>
      </c>
      <c r="L42" s="10">
        <f t="shared" si="14"/>
        <v>10000</v>
      </c>
      <c r="M42" s="10">
        <f t="shared" si="15"/>
        <v>5000</v>
      </c>
      <c r="N42" s="9">
        <f t="shared" si="16"/>
        <v>28000</v>
      </c>
      <c r="O42" s="10">
        <v>1</v>
      </c>
      <c r="P42" s="9">
        <f t="shared" si="18"/>
        <v>380</v>
      </c>
      <c r="Q42" s="9">
        <v>50</v>
      </c>
      <c r="R42" s="9">
        <v>0</v>
      </c>
      <c r="S42" s="9">
        <v>0</v>
      </c>
      <c r="T42" s="9">
        <v>0</v>
      </c>
    </row>
    <row r="43" customHeight="1" spans="14:20">
      <c r="N43" s="9"/>
      <c r="T43" s="9"/>
    </row>
    <row r="44" customHeight="1" spans="14:20">
      <c r="N44" s="9"/>
      <c r="T44" s="9"/>
    </row>
    <row r="45" customHeight="1" spans="14:20">
      <c r="N45" s="9"/>
      <c r="T45" s="9"/>
    </row>
  </sheetData>
  <dataValidations count="1">
    <dataValidation type="custom" allowBlank="1" showErrorMessage="1" errorTitle="拒绝重复输入" error="当前输入的内容，与本区域的其他单元格内容重复。" sqref="D3 E3 R3 S3 D4 E4 R4 S4 D5 E5 N5 R5 S5 C3:C5 N3:N4 T3:T5 F3:M5 O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2025-05-14T09:03:51Z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
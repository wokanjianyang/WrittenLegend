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Height="17680"/>
  </bookViews>
  <sheets>
    <sheet name="生成配置" sheetId="2" r:id="rId1"/>
  </sheets>
  <definedNames>
    <definedName name="_xlnm._FilterDatabase" localSheetId="0" hidden="1">生成配置!#REF!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<sst xmlns="http://schemas.openxmlformats.org/spreadsheetml/2006/main" count="434" uniqueCount="247">
  <si>
    <t>ID</t>
  </si>
  <si>
    <t>Type</t>
  </si>
  <si>
    <t>Layer</t>
  </si>
  <si>
    <t>RequireCycle</t>
  </si>
  <si>
    <t>MapName</t>
  </si>
  <si>
    <t>MonsterName</t>
  </si>
  <si>
    <t>Attr</t>
  </si>
  <si>
    <t>Def</t>
  </si>
  <si>
    <t>HP</t>
  </si>
  <si>
    <t>Strong</t>
  </si>
  <si>
    <t>Parray</t>
  </si>
  <si>
    <t>DamageMul</t>
  </si>
  <si>
    <t>DamageIncrea</t>
  </si>
  <si>
    <t>DamageResist</t>
  </si>
  <si>
    <t>CritRateResist</t>
  </si>
  <si>
    <t>CritDamage</t>
  </si>
  <si>
    <t>ResotrePercent</t>
  </si>
  <si>
    <t>Miss</t>
  </si>
  <si>
    <t>Accuracy</t>
  </si>
  <si>
    <t>Protect</t>
  </si>
  <si>
    <t>Speed</t>
  </si>
  <si>
    <t>SkillIdList</t>
  </si>
  <si>
    <t>Id</t>
  </si>
  <si>
    <t>int</t>
  </si>
  <si>
    <t>string</t>
  </si>
  <si>
    <t>double</t>
  </si>
  <si>
    <t>int[]</t>
  </si>
  <si>
    <t>炼体一层</t>
  </si>
  <si>
    <t>幻境魔物</t>
  </si>
  <si>
    <t>1E+15</t>
  </si>
  <si>
    <t>5E+16</t>
  </si>
  <si>
    <t>9E+23</t>
  </si>
  <si>
    <t>1002,3001,1008</t>
  </si>
  <si>
    <t>炼体二层</t>
  </si>
  <si>
    <t>1E+17</t>
  </si>
  <si>
    <t>5E+19</t>
  </si>
  <si>
    <t>9E+27</t>
  </si>
  <si>
    <t>1001,1004,1007</t>
  </si>
  <si>
    <t>炼体三层</t>
  </si>
  <si>
    <t>1E+19</t>
  </si>
  <si>
    <t>5E+22</t>
  </si>
  <si>
    <t>9E+31</t>
  </si>
  <si>
    <t>2002,2007,2008,2009</t>
  </si>
  <si>
    <t>炼体四层</t>
  </si>
  <si>
    <t>1E+21</t>
  </si>
  <si>
    <t>5E+25</t>
  </si>
  <si>
    <t>9E+35</t>
  </si>
  <si>
    <t>1002,2009,2007,1009</t>
  </si>
  <si>
    <t>炼体五层</t>
  </si>
  <si>
    <t>1E+23</t>
  </si>
  <si>
    <t>5E+28</t>
  </si>
  <si>
    <t>9E+39</t>
  </si>
  <si>
    <t>1004,2009,2007,2002,1001</t>
  </si>
  <si>
    <t>炼体六层</t>
  </si>
  <si>
    <t>1E+25</t>
  </si>
  <si>
    <t>5E+31</t>
  </si>
  <si>
    <t>9E+43</t>
  </si>
  <si>
    <t>炼体七层</t>
  </si>
  <si>
    <t>1E+27</t>
  </si>
  <si>
    <t>5E+34</t>
  </si>
  <si>
    <t>9E+47</t>
  </si>
  <si>
    <t>炼体八层</t>
  </si>
  <si>
    <t>1E+29</t>
  </si>
  <si>
    <t>5E+37</t>
  </si>
  <si>
    <t>9E+51</t>
  </si>
  <si>
    <t>炼体九层</t>
  </si>
  <si>
    <t>1E+31</t>
  </si>
  <si>
    <t>5E+40</t>
  </si>
  <si>
    <t>9E+55</t>
  </si>
  <si>
    <t>炼体十层</t>
  </si>
  <si>
    <t>1E+33</t>
  </si>
  <si>
    <t>5E+43</t>
  </si>
  <si>
    <t>9E+59</t>
  </si>
  <si>
    <t>炼体十一层</t>
  </si>
  <si>
    <t>1E+35</t>
  </si>
  <si>
    <t>5E+46</t>
  </si>
  <si>
    <t>9E+63</t>
  </si>
  <si>
    <t>炼体十二层</t>
  </si>
  <si>
    <t>1E+37</t>
  </si>
  <si>
    <t>5E+49</t>
  </si>
  <si>
    <t>9E+67</t>
  </si>
  <si>
    <t>炼体十三层</t>
  </si>
  <si>
    <t>1E+39</t>
  </si>
  <si>
    <t>5E+52</t>
  </si>
  <si>
    <t>9E+71</t>
  </si>
  <si>
    <t>炼体十四层</t>
  </si>
  <si>
    <t>1E+41</t>
  </si>
  <si>
    <t>5E+55</t>
  </si>
  <si>
    <t>9E+75</t>
  </si>
  <si>
    <t>炼体十五层</t>
  </si>
  <si>
    <t>1000正</t>
  </si>
  <si>
    <t>500河</t>
  </si>
  <si>
    <t>9000那</t>
  </si>
  <si>
    <t>炼体十六层</t>
  </si>
  <si>
    <t>9999载</t>
  </si>
  <si>
    <t>9999沙</t>
  </si>
  <si>
    <t>9999由</t>
  </si>
  <si>
    <t>炼体十七层</t>
  </si>
  <si>
    <t>9999极</t>
  </si>
  <si>
    <t>9999阿</t>
  </si>
  <si>
    <t>9999他</t>
  </si>
  <si>
    <t>炼体十八层</t>
  </si>
  <si>
    <t>9999恒</t>
  </si>
  <si>
    <t>9999僧</t>
  </si>
  <si>
    <t>9999不</t>
  </si>
  <si>
    <t>炼体十九层</t>
  </si>
  <si>
    <t>9999河</t>
  </si>
  <si>
    <t>9999祇</t>
  </si>
  <si>
    <t>9999可</t>
  </si>
  <si>
    <t>炼体二十层</t>
  </si>
  <si>
    <t>9999那</t>
  </si>
  <si>
    <t>9999思</t>
  </si>
  <si>
    <t>练气一层</t>
  </si>
  <si>
    <t>炼气魔物</t>
  </si>
  <si>
    <t>9E+50</t>
  </si>
  <si>
    <t>9E+40</t>
  </si>
  <si>
    <t>9E+80</t>
  </si>
  <si>
    <t>1E+8</t>
  </si>
  <si>
    <t>1E+18</t>
  </si>
  <si>
    <t>1004,2002,2003,2007,2009</t>
  </si>
  <si>
    <t>练气二层</t>
  </si>
  <si>
    <t>9E+54</t>
  </si>
  <si>
    <t>9E+45</t>
  </si>
  <si>
    <t>9E+85</t>
  </si>
  <si>
    <t>1E+12</t>
  </si>
  <si>
    <t>1E+22</t>
  </si>
  <si>
    <t>练气三层</t>
  </si>
  <si>
    <t>9E+58</t>
  </si>
  <si>
    <t>9E+90</t>
  </si>
  <si>
    <t>1E+26</t>
  </si>
  <si>
    <t>练气四层</t>
  </si>
  <si>
    <t>9E+62</t>
  </si>
  <si>
    <t>9E+95</t>
  </si>
  <si>
    <t>练气五层</t>
  </si>
  <si>
    <t>9E+66</t>
  </si>
  <si>
    <t>9E+60</t>
  </si>
  <si>
    <t>9E+100</t>
  </si>
  <si>
    <t>1E+36</t>
  </si>
  <si>
    <t>练气六层</t>
  </si>
  <si>
    <t>9E+70</t>
  </si>
  <si>
    <t>9E+65</t>
  </si>
  <si>
    <t>9E+105</t>
  </si>
  <si>
    <t>1E+42</t>
  </si>
  <si>
    <t>练气七层</t>
  </si>
  <si>
    <t>9E+74</t>
  </si>
  <si>
    <t>9E+110</t>
  </si>
  <si>
    <t>1E+48</t>
  </si>
  <si>
    <t>练气八层</t>
  </si>
  <si>
    <t>9E+78</t>
  </si>
  <si>
    <t>9E+115</t>
  </si>
  <si>
    <t>1E+46</t>
  </si>
  <si>
    <t>1E+53</t>
  </si>
  <si>
    <t>练气九层</t>
  </si>
  <si>
    <t>9E+82</t>
  </si>
  <si>
    <t>9E+120</t>
  </si>
  <si>
    <t>1E+60</t>
  </si>
  <si>
    <t>练气十层</t>
  </si>
  <si>
    <t>9E+86</t>
  </si>
  <si>
    <t>9E+125</t>
  </si>
  <si>
    <t>1E+68</t>
  </si>
  <si>
    <t>练气十一层</t>
  </si>
  <si>
    <t>9E+135</t>
  </si>
  <si>
    <t>1E+50</t>
  </si>
  <si>
    <t>1E+20</t>
  </si>
  <si>
    <t>1E+78</t>
  </si>
  <si>
    <t>练气十二层</t>
  </si>
  <si>
    <t>9E+96</t>
  </si>
  <si>
    <t>9E+145</t>
  </si>
  <si>
    <t>1E+52</t>
  </si>
  <si>
    <t>1E+88</t>
  </si>
  <si>
    <t>练气十三层</t>
  </si>
  <si>
    <t>9E+106</t>
  </si>
  <si>
    <t>9E+91</t>
  </si>
  <si>
    <t>9E+155</t>
  </si>
  <si>
    <t>1E+54</t>
  </si>
  <si>
    <t>1E+30</t>
  </si>
  <si>
    <t>1E+98</t>
  </si>
  <si>
    <t>练气十四层</t>
  </si>
  <si>
    <t>9E+116</t>
  </si>
  <si>
    <t>9E+92</t>
  </si>
  <si>
    <t>9E+165</t>
  </si>
  <si>
    <t>1E+56</t>
  </si>
  <si>
    <t>1E+108</t>
  </si>
  <si>
    <t>练气十五层</t>
  </si>
  <si>
    <t>9E+126</t>
  </si>
  <si>
    <t>9E+93</t>
  </si>
  <si>
    <t>9E+175</t>
  </si>
  <si>
    <t>1E+58</t>
  </si>
  <si>
    <t>1E+40</t>
  </si>
  <si>
    <t>1E+118</t>
  </si>
  <si>
    <t>练气十六层</t>
  </si>
  <si>
    <t>9E+136</t>
  </si>
  <si>
    <t>9E+94</t>
  </si>
  <si>
    <t>9E+185</t>
  </si>
  <si>
    <t>1E+45</t>
  </si>
  <si>
    <t>1E+128</t>
  </si>
  <si>
    <t>练气十七层</t>
  </si>
  <si>
    <t>9E+146</t>
  </si>
  <si>
    <t>9E+195</t>
  </si>
  <si>
    <t>1E+62</t>
  </si>
  <si>
    <t>1E+138</t>
  </si>
  <si>
    <t>练气十八层</t>
  </si>
  <si>
    <t>9E+156</t>
  </si>
  <si>
    <t>9E+205</t>
  </si>
  <si>
    <t>1E+64</t>
  </si>
  <si>
    <t>1E+55</t>
  </si>
  <si>
    <t>1E+148</t>
  </si>
  <si>
    <t>练气十九层</t>
  </si>
  <si>
    <t>9E+166</t>
  </si>
  <si>
    <t>9E+97</t>
  </si>
  <si>
    <t>9E+215</t>
  </si>
  <si>
    <t>1E+66</t>
  </si>
  <si>
    <t>1E+158</t>
  </si>
  <si>
    <t>练气二十层</t>
  </si>
  <si>
    <t>9E+176</t>
  </si>
  <si>
    <t>9E+98</t>
  </si>
  <si>
    <t>9E+225</t>
  </si>
  <si>
    <t>1E+65</t>
  </si>
  <si>
    <t>1E+168</t>
  </si>
  <si>
    <t>炼神一层</t>
  </si>
  <si>
    <t>炼神魔物</t>
  </si>
  <si>
    <t>9E+150</t>
  </si>
  <si>
    <t>1004,2002,2003,2007,2009,2012,1012</t>
  </si>
  <si>
    <t>炼神二层</t>
  </si>
  <si>
    <t>9E+160</t>
  </si>
  <si>
    <t>炼神三层</t>
  </si>
  <si>
    <t>9E+170</t>
  </si>
  <si>
    <t>炼神四层</t>
  </si>
  <si>
    <t>9E+130</t>
  </si>
  <si>
    <t>9E+180</t>
  </si>
  <si>
    <t>炼神五层</t>
  </si>
  <si>
    <t>9E+140</t>
  </si>
  <si>
    <t>9E+190</t>
  </si>
  <si>
    <t>炼神六层</t>
  </si>
  <si>
    <t>9E+200</t>
  </si>
  <si>
    <t>炼神七层</t>
  </si>
  <si>
    <t>9E+210</t>
  </si>
  <si>
    <t>1E+70</t>
  </si>
  <si>
    <t>炼神八层</t>
  </si>
  <si>
    <t>9E+220</t>
  </si>
  <si>
    <t>1E+75</t>
  </si>
  <si>
    <t>炼神九层</t>
  </si>
  <si>
    <t>9E+230</t>
  </si>
  <si>
    <t>1E+80</t>
  </si>
  <si>
    <t>炼神十层</t>
  </si>
  <si>
    <t>9E+240</t>
  </si>
  <si>
    <t>1E+85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</si>
</sst>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0_ "/>
  </numFmts>
  <fonts count="23">
    <font>
      <sz val="11"/>
      <color theme="1"/>
      <name val="等线"/>
      <charset val="134"/>
      <scheme val="minor"/>
    </font>
    <font>
      <sz val="9"/>
      <color theme="1"/>
      <name val="等线"/>
      <charset val="134"/>
    </font>
    <font>
      <b/>
      <sz val="9"/>
      <color theme="1"/>
      <name val="等线"/>
      <charset val="134"/>
    </font>
    <font>
      <sz val="9"/>
      <name val="等线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0" fillId="3" borderId="1" applyNumberFormat="0" applyFont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2" applyNumberFormat="0" applyFill="0" applyAlignment="0" applyProtection="0">
      <alignment vertical="center"/>
    </xf>
    <xf numFmtId="0" fontId="11" fillId="0" borderId="3" applyNumberFormat="0" applyFill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4" borderId="4" applyNumberFormat="0" applyAlignment="0" applyProtection="0">
      <alignment vertical="center"/>
    </xf>
    <xf numFmtId="0" fontId="13" fillId="5" borderId="5" applyNumberFormat="0" applyAlignment="0" applyProtection="0">
      <alignment vertical="center"/>
    </xf>
    <xf numFmtId="0" fontId="14" fillId="5" borderId="4" applyNumberFormat="0" applyAlignment="0" applyProtection="0">
      <alignment vertical="center"/>
    </xf>
    <xf numFmtId="0" fontId="15" fillId="6" borderId="6" applyNumberFormat="0" applyAlignment="0" applyProtection="0">
      <alignment vertical="center"/>
    </xf>
    <xf numFmtId="0" fontId="16" fillId="0" borderId="7" applyNumberFormat="0" applyFill="0" applyAlignment="0" applyProtection="0">
      <alignment vertical="center"/>
    </xf>
    <xf numFmtId="0" fontId="17" fillId="0" borderId="8" applyNumberFormat="0" applyFill="0" applyAlignment="0" applyProtection="0">
      <alignment vertical="center"/>
    </xf>
    <xf numFmtId="0" fontId="18" fillId="7" borderId="0" applyNumberFormat="0" applyBorder="0" applyAlignment="0" applyProtection="0">
      <alignment vertical="center"/>
    </xf>
    <xf numFmtId="0" fontId="19" fillId="8" borderId="0" applyNumberFormat="0" applyBorder="0" applyAlignment="0" applyProtection="0">
      <alignment vertical="center"/>
    </xf>
    <xf numFmtId="0" fontId="20" fillId="9" borderId="0" applyNumberFormat="0" applyBorder="0" applyAlignment="0" applyProtection="0">
      <alignment vertical="center"/>
    </xf>
    <xf numFmtId="0" fontId="21" fillId="10" borderId="0" applyNumberFormat="0" applyBorder="0" applyAlignment="0" applyProtection="0">
      <alignment vertical="center"/>
    </xf>
    <xf numFmtId="0" fontId="22" fillId="11" borderId="0" applyNumberFormat="0" applyBorder="0" applyAlignment="0" applyProtection="0">
      <alignment vertical="center"/>
    </xf>
    <xf numFmtId="0" fontId="22" fillId="12" borderId="0" applyNumberFormat="0" applyBorder="0" applyAlignment="0" applyProtection="0">
      <alignment vertical="center"/>
    </xf>
    <xf numFmtId="0" fontId="21" fillId="13" borderId="0" applyNumberFormat="0" applyBorder="0" applyAlignment="0" applyProtection="0">
      <alignment vertical="center"/>
    </xf>
    <xf numFmtId="0" fontId="21" fillId="14" borderId="0" applyNumberFormat="0" applyBorder="0" applyAlignment="0" applyProtection="0">
      <alignment vertical="center"/>
    </xf>
    <xf numFmtId="0" fontId="22" fillId="15" borderId="0" applyNumberFormat="0" applyBorder="0" applyAlignment="0" applyProtection="0">
      <alignment vertical="center"/>
    </xf>
    <xf numFmtId="0" fontId="22" fillId="16" borderId="0" applyNumberFormat="0" applyBorder="0" applyAlignment="0" applyProtection="0">
      <alignment vertical="center"/>
    </xf>
    <xf numFmtId="0" fontId="21" fillId="17" borderId="0" applyNumberFormat="0" applyBorder="0" applyAlignment="0" applyProtection="0">
      <alignment vertical="center"/>
    </xf>
    <xf numFmtId="0" fontId="21" fillId="18" borderId="0" applyNumberFormat="0" applyBorder="0" applyAlignment="0" applyProtection="0">
      <alignment vertical="center"/>
    </xf>
    <xf numFmtId="0" fontId="22" fillId="19" borderId="0" applyNumberFormat="0" applyBorder="0" applyAlignment="0" applyProtection="0">
      <alignment vertical="center"/>
    </xf>
    <xf numFmtId="0" fontId="22" fillId="20" borderId="0" applyNumberFormat="0" applyBorder="0" applyAlignment="0" applyProtection="0">
      <alignment vertical="center"/>
    </xf>
    <xf numFmtId="0" fontId="21" fillId="21" borderId="0" applyNumberFormat="0" applyBorder="0" applyAlignment="0" applyProtection="0">
      <alignment vertical="center"/>
    </xf>
    <xf numFmtId="0" fontId="21" fillId="22" borderId="0" applyNumberFormat="0" applyBorder="0" applyAlignment="0" applyProtection="0">
      <alignment vertical="center"/>
    </xf>
    <xf numFmtId="0" fontId="22" fillId="23" borderId="0" applyNumberFormat="0" applyBorder="0" applyAlignment="0" applyProtection="0">
      <alignment vertical="center"/>
    </xf>
    <xf numFmtId="0" fontId="22" fillId="24" borderId="0" applyNumberFormat="0" applyBorder="0" applyAlignment="0" applyProtection="0">
      <alignment vertical="center"/>
    </xf>
    <xf numFmtId="0" fontId="21" fillId="25" borderId="0" applyNumberFormat="0" applyBorder="0" applyAlignment="0" applyProtection="0">
      <alignment vertical="center"/>
    </xf>
    <xf numFmtId="0" fontId="21" fillId="26" borderId="0" applyNumberFormat="0" applyBorder="0" applyAlignment="0" applyProtection="0">
      <alignment vertical="center"/>
    </xf>
    <xf numFmtId="0" fontId="22" fillId="27" borderId="0" applyNumberFormat="0" applyBorder="0" applyAlignment="0" applyProtection="0">
      <alignment vertical="center"/>
    </xf>
    <xf numFmtId="0" fontId="22" fillId="28" borderId="0" applyNumberFormat="0" applyBorder="0" applyAlignment="0" applyProtection="0">
      <alignment vertical="center"/>
    </xf>
    <xf numFmtId="0" fontId="21" fillId="29" borderId="0" applyNumberFormat="0" applyBorder="0" applyAlignment="0" applyProtection="0">
      <alignment vertical="center"/>
    </xf>
    <xf numFmtId="0" fontId="21" fillId="30" borderId="0" applyNumberFormat="0" applyBorder="0" applyAlignment="0" applyProtection="0">
      <alignment vertical="center"/>
    </xf>
    <xf numFmtId="0" fontId="22" fillId="31" borderId="0" applyNumberFormat="0" applyBorder="0" applyAlignment="0" applyProtection="0">
      <alignment vertical="center"/>
    </xf>
    <xf numFmtId="0" fontId="22" fillId="32" borderId="0" applyNumberFormat="0" applyBorder="0" applyAlignment="0" applyProtection="0">
      <alignment vertical="center"/>
    </xf>
    <xf numFmtId="0" fontId="21" fillId="33" borderId="0" applyNumberFormat="0" applyBorder="0" applyAlignment="0" applyProtection="0">
      <alignment vertical="center"/>
    </xf>
  </cellStyleXfs>
  <cellXfs count="17">
    <xf numFmtId="0" fontId="0" fillId="0" borderId="0" xfId="0"/>
    <xf numFmtId="0" fontId="1" fillId="0" borderId="0" xfId="0" applyFont="1"/>
    <xf numFmtId="0" fontId="1" fillId="0" borderId="0" xfId="0" applyNumberFormat="1" applyFont="1" applyFill="1"/>
    <xf numFmtId="0" fontId="1" fillId="0" borderId="0" xfId="0" applyNumberFormat="1" applyFont="1"/>
    <xf numFmtId="176" fontId="1" fillId="0" borderId="0" xfId="0" applyNumberFormat="1" applyFont="1" applyAlignment="1">
      <alignment horizontal="left"/>
    </xf>
    <xf numFmtId="0" fontId="1" fillId="0" borderId="0" xfId="0" applyNumberFormat="1" applyFont="1" applyAlignment="1">
      <alignment horizontal="left"/>
    </xf>
    <xf numFmtId="0" fontId="2" fillId="2" borderId="0" xfId="0" applyFont="1" applyFill="1" applyAlignment="1">
      <alignment horizontal="center"/>
    </xf>
    <xf numFmtId="0" fontId="1" fillId="0" borderId="0" xfId="0" applyFont="1" applyFill="1"/>
    <xf numFmtId="176" fontId="1" fillId="0" borderId="0" xfId="0" applyNumberFormat="1" applyFont="1"/>
    <xf numFmtId="176" fontId="2" fillId="2" borderId="0" xfId="0" applyNumberFormat="1" applyFont="1" applyFill="1" applyAlignment="1">
      <alignment horizontal="center"/>
    </xf>
    <xf numFmtId="176" fontId="1" fillId="0" borderId="0" xfId="0" applyNumberFormat="1" applyFont="1" applyFill="1" applyAlignment="1">
      <alignment horizontal="left"/>
    </xf>
    <xf numFmtId="0" fontId="1" fillId="0" borderId="0" xfId="0" applyNumberFormat="1" applyFont="1" applyFill="1" applyAlignment="1">
      <alignment horizontal="left"/>
    </xf>
    <xf numFmtId="0" fontId="3" fillId="0" borderId="0" xfId="0" applyNumberFormat="1" applyFont="1" applyFill="1"/>
    <xf numFmtId="0" fontId="2" fillId="2" borderId="0" xfId="0" applyNumberFormat="1" applyFont="1" applyFill="1" applyAlignment="1">
      <alignment horizontal="center"/>
    </xf>
    <xf numFmtId="0" fontId="1" fillId="2" borderId="0" xfId="0" applyNumberFormat="1" applyFont="1" applyFill="1"/>
    <xf numFmtId="3" fontId="1" fillId="0" borderId="0" xfId="0" applyNumberFormat="1" applyFont="1" applyFill="1"/>
    <xf numFmtId="0" fontId="0" fillId="0" borderId="0" xfId="0" applyFill="1"/>
    <xf numFmtId="176" fontId="1" fillId="0" borderId="0" xfId="0" applyNumberFormat="1" applyFont="1" applyFill="1" applyAlignment="1" quotePrefix="1">
      <alignment horizontal="left"/>
    </xf>
    <xf numFmtId="0" fontId="1" fillId="0" borderId="0" xfId="0" applyNumberFormat="1" applyFont="1" applyFill="1" quotePrefix="1"/>
    <xf numFmtId="3" fontId="1" fillId="0" borderId="0" xfId="0" applyNumberFormat="1" applyFont="1" applyFill="1" quotePrefix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Y68"/>
  <sheetViews>
    <sheetView tabSelected="1" workbookViewId="0">
      <pane ySplit="5" topLeftCell="A15" activePane="bottomLeft" state="frozen"/>
      <selection/>
      <selection pane="bottomLeft" activeCell="S76" sqref="S76"/>
    </sheetView>
  </sheetViews>
  <sheetFormatPr defaultColWidth="9" defaultRowHeight="14" customHeight="1"/>
  <cols>
    <col min="1" max="1" width="4.125" style="3" customWidth="1"/>
    <col min="2" max="2" width="4.875" style="3" customWidth="1"/>
    <col min="3" max="6" width="9.875" style="1" customWidth="1"/>
    <col min="7" max="7" width="12.475" style="1" customWidth="1"/>
    <col min="8" max="8" width="16.25" style="1" customWidth="1"/>
    <col min="9" max="9" width="15.9166666666667" style="4" customWidth="1"/>
    <col min="10" max="10" width="12.55" style="4" customWidth="1"/>
    <col min="11" max="11" width="18.525" style="4" customWidth="1"/>
    <col min="12" max="13" width="9.625" style="3" customWidth="1"/>
    <col min="14" max="14" width="11.6916666666667" style="5" customWidth="1"/>
    <col min="15" max="15" width="12.625" style="3" customWidth="1"/>
    <col min="16" max="17" width="12.5083333333333" style="3" customWidth="1"/>
    <col min="18" max="18" width="8" style="3" customWidth="1"/>
    <col min="19" max="19" width="12.5083333333333" style="3" customWidth="1"/>
    <col min="20" max="20" width="11.0166666666667" style="3" customWidth="1"/>
    <col min="21" max="21" width="10.425" style="3" customWidth="1"/>
    <col min="22" max="23" width="9.625" style="3" customWidth="1"/>
    <col min="24" max="24" width="28.4833333333333" style="3" customWidth="1"/>
    <col min="26" max="16384" width="9" style="3"/>
  </cols>
  <sheetData>
    <row r="1" s="1" customFormat="1" customHeight="1" spans="1:24">
      <c r="A1" s="3"/>
      <c r="B1" s="3"/>
      <c r="I1" s="8"/>
      <c r="J1" s="8"/>
      <c r="K1" s="8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</row>
    <row r="2" s="1" customFormat="1" customHeight="1" spans="1:24">
      <c r="A2" s="3"/>
      <c r="B2" s="3"/>
      <c r="I2" s="8"/>
      <c r="J2" s="8"/>
      <c r="K2" s="8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</row>
    <row r="3" s="1" customFormat="1" customHeight="1" spans="1:24">
      <c r="A3" s="3"/>
      <c r="B3" s="3"/>
      <c r="C3" s="6" t="s">
        <v>0</v>
      </c>
      <c r="D3" s="6" t="s">
        <v>1</v>
      </c>
      <c r="E3" s="6" t="s">
        <v>2</v>
      </c>
      <c r="F3" s="6" t="s">
        <v>3</v>
      </c>
      <c r="G3" s="6" t="s">
        <v>4</v>
      </c>
      <c r="H3" s="6" t="s">
        <v>5</v>
      </c>
      <c r="I3" s="9" t="s">
        <v>6</v>
      </c>
      <c r="J3" s="9" t="s">
        <v>7</v>
      </c>
      <c r="K3" s="9" t="s">
        <v>8</v>
      </c>
      <c r="L3" s="6" t="s">
        <v>9</v>
      </c>
      <c r="M3" s="6" t="s">
        <v>10</v>
      </c>
      <c r="N3" s="6" t="s">
        <v>11</v>
      </c>
      <c r="O3" s="6" t="s">
        <v>12</v>
      </c>
      <c r="P3" s="6" t="s">
        <v>13</v>
      </c>
      <c r="Q3" s="6" t="s">
        <v>14</v>
      </c>
      <c r="R3" s="6" t="s">
        <v>15</v>
      </c>
      <c r="S3" s="6" t="s">
        <v>16</v>
      </c>
      <c r="T3" s="6" t="s">
        <v>17</v>
      </c>
      <c r="U3" s="6" t="s">
        <v>18</v>
      </c>
      <c r="V3" s="6" t="s">
        <v>19</v>
      </c>
      <c r="W3" s="6" t="s">
        <v>20</v>
      </c>
      <c r="X3" s="13" t="s">
        <v>21</v>
      </c>
    </row>
    <row r="4" s="1" customFormat="1" customHeight="1" spans="1:24">
      <c r="A4" s="3"/>
      <c r="B4" s="3"/>
      <c r="C4" s="6" t="s">
        <v>22</v>
      </c>
      <c r="D4" s="6" t="s">
        <v>1</v>
      </c>
      <c r="E4" s="6" t="s">
        <v>2</v>
      </c>
      <c r="F4" s="6" t="s">
        <v>3</v>
      </c>
      <c r="G4" s="6" t="s">
        <v>4</v>
      </c>
      <c r="H4" s="6" t="s">
        <v>5</v>
      </c>
      <c r="I4" s="9" t="s">
        <v>6</v>
      </c>
      <c r="J4" s="9" t="s">
        <v>7</v>
      </c>
      <c r="K4" s="9" t="s">
        <v>8</v>
      </c>
      <c r="L4" s="6" t="s">
        <v>9</v>
      </c>
      <c r="M4" s="6" t="s">
        <v>10</v>
      </c>
      <c r="N4" s="6" t="s">
        <v>11</v>
      </c>
      <c r="O4" s="6" t="s">
        <v>12</v>
      </c>
      <c r="P4" s="6" t="s">
        <v>13</v>
      </c>
      <c r="Q4" s="6" t="s">
        <v>14</v>
      </c>
      <c r="R4" s="6" t="s">
        <v>15</v>
      </c>
      <c r="S4" s="6" t="s">
        <v>16</v>
      </c>
      <c r="T4" s="6" t="s">
        <v>17</v>
      </c>
      <c r="U4" s="6" t="s">
        <v>18</v>
      </c>
      <c r="V4" s="6" t="s">
        <v>19</v>
      </c>
      <c r="W4" s="6" t="s">
        <v>20</v>
      </c>
      <c r="X4" s="13" t="s">
        <v>21</v>
      </c>
    </row>
    <row r="5" s="1" customFormat="1" customHeight="1" spans="1:24">
      <c r="A5" s="3"/>
      <c r="B5" s="3"/>
      <c r="C5" s="6" t="s">
        <v>23</v>
      </c>
      <c r="D5" s="6" t="s">
        <v>23</v>
      </c>
      <c r="E5" s="6" t="s">
        <v>23</v>
      </c>
      <c r="F5" s="6" t="s">
        <v>23</v>
      </c>
      <c r="G5" s="6" t="s">
        <v>24</v>
      </c>
      <c r="H5" s="6" t="s">
        <v>24</v>
      </c>
      <c r="I5" s="9" t="s">
        <v>24</v>
      </c>
      <c r="J5" s="9" t="s">
        <v>24</v>
      </c>
      <c r="K5" s="9" t="s">
        <v>24</v>
      </c>
      <c r="L5" s="9" t="s">
        <v>24</v>
      </c>
      <c r="M5" s="9" t="s">
        <v>24</v>
      </c>
      <c r="N5" s="6" t="s">
        <v>24</v>
      </c>
      <c r="O5" s="6" t="s">
        <v>23</v>
      </c>
      <c r="P5" s="6" t="s">
        <v>23</v>
      </c>
      <c r="Q5" s="6" t="s">
        <v>23</v>
      </c>
      <c r="R5" s="6" t="s">
        <v>23</v>
      </c>
      <c r="S5" s="6" t="s">
        <v>23</v>
      </c>
      <c r="T5" s="6" t="s">
        <v>23</v>
      </c>
      <c r="U5" s="6" t="s">
        <v>23</v>
      </c>
      <c r="V5" s="6" t="s">
        <v>23</v>
      </c>
      <c r="W5" s="6" t="s">
        <v>25</v>
      </c>
      <c r="X5" s="13" t="s">
        <v>26</v>
      </c>
    </row>
    <row r="6" customHeight="1" spans="3:24">
      <c r="C6" s="1">
        <v>1</v>
      </c>
      <c r="D6" s="1">
        <v>1</v>
      </c>
      <c r="E6" s="1">
        <v>1</v>
      </c>
      <c r="F6" s="1">
        <v>1</v>
      </c>
      <c r="G6" s="1" t="s">
        <v>27</v>
      </c>
      <c r="H6" s="1" t="s">
        <v>28</v>
      </c>
      <c r="I6" s="17" t="s">
        <v>29</v>
      </c>
      <c r="J6" s="17" t="s">
        <v>30</v>
      </c>
      <c r="K6" s="17" t="s">
        <v>31</v>
      </c>
      <c r="L6" s="2">
        <v>0</v>
      </c>
      <c r="M6" s="2"/>
      <c r="N6" s="11">
        <v>0</v>
      </c>
      <c r="O6" s="2">
        <v>500</v>
      </c>
      <c r="P6" s="2">
        <v>500</v>
      </c>
      <c r="Q6" s="2">
        <v>1500</v>
      </c>
      <c r="R6" s="2">
        <v>0</v>
      </c>
      <c r="S6" s="2">
        <v>20</v>
      </c>
      <c r="T6" s="2">
        <v>30</v>
      </c>
      <c r="U6" s="2">
        <v>0</v>
      </c>
      <c r="V6" s="2">
        <v>0</v>
      </c>
      <c r="W6" s="2">
        <v>0</v>
      </c>
      <c r="X6" s="18" t="s">
        <v>32</v>
      </c>
    </row>
    <row r="7" customHeight="1" spans="3:24">
      <c r="C7" s="1">
        <v>2</v>
      </c>
      <c r="D7" s="1">
        <v>1</v>
      </c>
      <c r="E7" s="1">
        <v>2</v>
      </c>
      <c r="F7" s="1">
        <v>2</v>
      </c>
      <c r="G7" s="1" t="s">
        <v>33</v>
      </c>
      <c r="H7" s="1" t="s">
        <v>28</v>
      </c>
      <c r="I7" s="17" t="s">
        <v>34</v>
      </c>
      <c r="J7" s="17" t="s">
        <v>35</v>
      </c>
      <c r="K7" s="17" t="s">
        <v>36</v>
      </c>
      <c r="L7" s="2">
        <v>0</v>
      </c>
      <c r="M7" s="2"/>
      <c r="N7" s="11">
        <v>0</v>
      </c>
      <c r="O7" s="2">
        <f t="shared" ref="O7:O17" si="0">O6+200</f>
        <v>700</v>
      </c>
      <c r="P7" s="2">
        <f t="shared" ref="P7:P17" si="1">P6+200</f>
        <v>700</v>
      </c>
      <c r="Q7" s="2">
        <f t="shared" ref="Q7:Q25" si="2">Q6+200</f>
        <v>1700</v>
      </c>
      <c r="R7" s="2">
        <v>0</v>
      </c>
      <c r="S7" s="2">
        <f t="shared" ref="S7:S25" si="3">S6+2</f>
        <v>22</v>
      </c>
      <c r="T7" s="2">
        <f t="shared" ref="T7:T12" si="4">T6+5</f>
        <v>35</v>
      </c>
      <c r="U7" s="2">
        <v>0</v>
      </c>
      <c r="V7" s="2">
        <v>0</v>
      </c>
      <c r="W7" s="2">
        <v>0</v>
      </c>
      <c r="X7" s="18" t="s">
        <v>37</v>
      </c>
    </row>
    <row r="8" customHeight="1" spans="3:24">
      <c r="C8" s="1">
        <v>3</v>
      </c>
      <c r="D8" s="1">
        <v>1</v>
      </c>
      <c r="E8" s="1">
        <v>3</v>
      </c>
      <c r="F8" s="1">
        <v>3</v>
      </c>
      <c r="G8" s="1" t="s">
        <v>38</v>
      </c>
      <c r="H8" s="1" t="s">
        <v>28</v>
      </c>
      <c r="I8" s="17" t="s">
        <v>39</v>
      </c>
      <c r="J8" s="17" t="s">
        <v>40</v>
      </c>
      <c r="K8" s="17" t="s">
        <v>41</v>
      </c>
      <c r="L8" s="2">
        <v>0</v>
      </c>
      <c r="M8" s="2"/>
      <c r="N8" s="11">
        <v>0</v>
      </c>
      <c r="O8" s="2">
        <f t="shared" si="0"/>
        <v>900</v>
      </c>
      <c r="P8" s="2">
        <f t="shared" si="1"/>
        <v>900</v>
      </c>
      <c r="Q8" s="2">
        <f t="shared" si="2"/>
        <v>1900</v>
      </c>
      <c r="R8" s="2">
        <v>0</v>
      </c>
      <c r="S8" s="2">
        <f t="shared" si="3"/>
        <v>24</v>
      </c>
      <c r="T8" s="2">
        <f t="shared" si="4"/>
        <v>40</v>
      </c>
      <c r="U8" s="2">
        <v>0</v>
      </c>
      <c r="V8" s="2">
        <v>0</v>
      </c>
      <c r="W8" s="2">
        <v>0</v>
      </c>
      <c r="X8" s="18" t="s">
        <v>42</v>
      </c>
    </row>
    <row r="9" customHeight="1" spans="3:24">
      <c r="C9" s="1">
        <v>4</v>
      </c>
      <c r="D9" s="1">
        <v>1</v>
      </c>
      <c r="E9" s="1">
        <v>4</v>
      </c>
      <c r="F9" s="1">
        <v>4</v>
      </c>
      <c r="G9" s="1" t="s">
        <v>43</v>
      </c>
      <c r="H9" s="1" t="s">
        <v>28</v>
      </c>
      <c r="I9" s="17" t="s">
        <v>44</v>
      </c>
      <c r="J9" s="17" t="s">
        <v>45</v>
      </c>
      <c r="K9" s="17" t="s">
        <v>46</v>
      </c>
      <c r="L9" s="2">
        <v>0</v>
      </c>
      <c r="M9" s="2"/>
      <c r="N9" s="11">
        <v>0</v>
      </c>
      <c r="O9" s="2">
        <f t="shared" si="0"/>
        <v>1100</v>
      </c>
      <c r="P9" s="2">
        <f t="shared" si="1"/>
        <v>1100</v>
      </c>
      <c r="Q9" s="2">
        <f t="shared" si="2"/>
        <v>2100</v>
      </c>
      <c r="R9" s="2">
        <v>0</v>
      </c>
      <c r="S9" s="2">
        <f t="shared" si="3"/>
        <v>26</v>
      </c>
      <c r="T9" s="2">
        <f t="shared" si="4"/>
        <v>45</v>
      </c>
      <c r="U9" s="2">
        <v>0</v>
      </c>
      <c r="V9" s="2">
        <v>0</v>
      </c>
      <c r="W9" s="2">
        <v>0</v>
      </c>
      <c r="X9" s="18" t="s">
        <v>47</v>
      </c>
    </row>
    <row r="10" customHeight="1" spans="3:24">
      <c r="C10" s="1">
        <v>5</v>
      </c>
      <c r="D10" s="1">
        <v>1</v>
      </c>
      <c r="E10" s="1">
        <v>5</v>
      </c>
      <c r="F10" s="1">
        <v>5</v>
      </c>
      <c r="G10" s="1" t="s">
        <v>48</v>
      </c>
      <c r="H10" s="1" t="s">
        <v>28</v>
      </c>
      <c r="I10" s="17" t="s">
        <v>49</v>
      </c>
      <c r="J10" s="17" t="s">
        <v>50</v>
      </c>
      <c r="K10" s="17" t="s">
        <v>51</v>
      </c>
      <c r="L10" s="2">
        <v>0</v>
      </c>
      <c r="M10" s="2"/>
      <c r="N10" s="11">
        <v>0</v>
      </c>
      <c r="O10" s="2">
        <f t="shared" si="0"/>
        <v>1300</v>
      </c>
      <c r="P10" s="2">
        <f t="shared" si="1"/>
        <v>1300</v>
      </c>
      <c r="Q10" s="2">
        <f t="shared" si="2"/>
        <v>2300</v>
      </c>
      <c r="R10" s="2">
        <v>0</v>
      </c>
      <c r="S10" s="2">
        <f t="shared" si="3"/>
        <v>28</v>
      </c>
      <c r="T10" s="2">
        <f t="shared" si="4"/>
        <v>50</v>
      </c>
      <c r="U10" s="2">
        <v>0</v>
      </c>
      <c r="V10" s="2">
        <v>0</v>
      </c>
      <c r="W10" s="2">
        <v>0</v>
      </c>
      <c r="X10" s="18" t="s">
        <v>52</v>
      </c>
    </row>
    <row r="11" customHeight="1" spans="3:24">
      <c r="C11" s="1">
        <v>6</v>
      </c>
      <c r="D11" s="1">
        <v>1</v>
      </c>
      <c r="E11" s="1">
        <v>6</v>
      </c>
      <c r="F11" s="1">
        <v>6</v>
      </c>
      <c r="G11" s="1" t="s">
        <v>53</v>
      </c>
      <c r="H11" s="1" t="s">
        <v>28</v>
      </c>
      <c r="I11" s="17" t="s">
        <v>54</v>
      </c>
      <c r="J11" s="17" t="s">
        <v>55</v>
      </c>
      <c r="K11" s="17" t="s">
        <v>56</v>
      </c>
      <c r="L11" s="2">
        <v>0</v>
      </c>
      <c r="M11" s="2"/>
      <c r="N11" s="11">
        <v>0</v>
      </c>
      <c r="O11" s="2">
        <f t="shared" si="0"/>
        <v>1500</v>
      </c>
      <c r="P11" s="2">
        <f t="shared" si="1"/>
        <v>1500</v>
      </c>
      <c r="Q11" s="2">
        <f t="shared" si="2"/>
        <v>2500</v>
      </c>
      <c r="R11" s="2">
        <v>0</v>
      </c>
      <c r="S11" s="2">
        <f t="shared" si="3"/>
        <v>30</v>
      </c>
      <c r="T11" s="2">
        <f t="shared" si="4"/>
        <v>55</v>
      </c>
      <c r="U11" s="2">
        <v>0</v>
      </c>
      <c r="V11" s="2">
        <v>0</v>
      </c>
      <c r="W11" s="2">
        <v>0</v>
      </c>
      <c r="X11" s="14"/>
    </row>
    <row r="12" customHeight="1" spans="3:24">
      <c r="C12" s="1">
        <v>7</v>
      </c>
      <c r="D12" s="1">
        <v>1</v>
      </c>
      <c r="E12" s="1">
        <v>7</v>
      </c>
      <c r="F12" s="1">
        <v>7</v>
      </c>
      <c r="G12" s="1" t="s">
        <v>57</v>
      </c>
      <c r="H12" s="1" t="s">
        <v>28</v>
      </c>
      <c r="I12" s="17" t="s">
        <v>58</v>
      </c>
      <c r="J12" s="17" t="s">
        <v>59</v>
      </c>
      <c r="K12" s="17" t="s">
        <v>60</v>
      </c>
      <c r="L12" s="2">
        <v>0</v>
      </c>
      <c r="M12" s="2"/>
      <c r="N12" s="11">
        <v>0</v>
      </c>
      <c r="O12" s="2">
        <f t="shared" si="0"/>
        <v>1700</v>
      </c>
      <c r="P12" s="2">
        <f t="shared" si="1"/>
        <v>1700</v>
      </c>
      <c r="Q12" s="2">
        <f t="shared" si="2"/>
        <v>2700</v>
      </c>
      <c r="R12" s="2">
        <v>0</v>
      </c>
      <c r="S12" s="2">
        <f t="shared" si="3"/>
        <v>32</v>
      </c>
      <c r="T12" s="2">
        <f t="shared" si="4"/>
        <v>60</v>
      </c>
      <c r="U12" s="2">
        <v>0</v>
      </c>
      <c r="V12" s="2">
        <v>0</v>
      </c>
      <c r="W12" s="2">
        <v>0</v>
      </c>
      <c r="X12" s="18" t="s">
        <v>32</v>
      </c>
    </row>
    <row r="13" customHeight="1" spans="3:24">
      <c r="C13" s="1">
        <v>8</v>
      </c>
      <c r="D13" s="1">
        <v>1</v>
      </c>
      <c r="E13" s="1">
        <v>8</v>
      </c>
      <c r="F13" s="1">
        <v>8</v>
      </c>
      <c r="G13" s="1" t="s">
        <v>61</v>
      </c>
      <c r="H13" s="1" t="s">
        <v>28</v>
      </c>
      <c r="I13" s="17" t="s">
        <v>62</v>
      </c>
      <c r="J13" s="17" t="s">
        <v>63</v>
      </c>
      <c r="K13" s="17" t="s">
        <v>64</v>
      </c>
      <c r="L13" s="2">
        <v>0</v>
      </c>
      <c r="M13" s="2"/>
      <c r="N13" s="11">
        <v>0</v>
      </c>
      <c r="O13" s="2">
        <f t="shared" si="0"/>
        <v>1900</v>
      </c>
      <c r="P13" s="2">
        <f t="shared" si="1"/>
        <v>1900</v>
      </c>
      <c r="Q13" s="2">
        <f t="shared" si="2"/>
        <v>2900</v>
      </c>
      <c r="R13" s="2">
        <v>0</v>
      </c>
      <c r="S13" s="2">
        <f t="shared" si="3"/>
        <v>34</v>
      </c>
      <c r="T13" s="2">
        <f t="shared" ref="T13:T17" si="5">T12+10</f>
        <v>70</v>
      </c>
      <c r="U13" s="2">
        <v>0</v>
      </c>
      <c r="V13" s="2">
        <v>0</v>
      </c>
      <c r="W13" s="2">
        <v>0</v>
      </c>
      <c r="X13" s="18" t="s">
        <v>37</v>
      </c>
    </row>
    <row r="14" customHeight="1" spans="3:24">
      <c r="C14" s="1">
        <v>9</v>
      </c>
      <c r="D14" s="1">
        <v>1</v>
      </c>
      <c r="E14" s="1">
        <v>9</v>
      </c>
      <c r="F14" s="1">
        <v>9</v>
      </c>
      <c r="G14" s="1" t="s">
        <v>65</v>
      </c>
      <c r="H14" s="1" t="s">
        <v>28</v>
      </c>
      <c r="I14" s="17" t="s">
        <v>66</v>
      </c>
      <c r="J14" s="17" t="s">
        <v>67</v>
      </c>
      <c r="K14" s="17" t="s">
        <v>68</v>
      </c>
      <c r="L14" s="2">
        <v>0</v>
      </c>
      <c r="M14" s="2"/>
      <c r="N14" s="11">
        <v>0</v>
      </c>
      <c r="O14" s="2">
        <f t="shared" si="0"/>
        <v>2100</v>
      </c>
      <c r="P14" s="2">
        <f t="shared" si="1"/>
        <v>2100</v>
      </c>
      <c r="Q14" s="2">
        <f t="shared" si="2"/>
        <v>3100</v>
      </c>
      <c r="R14" s="2">
        <v>0</v>
      </c>
      <c r="S14" s="2">
        <f t="shared" si="3"/>
        <v>36</v>
      </c>
      <c r="T14" s="2">
        <f t="shared" si="5"/>
        <v>80</v>
      </c>
      <c r="U14" s="2">
        <v>0</v>
      </c>
      <c r="V14" s="2">
        <v>0</v>
      </c>
      <c r="W14" s="2">
        <v>0</v>
      </c>
      <c r="X14" s="18" t="s">
        <v>42</v>
      </c>
    </row>
    <row r="15" customHeight="1" spans="3:23">
      <c r="C15" s="1">
        <v>10</v>
      </c>
      <c r="D15" s="1">
        <v>1</v>
      </c>
      <c r="E15" s="1">
        <v>10</v>
      </c>
      <c r="F15" s="1">
        <v>10</v>
      </c>
      <c r="G15" s="1" t="s">
        <v>69</v>
      </c>
      <c r="H15" s="1" t="s">
        <v>28</v>
      </c>
      <c r="I15" s="17" t="s">
        <v>70</v>
      </c>
      <c r="J15" s="17" t="s">
        <v>71</v>
      </c>
      <c r="K15" s="17" t="s">
        <v>72</v>
      </c>
      <c r="L15" s="2">
        <v>0</v>
      </c>
      <c r="M15" s="2"/>
      <c r="N15" s="11">
        <v>0</v>
      </c>
      <c r="O15" s="2">
        <f t="shared" si="0"/>
        <v>2300</v>
      </c>
      <c r="P15" s="2">
        <f t="shared" si="1"/>
        <v>2300</v>
      </c>
      <c r="Q15" s="2">
        <f t="shared" si="2"/>
        <v>3300</v>
      </c>
      <c r="R15" s="2">
        <v>0</v>
      </c>
      <c r="S15" s="2">
        <f t="shared" si="3"/>
        <v>38</v>
      </c>
      <c r="T15" s="2">
        <f t="shared" si="5"/>
        <v>90</v>
      </c>
      <c r="U15" s="2">
        <v>0</v>
      </c>
      <c r="V15" s="2">
        <v>0</v>
      </c>
      <c r="W15" s="2">
        <v>0</v>
      </c>
    </row>
    <row r="16" customHeight="1" spans="3:23">
      <c r="C16" s="1">
        <v>11</v>
      </c>
      <c r="D16" s="1">
        <v>1</v>
      </c>
      <c r="E16" s="1">
        <v>11</v>
      </c>
      <c r="F16" s="1">
        <v>11</v>
      </c>
      <c r="G16" s="1" t="s">
        <v>73</v>
      </c>
      <c r="H16" s="1" t="s">
        <v>28</v>
      </c>
      <c r="I16" s="17" t="s">
        <v>74</v>
      </c>
      <c r="J16" s="17" t="s">
        <v>75</v>
      </c>
      <c r="K16" s="17" t="s">
        <v>76</v>
      </c>
      <c r="L16" s="2">
        <v>0</v>
      </c>
      <c r="M16" s="2"/>
      <c r="N16" s="11">
        <v>0</v>
      </c>
      <c r="O16" s="2">
        <f t="shared" ref="O16:O25" si="6">O15+400</f>
        <v>2700</v>
      </c>
      <c r="P16" s="2">
        <f t="shared" ref="P16:P25" si="7">P15+400</f>
        <v>2700</v>
      </c>
      <c r="Q16" s="2">
        <f t="shared" si="2"/>
        <v>3500</v>
      </c>
      <c r="R16" s="2">
        <v>0</v>
      </c>
      <c r="S16" s="2">
        <f t="shared" si="3"/>
        <v>40</v>
      </c>
      <c r="T16" s="2">
        <f t="shared" ref="T16:T25" si="8">T15+15</f>
        <v>105</v>
      </c>
      <c r="U16" s="2">
        <v>0</v>
      </c>
      <c r="V16" s="2">
        <v>0</v>
      </c>
      <c r="W16" s="2">
        <v>0</v>
      </c>
    </row>
    <row r="17" customHeight="1" spans="3:23">
      <c r="C17" s="1">
        <v>12</v>
      </c>
      <c r="D17" s="1">
        <v>1</v>
      </c>
      <c r="E17" s="1">
        <v>12</v>
      </c>
      <c r="F17" s="1">
        <v>12</v>
      </c>
      <c r="G17" s="1" t="s">
        <v>77</v>
      </c>
      <c r="H17" s="1" t="s">
        <v>28</v>
      </c>
      <c r="I17" s="17" t="s">
        <v>78</v>
      </c>
      <c r="J17" s="17" t="s">
        <v>79</v>
      </c>
      <c r="K17" s="17" t="s">
        <v>80</v>
      </c>
      <c r="L17" s="2">
        <v>0</v>
      </c>
      <c r="M17" s="2"/>
      <c r="N17" s="11">
        <v>0</v>
      </c>
      <c r="O17" s="2">
        <f t="shared" si="6"/>
        <v>3100</v>
      </c>
      <c r="P17" s="2">
        <f t="shared" si="7"/>
        <v>3100</v>
      </c>
      <c r="Q17" s="2">
        <f t="shared" si="2"/>
        <v>3700</v>
      </c>
      <c r="R17" s="2">
        <v>0</v>
      </c>
      <c r="S17" s="2">
        <f t="shared" si="3"/>
        <v>42</v>
      </c>
      <c r="T17" s="2">
        <f t="shared" si="8"/>
        <v>120</v>
      </c>
      <c r="U17" s="2">
        <v>0</v>
      </c>
      <c r="V17" s="2">
        <v>0</v>
      </c>
      <c r="W17" s="2">
        <v>0</v>
      </c>
    </row>
    <row r="18" customHeight="1" spans="3:23">
      <c r="C18" s="1">
        <v>13</v>
      </c>
      <c r="D18" s="1">
        <v>1</v>
      </c>
      <c r="E18" s="1">
        <v>13</v>
      </c>
      <c r="F18" s="1">
        <v>13</v>
      </c>
      <c r="G18" s="1" t="s">
        <v>81</v>
      </c>
      <c r="H18" s="1" t="s">
        <v>28</v>
      </c>
      <c r="I18" s="17" t="s">
        <v>82</v>
      </c>
      <c r="J18" s="17" t="s">
        <v>83</v>
      </c>
      <c r="K18" s="17" t="s">
        <v>84</v>
      </c>
      <c r="L18" s="2">
        <v>0</v>
      </c>
      <c r="M18" s="2"/>
      <c r="N18" s="11">
        <v>0</v>
      </c>
      <c r="O18" s="2">
        <f t="shared" si="6"/>
        <v>3500</v>
      </c>
      <c r="P18" s="2">
        <f t="shared" si="7"/>
        <v>3500</v>
      </c>
      <c r="Q18" s="2">
        <f t="shared" si="2"/>
        <v>3900</v>
      </c>
      <c r="R18" s="2">
        <v>0</v>
      </c>
      <c r="S18" s="2">
        <f t="shared" si="3"/>
        <v>44</v>
      </c>
      <c r="T18" s="2">
        <f t="shared" si="8"/>
        <v>135</v>
      </c>
      <c r="U18" s="2">
        <v>0</v>
      </c>
      <c r="V18" s="2">
        <v>0</v>
      </c>
      <c r="W18" s="2">
        <v>0</v>
      </c>
    </row>
    <row r="19" customHeight="1" spans="3:23">
      <c r="C19" s="1">
        <v>14</v>
      </c>
      <c r="D19" s="1">
        <v>1</v>
      </c>
      <c r="E19" s="1">
        <v>14</v>
      </c>
      <c r="F19" s="1">
        <v>14</v>
      </c>
      <c r="G19" s="1" t="s">
        <v>85</v>
      </c>
      <c r="H19" s="1" t="s">
        <v>28</v>
      </c>
      <c r="I19" s="17" t="s">
        <v>86</v>
      </c>
      <c r="J19" s="17" t="s">
        <v>87</v>
      </c>
      <c r="K19" s="17" t="s">
        <v>88</v>
      </c>
      <c r="L19" s="2">
        <v>0</v>
      </c>
      <c r="M19" s="2"/>
      <c r="N19" s="11">
        <v>0</v>
      </c>
      <c r="O19" s="2">
        <f t="shared" si="6"/>
        <v>3900</v>
      </c>
      <c r="P19" s="2">
        <f t="shared" si="7"/>
        <v>3900</v>
      </c>
      <c r="Q19" s="2">
        <f t="shared" si="2"/>
        <v>4100</v>
      </c>
      <c r="R19" s="2">
        <v>0</v>
      </c>
      <c r="S19" s="2">
        <f t="shared" si="3"/>
        <v>46</v>
      </c>
      <c r="T19" s="2">
        <f t="shared" si="8"/>
        <v>150</v>
      </c>
      <c r="U19" s="2">
        <v>0</v>
      </c>
      <c r="V19" s="2">
        <v>0</v>
      </c>
      <c r="W19" s="2">
        <v>0</v>
      </c>
    </row>
    <row r="20" customHeight="1" spans="3:23">
      <c r="C20" s="1">
        <v>15</v>
      </c>
      <c r="D20" s="1">
        <v>1</v>
      </c>
      <c r="E20" s="1">
        <v>15</v>
      </c>
      <c r="F20" s="1">
        <v>15</v>
      </c>
      <c r="G20" s="1" t="s">
        <v>89</v>
      </c>
      <c r="H20" s="1" t="s">
        <v>28</v>
      </c>
      <c r="I20" s="10" t="s">
        <v>90</v>
      </c>
      <c r="J20" s="10" t="s">
        <v>91</v>
      </c>
      <c r="K20" s="10" t="s">
        <v>92</v>
      </c>
      <c r="L20" s="2">
        <v>0</v>
      </c>
      <c r="M20" s="2"/>
      <c r="N20" s="11">
        <v>0</v>
      </c>
      <c r="O20" s="2">
        <f t="shared" si="6"/>
        <v>4300</v>
      </c>
      <c r="P20" s="2">
        <f t="shared" si="7"/>
        <v>4300</v>
      </c>
      <c r="Q20" s="2">
        <f t="shared" si="2"/>
        <v>4300</v>
      </c>
      <c r="R20" s="2">
        <v>0</v>
      </c>
      <c r="S20" s="2">
        <f t="shared" si="3"/>
        <v>48</v>
      </c>
      <c r="T20" s="2">
        <f t="shared" si="8"/>
        <v>165</v>
      </c>
      <c r="U20" s="2">
        <v>0</v>
      </c>
      <c r="V20" s="2">
        <v>0</v>
      </c>
      <c r="W20" s="2">
        <v>0</v>
      </c>
    </row>
    <row r="21" customHeight="1" spans="3:23">
      <c r="C21" s="1">
        <v>16</v>
      </c>
      <c r="D21" s="1">
        <v>1</v>
      </c>
      <c r="E21" s="1">
        <v>16</v>
      </c>
      <c r="F21" s="1">
        <v>16</v>
      </c>
      <c r="G21" s="1" t="s">
        <v>93</v>
      </c>
      <c r="H21" s="1" t="s">
        <v>28</v>
      </c>
      <c r="I21" s="10" t="s">
        <v>94</v>
      </c>
      <c r="J21" s="10" t="s">
        <v>95</v>
      </c>
      <c r="K21" s="10" t="s">
        <v>96</v>
      </c>
      <c r="L21" s="2">
        <v>0</v>
      </c>
      <c r="M21" s="2"/>
      <c r="N21" s="11">
        <v>0</v>
      </c>
      <c r="O21" s="2">
        <f t="shared" ref="O21:O25" si="9">O20+800</f>
        <v>5100</v>
      </c>
      <c r="P21" s="2">
        <f t="shared" ref="P21:P25" si="10">P20+800</f>
        <v>5100</v>
      </c>
      <c r="Q21" s="2">
        <f t="shared" ref="Q21:Q26" si="11">Q20+400</f>
        <v>4700</v>
      </c>
      <c r="R21" s="2">
        <v>0</v>
      </c>
      <c r="S21" s="2">
        <f t="shared" si="3"/>
        <v>50</v>
      </c>
      <c r="T21" s="2">
        <f t="shared" ref="T21:T25" si="12">T20+25</f>
        <v>190</v>
      </c>
      <c r="U21" s="2">
        <v>0</v>
      </c>
      <c r="V21" s="2">
        <v>10</v>
      </c>
      <c r="W21" s="2">
        <v>0</v>
      </c>
    </row>
    <row r="22" customHeight="1" spans="3:23">
      <c r="C22" s="1">
        <v>17</v>
      </c>
      <c r="D22" s="1">
        <v>1</v>
      </c>
      <c r="E22" s="1">
        <v>17</v>
      </c>
      <c r="F22" s="1">
        <v>17</v>
      </c>
      <c r="G22" s="1" t="s">
        <v>97</v>
      </c>
      <c r="H22" s="1" t="s">
        <v>28</v>
      </c>
      <c r="I22" s="10" t="s">
        <v>98</v>
      </c>
      <c r="J22" s="10" t="s">
        <v>99</v>
      </c>
      <c r="K22" s="10" t="s">
        <v>100</v>
      </c>
      <c r="L22" s="2">
        <v>0</v>
      </c>
      <c r="M22" s="2"/>
      <c r="N22" s="11">
        <v>0</v>
      </c>
      <c r="O22" s="2">
        <f t="shared" si="9"/>
        <v>5900</v>
      </c>
      <c r="P22" s="2">
        <f t="shared" si="10"/>
        <v>5900</v>
      </c>
      <c r="Q22" s="2">
        <f t="shared" si="11"/>
        <v>5100</v>
      </c>
      <c r="R22" s="2">
        <v>0</v>
      </c>
      <c r="S22" s="2">
        <f t="shared" si="3"/>
        <v>52</v>
      </c>
      <c r="T22" s="2">
        <f t="shared" si="12"/>
        <v>215</v>
      </c>
      <c r="U22" s="2">
        <v>0</v>
      </c>
      <c r="V22" s="2">
        <v>20</v>
      </c>
      <c r="W22" s="2">
        <v>0</v>
      </c>
    </row>
    <row r="23" customHeight="1" spans="3:23">
      <c r="C23" s="1">
        <v>18</v>
      </c>
      <c r="D23" s="1">
        <v>1</v>
      </c>
      <c r="E23" s="1">
        <v>18</v>
      </c>
      <c r="F23" s="1">
        <v>18</v>
      </c>
      <c r="G23" s="1" t="s">
        <v>101</v>
      </c>
      <c r="H23" s="1" t="s">
        <v>28</v>
      </c>
      <c r="I23" s="10" t="s">
        <v>102</v>
      </c>
      <c r="J23" s="10" t="s">
        <v>103</v>
      </c>
      <c r="K23" s="10" t="s">
        <v>104</v>
      </c>
      <c r="L23" s="2">
        <v>0</v>
      </c>
      <c r="M23" s="2"/>
      <c r="N23" s="11">
        <v>0</v>
      </c>
      <c r="O23" s="2">
        <f t="shared" si="9"/>
        <v>6700</v>
      </c>
      <c r="P23" s="2">
        <f t="shared" si="10"/>
        <v>6700</v>
      </c>
      <c r="Q23" s="2">
        <f t="shared" si="11"/>
        <v>5500</v>
      </c>
      <c r="R23" s="2">
        <v>0</v>
      </c>
      <c r="S23" s="2">
        <f t="shared" si="3"/>
        <v>54</v>
      </c>
      <c r="T23" s="2">
        <f t="shared" si="12"/>
        <v>240</v>
      </c>
      <c r="U23" s="2">
        <v>0</v>
      </c>
      <c r="V23" s="2">
        <v>30</v>
      </c>
      <c r="W23" s="2">
        <v>0</v>
      </c>
    </row>
    <row r="24" customHeight="1" spans="3:23">
      <c r="C24" s="1">
        <v>19</v>
      </c>
      <c r="D24" s="1">
        <v>1</v>
      </c>
      <c r="E24" s="1">
        <v>19</v>
      </c>
      <c r="F24" s="1">
        <v>19</v>
      </c>
      <c r="G24" s="1" t="s">
        <v>105</v>
      </c>
      <c r="H24" s="1" t="s">
        <v>28</v>
      </c>
      <c r="I24" s="10" t="s">
        <v>106</v>
      </c>
      <c r="J24" s="10" t="s">
        <v>107</v>
      </c>
      <c r="K24" s="10" t="s">
        <v>108</v>
      </c>
      <c r="L24" s="2">
        <v>0</v>
      </c>
      <c r="M24" s="2"/>
      <c r="N24" s="11">
        <v>0</v>
      </c>
      <c r="O24" s="2">
        <f t="shared" si="9"/>
        <v>7500</v>
      </c>
      <c r="P24" s="2">
        <f t="shared" si="10"/>
        <v>7500</v>
      </c>
      <c r="Q24" s="2">
        <f t="shared" si="11"/>
        <v>5900</v>
      </c>
      <c r="R24" s="2">
        <v>0</v>
      </c>
      <c r="S24" s="2">
        <f t="shared" si="3"/>
        <v>56</v>
      </c>
      <c r="T24" s="2">
        <f t="shared" si="12"/>
        <v>265</v>
      </c>
      <c r="U24" s="2">
        <v>0</v>
      </c>
      <c r="V24" s="2">
        <v>40</v>
      </c>
      <c r="W24" s="2">
        <v>0</v>
      </c>
    </row>
    <row r="25" customHeight="1" spans="3:23">
      <c r="C25" s="1">
        <v>20</v>
      </c>
      <c r="D25" s="1">
        <v>1</v>
      </c>
      <c r="E25" s="1">
        <v>20</v>
      </c>
      <c r="F25" s="1">
        <v>20</v>
      </c>
      <c r="G25" s="1" t="s">
        <v>109</v>
      </c>
      <c r="H25" s="1" t="s">
        <v>28</v>
      </c>
      <c r="I25" s="10" t="s">
        <v>95</v>
      </c>
      <c r="J25" s="10" t="s">
        <v>110</v>
      </c>
      <c r="K25" s="10" t="s">
        <v>111</v>
      </c>
      <c r="L25" s="2">
        <v>0</v>
      </c>
      <c r="M25" s="2"/>
      <c r="N25" s="11">
        <v>0</v>
      </c>
      <c r="O25" s="2">
        <f t="shared" si="9"/>
        <v>8300</v>
      </c>
      <c r="P25" s="2">
        <f t="shared" si="10"/>
        <v>8300</v>
      </c>
      <c r="Q25" s="2">
        <f t="shared" si="11"/>
        <v>6300</v>
      </c>
      <c r="R25" s="2">
        <v>0</v>
      </c>
      <c r="S25" s="2">
        <f t="shared" si="3"/>
        <v>58</v>
      </c>
      <c r="T25" s="2">
        <f t="shared" si="12"/>
        <v>290</v>
      </c>
      <c r="U25" s="2">
        <v>0</v>
      </c>
      <c r="V25" s="2">
        <v>50</v>
      </c>
      <c r="W25" s="2">
        <v>0</v>
      </c>
    </row>
    <row r="26" customHeight="1" spans="9:18">
      <c r="I26" s="10"/>
      <c r="N26" s="11"/>
      <c r="Q26" s="2"/>
      <c r="R26" s="12"/>
    </row>
    <row r="27" customHeight="1" spans="9:18">
      <c r="I27" s="10"/>
      <c r="J27" s="10"/>
      <c r="N27" s="11"/>
      <c r="R27" s="2"/>
    </row>
    <row r="28" customHeight="1" spans="9:18">
      <c r="I28" s="10"/>
      <c r="J28" s="10"/>
      <c r="N28" s="11"/>
      <c r="R28" s="2"/>
    </row>
    <row r="29" customHeight="1" spans="9:18">
      <c r="I29" s="10"/>
      <c r="J29" s="10"/>
      <c r="N29" s="11"/>
      <c r="R29" s="2"/>
    </row>
    <row r="30" customHeight="1" spans="10:18">
      <c r="J30" s="10"/>
      <c r="N30" s="11"/>
      <c r="R30" s="2"/>
    </row>
    <row r="31" customHeight="1" spans="10:18">
      <c r="J31" s="10"/>
      <c r="N31" s="11"/>
      <c r="R31" s="2"/>
    </row>
    <row r="32" customHeight="1" spans="10:18">
      <c r="J32" s="10"/>
      <c r="N32" s="11"/>
      <c r="R32" s="2"/>
    </row>
    <row r="33" s="2" customFormat="1" customHeight="1" spans="3:25">
      <c r="C33" s="7">
        <v>101</v>
      </c>
      <c r="D33" s="7">
        <v>2</v>
      </c>
      <c r="E33" s="7">
        <v>1</v>
      </c>
      <c r="F33" s="7">
        <v>10</v>
      </c>
      <c r="G33" s="7" t="s">
        <v>112</v>
      </c>
      <c r="H33" s="7" t="s">
        <v>113</v>
      </c>
      <c r="I33" s="17" t="s">
        <v>114</v>
      </c>
      <c r="J33" s="17" t="s">
        <v>115</v>
      </c>
      <c r="K33" s="17" t="s">
        <v>116</v>
      </c>
      <c r="L33" s="18" t="s">
        <v>117</v>
      </c>
      <c r="M33" s="2"/>
      <c r="N33" s="18" t="s">
        <v>118</v>
      </c>
      <c r="O33" s="12">
        <v>10000</v>
      </c>
      <c r="P33" s="12">
        <v>10000</v>
      </c>
      <c r="Q33" s="12">
        <v>10000</v>
      </c>
      <c r="R33" s="12">
        <v>10000</v>
      </c>
      <c r="S33" s="2">
        <v>0</v>
      </c>
      <c r="T33" s="12">
        <v>150</v>
      </c>
      <c r="U33" s="2">
        <v>150</v>
      </c>
      <c r="V33" s="2">
        <v>99</v>
      </c>
      <c r="W33" s="2">
        <v>100</v>
      </c>
      <c r="X33" s="19" t="s">
        <v>119</v>
      </c>
      <c r="Y33" s="16"/>
    </row>
    <row r="34" s="2" customFormat="1" customHeight="1" spans="3:25">
      <c r="C34" s="7">
        <v>102</v>
      </c>
      <c r="D34" s="7">
        <v>2</v>
      </c>
      <c r="E34" s="7">
        <v>2</v>
      </c>
      <c r="F34" s="7">
        <v>11</v>
      </c>
      <c r="G34" s="7" t="s">
        <v>120</v>
      </c>
      <c r="H34" s="7" t="s">
        <v>113</v>
      </c>
      <c r="I34" s="17" t="s">
        <v>121</v>
      </c>
      <c r="J34" s="17" t="s">
        <v>122</v>
      </c>
      <c r="K34" s="17" t="s">
        <v>123</v>
      </c>
      <c r="L34" s="18" t="s">
        <v>124</v>
      </c>
      <c r="M34" s="2"/>
      <c r="N34" s="18" t="s">
        <v>125</v>
      </c>
      <c r="O34" s="12">
        <f t="shared" ref="O33:O52" si="13">O33+1000</f>
        <v>11000</v>
      </c>
      <c r="P34" s="12">
        <f t="shared" ref="P33:P52" si="14">P33+1000</f>
        <v>11000</v>
      </c>
      <c r="Q34" s="12">
        <f t="shared" ref="Q34:Q52" si="15">Q33+2000</f>
        <v>12000</v>
      </c>
      <c r="R34" s="2">
        <f t="shared" ref="R34:R52" si="16">R33+2000</f>
        <v>12000</v>
      </c>
      <c r="S34" s="2">
        <v>0</v>
      </c>
      <c r="T34" s="2">
        <f t="shared" ref="T34:T52" si="17">T33+20</f>
        <v>170</v>
      </c>
      <c r="U34" s="2">
        <f t="shared" ref="U34:U52" si="18">U33+30</f>
        <v>180</v>
      </c>
      <c r="V34" s="2">
        <v>99</v>
      </c>
      <c r="W34" s="2">
        <v>100</v>
      </c>
      <c r="X34" s="19" t="s">
        <v>119</v>
      </c>
      <c r="Y34" s="16"/>
    </row>
    <row r="35" s="2" customFormat="1" customHeight="1" spans="3:25">
      <c r="C35" s="7">
        <v>103</v>
      </c>
      <c r="D35" s="7">
        <v>2</v>
      </c>
      <c r="E35" s="7">
        <v>3</v>
      </c>
      <c r="F35" s="7">
        <v>12</v>
      </c>
      <c r="G35" s="7" t="s">
        <v>126</v>
      </c>
      <c r="H35" s="7" t="s">
        <v>113</v>
      </c>
      <c r="I35" s="17" t="s">
        <v>127</v>
      </c>
      <c r="J35" s="17" t="s">
        <v>114</v>
      </c>
      <c r="K35" s="17" t="s">
        <v>128</v>
      </c>
      <c r="L35" s="18" t="s">
        <v>34</v>
      </c>
      <c r="M35" s="2"/>
      <c r="N35" s="18" t="s">
        <v>129</v>
      </c>
      <c r="O35" s="12">
        <f t="shared" si="13"/>
        <v>12000</v>
      </c>
      <c r="P35" s="12">
        <f t="shared" si="14"/>
        <v>12000</v>
      </c>
      <c r="Q35" s="12">
        <f t="shared" si="15"/>
        <v>14000</v>
      </c>
      <c r="R35" s="2">
        <f t="shared" si="16"/>
        <v>14000</v>
      </c>
      <c r="S35" s="2">
        <v>0</v>
      </c>
      <c r="T35" s="2">
        <f t="shared" si="17"/>
        <v>190</v>
      </c>
      <c r="U35" s="2">
        <f t="shared" si="18"/>
        <v>210</v>
      </c>
      <c r="V35" s="2">
        <v>99</v>
      </c>
      <c r="W35" s="2">
        <v>100</v>
      </c>
      <c r="X35" s="19" t="s">
        <v>119</v>
      </c>
      <c r="Y35" s="16"/>
    </row>
    <row r="36" s="2" customFormat="1" customHeight="1" spans="3:25">
      <c r="C36" s="7">
        <v>104</v>
      </c>
      <c r="D36" s="7">
        <v>2</v>
      </c>
      <c r="E36" s="7">
        <v>4</v>
      </c>
      <c r="F36" s="7">
        <v>13</v>
      </c>
      <c r="G36" s="7" t="s">
        <v>130</v>
      </c>
      <c r="H36" s="7" t="s">
        <v>113</v>
      </c>
      <c r="I36" s="17" t="s">
        <v>131</v>
      </c>
      <c r="J36" s="17" t="s">
        <v>68</v>
      </c>
      <c r="K36" s="17" t="s">
        <v>132</v>
      </c>
      <c r="L36" s="18" t="s">
        <v>125</v>
      </c>
      <c r="M36" s="2"/>
      <c r="N36" s="18" t="s">
        <v>66</v>
      </c>
      <c r="O36" s="12">
        <f t="shared" si="13"/>
        <v>13000</v>
      </c>
      <c r="P36" s="12">
        <f t="shared" si="14"/>
        <v>13000</v>
      </c>
      <c r="Q36" s="12">
        <f t="shared" si="15"/>
        <v>16000</v>
      </c>
      <c r="R36" s="2">
        <f t="shared" si="16"/>
        <v>16000</v>
      </c>
      <c r="S36" s="2">
        <v>0</v>
      </c>
      <c r="T36" s="2">
        <f t="shared" si="17"/>
        <v>210</v>
      </c>
      <c r="U36" s="2">
        <f t="shared" si="18"/>
        <v>240</v>
      </c>
      <c r="V36" s="2">
        <v>99</v>
      </c>
      <c r="W36" s="2">
        <v>100</v>
      </c>
      <c r="X36" s="19" t="s">
        <v>119</v>
      </c>
      <c r="Y36" s="16"/>
    </row>
    <row r="37" s="2" customFormat="1" customHeight="1" spans="3:25">
      <c r="C37" s="7">
        <v>105</v>
      </c>
      <c r="D37" s="7">
        <v>2</v>
      </c>
      <c r="E37" s="7">
        <v>5</v>
      </c>
      <c r="F37" s="7">
        <v>14</v>
      </c>
      <c r="G37" s="7" t="s">
        <v>133</v>
      </c>
      <c r="H37" s="7" t="s">
        <v>113</v>
      </c>
      <c r="I37" s="17" t="s">
        <v>134</v>
      </c>
      <c r="J37" s="17" t="s">
        <v>135</v>
      </c>
      <c r="K37" s="17" t="s">
        <v>136</v>
      </c>
      <c r="L37" s="18" t="s">
        <v>58</v>
      </c>
      <c r="M37" s="2"/>
      <c r="N37" s="18" t="s">
        <v>137</v>
      </c>
      <c r="O37" s="12">
        <f t="shared" si="13"/>
        <v>14000</v>
      </c>
      <c r="P37" s="12">
        <f t="shared" si="14"/>
        <v>14000</v>
      </c>
      <c r="Q37" s="12">
        <f t="shared" si="15"/>
        <v>18000</v>
      </c>
      <c r="R37" s="2">
        <f t="shared" si="16"/>
        <v>18000</v>
      </c>
      <c r="S37" s="2">
        <v>0</v>
      </c>
      <c r="T37" s="2">
        <f t="shared" si="17"/>
        <v>230</v>
      </c>
      <c r="U37" s="2">
        <f t="shared" si="18"/>
        <v>270</v>
      </c>
      <c r="V37" s="2">
        <v>99</v>
      </c>
      <c r="W37" s="2">
        <v>100</v>
      </c>
      <c r="X37" s="19" t="s">
        <v>119</v>
      </c>
      <c r="Y37" s="16"/>
    </row>
    <row r="38" s="2" customFormat="1" customHeight="1" spans="3:25">
      <c r="C38" s="7">
        <v>106</v>
      </c>
      <c r="D38" s="7">
        <v>2</v>
      </c>
      <c r="E38" s="7">
        <v>6</v>
      </c>
      <c r="F38" s="7">
        <v>15</v>
      </c>
      <c r="G38" s="7" t="s">
        <v>138</v>
      </c>
      <c r="H38" s="7" t="s">
        <v>113</v>
      </c>
      <c r="I38" s="17" t="s">
        <v>139</v>
      </c>
      <c r="J38" s="17" t="s">
        <v>140</v>
      </c>
      <c r="K38" s="17" t="s">
        <v>141</v>
      </c>
      <c r="L38" s="18" t="s">
        <v>70</v>
      </c>
      <c r="M38" s="2"/>
      <c r="N38" s="18" t="s">
        <v>142</v>
      </c>
      <c r="O38" s="12">
        <f t="shared" si="13"/>
        <v>15000</v>
      </c>
      <c r="P38" s="12">
        <f t="shared" si="14"/>
        <v>15000</v>
      </c>
      <c r="Q38" s="12">
        <f t="shared" si="15"/>
        <v>20000</v>
      </c>
      <c r="R38" s="2">
        <f t="shared" si="16"/>
        <v>20000</v>
      </c>
      <c r="S38" s="2">
        <v>0</v>
      </c>
      <c r="T38" s="2">
        <f t="shared" si="17"/>
        <v>250</v>
      </c>
      <c r="U38" s="2">
        <f t="shared" si="18"/>
        <v>300</v>
      </c>
      <c r="V38" s="2">
        <v>99</v>
      </c>
      <c r="W38" s="2">
        <v>100</v>
      </c>
      <c r="X38" s="19" t="s">
        <v>119</v>
      </c>
      <c r="Y38" s="16"/>
    </row>
    <row r="39" s="2" customFormat="1" customHeight="1" spans="3:25">
      <c r="C39" s="7">
        <v>107</v>
      </c>
      <c r="D39" s="7">
        <v>2</v>
      </c>
      <c r="E39" s="7">
        <v>7</v>
      </c>
      <c r="F39" s="7">
        <v>16</v>
      </c>
      <c r="G39" s="7" t="s">
        <v>143</v>
      </c>
      <c r="H39" s="7" t="s">
        <v>113</v>
      </c>
      <c r="I39" s="17" t="s">
        <v>144</v>
      </c>
      <c r="J39" s="17" t="s">
        <v>139</v>
      </c>
      <c r="K39" s="17" t="s">
        <v>145</v>
      </c>
      <c r="L39" s="18" t="s">
        <v>82</v>
      </c>
      <c r="N39" s="18" t="s">
        <v>146</v>
      </c>
      <c r="O39" s="12">
        <f t="shared" si="13"/>
        <v>16000</v>
      </c>
      <c r="P39" s="12">
        <f t="shared" si="14"/>
        <v>16000</v>
      </c>
      <c r="Q39" s="12">
        <f t="shared" si="15"/>
        <v>22000</v>
      </c>
      <c r="R39" s="2">
        <f t="shared" si="16"/>
        <v>22000</v>
      </c>
      <c r="S39" s="2">
        <v>0</v>
      </c>
      <c r="T39" s="2">
        <f t="shared" si="17"/>
        <v>270</v>
      </c>
      <c r="U39" s="2">
        <f t="shared" si="18"/>
        <v>330</v>
      </c>
      <c r="V39" s="2">
        <v>99</v>
      </c>
      <c r="W39" s="2">
        <v>100</v>
      </c>
      <c r="X39" s="19" t="s">
        <v>119</v>
      </c>
      <c r="Y39" s="16"/>
    </row>
    <row r="40" s="2" customFormat="1" customHeight="1" spans="3:25">
      <c r="C40" s="7">
        <v>108</v>
      </c>
      <c r="D40" s="7">
        <v>2</v>
      </c>
      <c r="E40" s="7">
        <v>8</v>
      </c>
      <c r="F40" s="7">
        <v>17</v>
      </c>
      <c r="G40" s="7" t="s">
        <v>147</v>
      </c>
      <c r="H40" s="7" t="s">
        <v>113</v>
      </c>
      <c r="I40" s="17" t="s">
        <v>148</v>
      </c>
      <c r="J40" s="17" t="s">
        <v>88</v>
      </c>
      <c r="K40" s="17" t="s">
        <v>149</v>
      </c>
      <c r="L40" s="18" t="s">
        <v>150</v>
      </c>
      <c r="M40" s="2"/>
      <c r="N40" s="18" t="s">
        <v>151</v>
      </c>
      <c r="O40" s="12">
        <f t="shared" si="13"/>
        <v>17000</v>
      </c>
      <c r="P40" s="12">
        <f t="shared" si="14"/>
        <v>17000</v>
      </c>
      <c r="Q40" s="12">
        <f t="shared" si="15"/>
        <v>24000</v>
      </c>
      <c r="R40" s="2">
        <f t="shared" si="16"/>
        <v>24000</v>
      </c>
      <c r="S40" s="2">
        <v>0</v>
      </c>
      <c r="T40" s="2">
        <f t="shared" si="17"/>
        <v>290</v>
      </c>
      <c r="U40" s="2">
        <f t="shared" si="18"/>
        <v>360</v>
      </c>
      <c r="V40" s="2">
        <v>99</v>
      </c>
      <c r="W40" s="2">
        <v>100</v>
      </c>
      <c r="X40" s="19" t="s">
        <v>119</v>
      </c>
      <c r="Y40" s="16"/>
    </row>
    <row r="41" s="2" customFormat="1" customHeight="1" spans="3:25">
      <c r="C41" s="7">
        <v>109</v>
      </c>
      <c r="D41" s="7">
        <v>2</v>
      </c>
      <c r="E41" s="7">
        <v>9</v>
      </c>
      <c r="F41" s="7">
        <v>18</v>
      </c>
      <c r="G41" s="7" t="s">
        <v>152</v>
      </c>
      <c r="H41" s="7" t="s">
        <v>113</v>
      </c>
      <c r="I41" s="17" t="s">
        <v>153</v>
      </c>
      <c r="J41" s="17" t="s">
        <v>116</v>
      </c>
      <c r="K41" s="17" t="s">
        <v>154</v>
      </c>
      <c r="L41" s="18" t="s">
        <v>151</v>
      </c>
      <c r="M41" s="2"/>
      <c r="N41" s="18" t="s">
        <v>155</v>
      </c>
      <c r="O41" s="12">
        <f t="shared" si="13"/>
        <v>18000</v>
      </c>
      <c r="P41" s="12">
        <f t="shared" si="14"/>
        <v>18000</v>
      </c>
      <c r="Q41" s="12">
        <f t="shared" si="15"/>
        <v>26000</v>
      </c>
      <c r="R41" s="2">
        <f t="shared" si="16"/>
        <v>26000</v>
      </c>
      <c r="S41" s="2">
        <v>0</v>
      </c>
      <c r="T41" s="2">
        <f t="shared" si="17"/>
        <v>310</v>
      </c>
      <c r="U41" s="2">
        <f t="shared" si="18"/>
        <v>390</v>
      </c>
      <c r="V41" s="2">
        <v>99</v>
      </c>
      <c r="W41" s="2">
        <v>100</v>
      </c>
      <c r="X41" s="19" t="s">
        <v>119</v>
      </c>
      <c r="Y41" s="16"/>
    </row>
    <row r="42" s="2" customFormat="1" customHeight="1" spans="3:25">
      <c r="C42" s="7">
        <v>110</v>
      </c>
      <c r="D42" s="7">
        <v>2</v>
      </c>
      <c r="E42" s="7">
        <v>10</v>
      </c>
      <c r="F42" s="7">
        <v>19</v>
      </c>
      <c r="G42" s="7" t="s">
        <v>156</v>
      </c>
      <c r="H42" s="7" t="s">
        <v>113</v>
      </c>
      <c r="I42" s="17" t="s">
        <v>157</v>
      </c>
      <c r="J42" s="17" t="s">
        <v>123</v>
      </c>
      <c r="K42" s="17" t="s">
        <v>158</v>
      </c>
      <c r="L42" s="18" t="s">
        <v>155</v>
      </c>
      <c r="M42" s="2"/>
      <c r="N42" s="18" t="s">
        <v>159</v>
      </c>
      <c r="O42" s="12">
        <f t="shared" si="13"/>
        <v>19000</v>
      </c>
      <c r="P42" s="12">
        <f t="shared" si="14"/>
        <v>19000</v>
      </c>
      <c r="Q42" s="12">
        <f t="shared" si="15"/>
        <v>28000</v>
      </c>
      <c r="R42" s="2">
        <f t="shared" si="16"/>
        <v>28000</v>
      </c>
      <c r="S42" s="2">
        <v>0</v>
      </c>
      <c r="T42" s="2">
        <f t="shared" si="17"/>
        <v>330</v>
      </c>
      <c r="U42" s="2">
        <f t="shared" si="18"/>
        <v>420</v>
      </c>
      <c r="V42" s="2">
        <v>99</v>
      </c>
      <c r="W42" s="2">
        <v>100</v>
      </c>
      <c r="X42" s="19" t="s">
        <v>119</v>
      </c>
      <c r="Y42" s="16"/>
    </row>
    <row r="43" s="2" customFormat="1" customHeight="1" spans="3:25">
      <c r="C43" s="7">
        <v>111</v>
      </c>
      <c r="D43" s="7">
        <v>2</v>
      </c>
      <c r="E43" s="7">
        <v>11</v>
      </c>
      <c r="F43" s="7">
        <v>20</v>
      </c>
      <c r="G43" s="7" t="s">
        <v>160</v>
      </c>
      <c r="H43" s="7" t="s">
        <v>113</v>
      </c>
      <c r="I43" s="17" t="s">
        <v>157</v>
      </c>
      <c r="J43" s="17" t="s">
        <v>123</v>
      </c>
      <c r="K43" s="17" t="s">
        <v>161</v>
      </c>
      <c r="L43" s="18" t="s">
        <v>162</v>
      </c>
      <c r="M43" s="18" t="s">
        <v>163</v>
      </c>
      <c r="N43" s="18" t="s">
        <v>164</v>
      </c>
      <c r="O43" s="12">
        <f t="shared" si="13"/>
        <v>20000</v>
      </c>
      <c r="P43" s="12">
        <f t="shared" si="14"/>
        <v>20000</v>
      </c>
      <c r="Q43" s="12">
        <f t="shared" si="15"/>
        <v>30000</v>
      </c>
      <c r="R43" s="2">
        <f t="shared" si="16"/>
        <v>30000</v>
      </c>
      <c r="S43" s="2">
        <v>0</v>
      </c>
      <c r="T43" s="2">
        <f t="shared" si="17"/>
        <v>350</v>
      </c>
      <c r="U43" s="2">
        <f t="shared" ref="U43:U52" si="19">U42+40</f>
        <v>460</v>
      </c>
      <c r="V43" s="2">
        <v>99</v>
      </c>
      <c r="W43" s="2">
        <v>120</v>
      </c>
      <c r="X43" s="19" t="s">
        <v>119</v>
      </c>
      <c r="Y43" s="16"/>
    </row>
    <row r="44" s="2" customFormat="1" customHeight="1" spans="3:25">
      <c r="C44" s="7">
        <v>112</v>
      </c>
      <c r="D44" s="7">
        <v>2</v>
      </c>
      <c r="E44" s="7">
        <v>12</v>
      </c>
      <c r="F44" s="7">
        <v>21</v>
      </c>
      <c r="G44" s="7" t="s">
        <v>165</v>
      </c>
      <c r="H44" s="7" t="s">
        <v>113</v>
      </c>
      <c r="I44" s="17" t="s">
        <v>166</v>
      </c>
      <c r="J44" s="17" t="s">
        <v>128</v>
      </c>
      <c r="K44" s="17" t="s">
        <v>167</v>
      </c>
      <c r="L44" s="18" t="s">
        <v>168</v>
      </c>
      <c r="M44" s="18" t="s">
        <v>54</v>
      </c>
      <c r="N44" s="18" t="s">
        <v>169</v>
      </c>
      <c r="O44" s="12">
        <f t="shared" ref="O44:O52" si="20">O43+5000</f>
        <v>25000</v>
      </c>
      <c r="P44" s="12">
        <f t="shared" ref="P44:P52" si="21">P43+5000</f>
        <v>25000</v>
      </c>
      <c r="Q44" s="12">
        <f t="shared" ref="Q44:Q52" si="22">Q43+4000</f>
        <v>34000</v>
      </c>
      <c r="R44" s="12">
        <f t="shared" ref="R44:R52" si="23">R43+4000</f>
        <v>34000</v>
      </c>
      <c r="S44" s="2">
        <v>0</v>
      </c>
      <c r="T44" s="2">
        <f t="shared" si="17"/>
        <v>370</v>
      </c>
      <c r="U44" s="2">
        <f t="shared" si="19"/>
        <v>500</v>
      </c>
      <c r="V44" s="2">
        <v>99</v>
      </c>
      <c r="W44" s="2">
        <v>140</v>
      </c>
      <c r="X44" s="19" t="s">
        <v>119</v>
      </c>
      <c r="Y44" s="16"/>
    </row>
    <row r="45" s="2" customFormat="1" customHeight="1" spans="3:25">
      <c r="C45" s="7">
        <v>113</v>
      </c>
      <c r="D45" s="7">
        <v>2</v>
      </c>
      <c r="E45" s="7">
        <v>13</v>
      </c>
      <c r="F45" s="7">
        <v>22</v>
      </c>
      <c r="G45" s="7" t="s">
        <v>170</v>
      </c>
      <c r="H45" s="7" t="s">
        <v>113</v>
      </c>
      <c r="I45" s="17" t="s">
        <v>171</v>
      </c>
      <c r="J45" s="17" t="s">
        <v>172</v>
      </c>
      <c r="K45" s="17" t="s">
        <v>173</v>
      </c>
      <c r="L45" s="18" t="s">
        <v>174</v>
      </c>
      <c r="M45" s="18" t="s">
        <v>175</v>
      </c>
      <c r="N45" s="18" t="s">
        <v>176</v>
      </c>
      <c r="O45" s="12">
        <f t="shared" si="20"/>
        <v>30000</v>
      </c>
      <c r="P45" s="12">
        <f t="shared" si="21"/>
        <v>30000</v>
      </c>
      <c r="Q45" s="12">
        <f t="shared" si="22"/>
        <v>38000</v>
      </c>
      <c r="R45" s="12">
        <f t="shared" si="23"/>
        <v>38000</v>
      </c>
      <c r="S45" s="2">
        <v>0</v>
      </c>
      <c r="T45" s="2">
        <f t="shared" si="17"/>
        <v>390</v>
      </c>
      <c r="U45" s="2">
        <f t="shared" si="19"/>
        <v>540</v>
      </c>
      <c r="V45" s="2">
        <v>99</v>
      </c>
      <c r="W45" s="2">
        <f t="shared" ref="W45:W52" si="24">W44+20</f>
        <v>160</v>
      </c>
      <c r="X45" s="19" t="s">
        <v>119</v>
      </c>
      <c r="Y45" s="16"/>
    </row>
    <row r="46" s="2" customFormat="1" customHeight="1" spans="3:25">
      <c r="C46" s="7">
        <v>114</v>
      </c>
      <c r="D46" s="7">
        <v>2</v>
      </c>
      <c r="E46" s="7">
        <v>14</v>
      </c>
      <c r="F46" s="7">
        <v>23</v>
      </c>
      <c r="G46" s="7" t="s">
        <v>177</v>
      </c>
      <c r="H46" s="7" t="s">
        <v>113</v>
      </c>
      <c r="I46" s="17" t="s">
        <v>178</v>
      </c>
      <c r="J46" s="17" t="s">
        <v>179</v>
      </c>
      <c r="K46" s="17" t="s">
        <v>180</v>
      </c>
      <c r="L46" s="18" t="s">
        <v>181</v>
      </c>
      <c r="M46" s="18" t="s">
        <v>74</v>
      </c>
      <c r="N46" s="18" t="s">
        <v>182</v>
      </c>
      <c r="O46" s="12">
        <f t="shared" si="20"/>
        <v>35000</v>
      </c>
      <c r="P46" s="12">
        <f t="shared" si="21"/>
        <v>35000</v>
      </c>
      <c r="Q46" s="12">
        <f t="shared" si="22"/>
        <v>42000</v>
      </c>
      <c r="R46" s="12">
        <f t="shared" si="23"/>
        <v>42000</v>
      </c>
      <c r="S46" s="2">
        <v>0</v>
      </c>
      <c r="T46" s="2">
        <f t="shared" si="17"/>
        <v>410</v>
      </c>
      <c r="U46" s="2">
        <f t="shared" si="19"/>
        <v>580</v>
      </c>
      <c r="V46" s="2">
        <v>99</v>
      </c>
      <c r="W46" s="2">
        <f t="shared" si="24"/>
        <v>180</v>
      </c>
      <c r="X46" s="19" t="s">
        <v>119</v>
      </c>
      <c r="Y46" s="16"/>
    </row>
    <row r="47" s="2" customFormat="1" customHeight="1" spans="3:25">
      <c r="C47" s="7">
        <v>115</v>
      </c>
      <c r="D47" s="7">
        <v>2</v>
      </c>
      <c r="E47" s="7">
        <v>15</v>
      </c>
      <c r="F47" s="7">
        <v>24</v>
      </c>
      <c r="G47" s="7" t="s">
        <v>183</v>
      </c>
      <c r="H47" s="7" t="s">
        <v>113</v>
      </c>
      <c r="I47" s="17" t="s">
        <v>184</v>
      </c>
      <c r="J47" s="17" t="s">
        <v>185</v>
      </c>
      <c r="K47" s="17" t="s">
        <v>186</v>
      </c>
      <c r="L47" s="18" t="s">
        <v>187</v>
      </c>
      <c r="M47" s="18" t="s">
        <v>188</v>
      </c>
      <c r="N47" s="18" t="s">
        <v>189</v>
      </c>
      <c r="O47" s="12">
        <f t="shared" si="20"/>
        <v>40000</v>
      </c>
      <c r="P47" s="12">
        <f t="shared" si="21"/>
        <v>40000</v>
      </c>
      <c r="Q47" s="12">
        <f t="shared" si="22"/>
        <v>46000</v>
      </c>
      <c r="R47" s="12">
        <f t="shared" si="23"/>
        <v>46000</v>
      </c>
      <c r="S47" s="2">
        <v>0</v>
      </c>
      <c r="T47" s="2">
        <f t="shared" si="17"/>
        <v>430</v>
      </c>
      <c r="U47" s="2">
        <f t="shared" si="19"/>
        <v>620</v>
      </c>
      <c r="V47" s="2">
        <v>99</v>
      </c>
      <c r="W47" s="2">
        <f t="shared" si="24"/>
        <v>200</v>
      </c>
      <c r="X47" s="19" t="s">
        <v>119</v>
      </c>
      <c r="Y47" s="16"/>
    </row>
    <row r="48" s="2" customFormat="1" customHeight="1" spans="3:25">
      <c r="C48" s="7">
        <v>116</v>
      </c>
      <c r="D48" s="7">
        <v>2</v>
      </c>
      <c r="E48" s="7">
        <v>16</v>
      </c>
      <c r="F48" s="7">
        <v>25</v>
      </c>
      <c r="G48" s="7" t="s">
        <v>190</v>
      </c>
      <c r="H48" s="7" t="s">
        <v>113</v>
      </c>
      <c r="I48" s="17" t="s">
        <v>191</v>
      </c>
      <c r="J48" s="17" t="s">
        <v>192</v>
      </c>
      <c r="K48" s="17" t="s">
        <v>193</v>
      </c>
      <c r="L48" s="18" t="s">
        <v>155</v>
      </c>
      <c r="M48" s="18" t="s">
        <v>194</v>
      </c>
      <c r="N48" s="18" t="s">
        <v>195</v>
      </c>
      <c r="O48" s="12">
        <f t="shared" si="20"/>
        <v>45000</v>
      </c>
      <c r="P48" s="12">
        <f t="shared" si="21"/>
        <v>45000</v>
      </c>
      <c r="Q48" s="12">
        <f t="shared" si="22"/>
        <v>50000</v>
      </c>
      <c r="R48" s="12">
        <f t="shared" si="23"/>
        <v>50000</v>
      </c>
      <c r="S48" s="2">
        <v>0</v>
      </c>
      <c r="T48" s="2">
        <f t="shared" si="17"/>
        <v>450</v>
      </c>
      <c r="U48" s="2">
        <f t="shared" si="19"/>
        <v>660</v>
      </c>
      <c r="V48" s="2">
        <v>99</v>
      </c>
      <c r="W48" s="2">
        <f t="shared" si="24"/>
        <v>220</v>
      </c>
      <c r="X48" s="19" t="s">
        <v>119</v>
      </c>
      <c r="Y48" s="16"/>
    </row>
    <row r="49" s="2" customFormat="1" customHeight="1" spans="3:25">
      <c r="C49" s="7">
        <v>117</v>
      </c>
      <c r="D49" s="7">
        <v>2</v>
      </c>
      <c r="E49" s="7">
        <v>17</v>
      </c>
      <c r="F49" s="7">
        <v>26</v>
      </c>
      <c r="G49" s="7" t="s">
        <v>196</v>
      </c>
      <c r="H49" s="7" t="s">
        <v>113</v>
      </c>
      <c r="I49" s="17" t="s">
        <v>197</v>
      </c>
      <c r="J49" s="17" t="s">
        <v>132</v>
      </c>
      <c r="K49" s="17" t="s">
        <v>198</v>
      </c>
      <c r="L49" s="18" t="s">
        <v>199</v>
      </c>
      <c r="M49" s="18" t="s">
        <v>162</v>
      </c>
      <c r="N49" s="18" t="s">
        <v>200</v>
      </c>
      <c r="O49" s="12">
        <f t="shared" si="20"/>
        <v>50000</v>
      </c>
      <c r="P49" s="12">
        <f t="shared" si="21"/>
        <v>50000</v>
      </c>
      <c r="Q49" s="12">
        <f t="shared" si="22"/>
        <v>54000</v>
      </c>
      <c r="R49" s="12">
        <f t="shared" si="23"/>
        <v>54000</v>
      </c>
      <c r="S49" s="2">
        <v>0</v>
      </c>
      <c r="T49" s="2">
        <f t="shared" si="17"/>
        <v>470</v>
      </c>
      <c r="U49" s="2">
        <f t="shared" si="19"/>
        <v>700</v>
      </c>
      <c r="V49" s="2">
        <v>99</v>
      </c>
      <c r="W49" s="2">
        <f t="shared" si="24"/>
        <v>240</v>
      </c>
      <c r="X49" s="19" t="s">
        <v>119</v>
      </c>
      <c r="Y49" s="16"/>
    </row>
    <row r="50" s="2" customFormat="1" customHeight="1" spans="3:25">
      <c r="C50" s="7">
        <v>118</v>
      </c>
      <c r="D50" s="7">
        <v>2</v>
      </c>
      <c r="E50" s="7">
        <v>18</v>
      </c>
      <c r="F50" s="7">
        <v>27</v>
      </c>
      <c r="G50" s="7" t="s">
        <v>201</v>
      </c>
      <c r="H50" s="7" t="s">
        <v>113</v>
      </c>
      <c r="I50" s="17" t="s">
        <v>202</v>
      </c>
      <c r="J50" s="17" t="s">
        <v>166</v>
      </c>
      <c r="K50" s="17" t="s">
        <v>203</v>
      </c>
      <c r="L50" s="18" t="s">
        <v>204</v>
      </c>
      <c r="M50" s="18" t="s">
        <v>205</v>
      </c>
      <c r="N50" s="18" t="s">
        <v>206</v>
      </c>
      <c r="O50" s="12">
        <f t="shared" si="20"/>
        <v>55000</v>
      </c>
      <c r="P50" s="12">
        <f t="shared" si="21"/>
        <v>55000</v>
      </c>
      <c r="Q50" s="12">
        <f t="shared" si="22"/>
        <v>58000</v>
      </c>
      <c r="R50" s="12">
        <f t="shared" si="23"/>
        <v>58000</v>
      </c>
      <c r="S50" s="2">
        <v>0</v>
      </c>
      <c r="T50" s="2">
        <f t="shared" si="17"/>
        <v>490</v>
      </c>
      <c r="U50" s="2">
        <f t="shared" si="19"/>
        <v>740</v>
      </c>
      <c r="V50" s="2">
        <v>99</v>
      </c>
      <c r="W50" s="2">
        <f t="shared" si="24"/>
        <v>260</v>
      </c>
      <c r="X50" s="19" t="s">
        <v>119</v>
      </c>
      <c r="Y50" s="16"/>
    </row>
    <row r="51" s="2" customFormat="1" customHeight="1" spans="3:25">
      <c r="C51" s="7">
        <v>119</v>
      </c>
      <c r="D51" s="7">
        <v>2</v>
      </c>
      <c r="E51" s="7">
        <v>19</v>
      </c>
      <c r="F51" s="7">
        <v>28</v>
      </c>
      <c r="G51" s="7" t="s">
        <v>207</v>
      </c>
      <c r="H51" s="7" t="s">
        <v>113</v>
      </c>
      <c r="I51" s="17" t="s">
        <v>208</v>
      </c>
      <c r="J51" s="17" t="s">
        <v>209</v>
      </c>
      <c r="K51" s="17" t="s">
        <v>210</v>
      </c>
      <c r="L51" s="18" t="s">
        <v>211</v>
      </c>
      <c r="M51" s="18" t="s">
        <v>155</v>
      </c>
      <c r="N51" s="18" t="s">
        <v>212</v>
      </c>
      <c r="O51" s="12">
        <f t="shared" si="20"/>
        <v>60000</v>
      </c>
      <c r="P51" s="12">
        <f t="shared" si="21"/>
        <v>60000</v>
      </c>
      <c r="Q51" s="12">
        <f t="shared" si="22"/>
        <v>62000</v>
      </c>
      <c r="R51" s="12">
        <f t="shared" si="23"/>
        <v>62000</v>
      </c>
      <c r="S51" s="2">
        <v>0</v>
      </c>
      <c r="T51" s="2">
        <f t="shared" si="17"/>
        <v>510</v>
      </c>
      <c r="U51" s="2">
        <f t="shared" si="19"/>
        <v>780</v>
      </c>
      <c r="V51" s="2">
        <v>99</v>
      </c>
      <c r="W51" s="2">
        <f t="shared" si="24"/>
        <v>280</v>
      </c>
      <c r="X51" s="19" t="s">
        <v>119</v>
      </c>
      <c r="Y51" s="16"/>
    </row>
    <row r="52" s="2" customFormat="1" customHeight="1" spans="3:25">
      <c r="C52" s="7">
        <v>120</v>
      </c>
      <c r="D52" s="7">
        <v>2</v>
      </c>
      <c r="E52" s="7">
        <v>20</v>
      </c>
      <c r="F52" s="7">
        <v>29</v>
      </c>
      <c r="G52" s="7" t="s">
        <v>213</v>
      </c>
      <c r="H52" s="7" t="s">
        <v>113</v>
      </c>
      <c r="I52" s="17" t="s">
        <v>214</v>
      </c>
      <c r="J52" s="17" t="s">
        <v>215</v>
      </c>
      <c r="K52" s="17" t="s">
        <v>216</v>
      </c>
      <c r="L52" s="18" t="s">
        <v>159</v>
      </c>
      <c r="M52" s="18" t="s">
        <v>217</v>
      </c>
      <c r="N52" s="18" t="s">
        <v>218</v>
      </c>
      <c r="O52" s="12">
        <f t="shared" si="20"/>
        <v>65000</v>
      </c>
      <c r="P52" s="12">
        <f t="shared" si="21"/>
        <v>65000</v>
      </c>
      <c r="Q52" s="12">
        <f t="shared" si="22"/>
        <v>66000</v>
      </c>
      <c r="R52" s="12">
        <f t="shared" si="23"/>
        <v>66000</v>
      </c>
      <c r="S52" s="2">
        <v>0</v>
      </c>
      <c r="T52" s="2">
        <f t="shared" si="17"/>
        <v>530</v>
      </c>
      <c r="U52" s="2">
        <f t="shared" si="19"/>
        <v>820</v>
      </c>
      <c r="V52" s="2">
        <v>99</v>
      </c>
      <c r="W52" s="2">
        <f t="shared" si="24"/>
        <v>300</v>
      </c>
      <c r="X52" s="19" t="s">
        <v>119</v>
      </c>
      <c r="Y52" s="16"/>
    </row>
    <row r="53" s="2" customFormat="1" customHeight="1" spans="3:25">
      <c r="C53" s="7"/>
      <c r="D53" s="7"/>
      <c r="E53" s="7"/>
      <c r="F53" s="7"/>
      <c r="G53" s="7"/>
      <c r="H53" s="7"/>
      <c r="I53" s="10"/>
      <c r="J53" s="10"/>
      <c r="K53" s="10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  <c r="Y53" s="16"/>
    </row>
    <row r="54" s="2" customFormat="1" customHeight="1" spans="3:25">
      <c r="C54" s="7"/>
      <c r="D54" s="7"/>
      <c r="E54" s="7"/>
      <c r="F54" s="7"/>
      <c r="G54" s="7"/>
      <c r="H54" s="7"/>
      <c r="I54" s="10"/>
      <c r="J54" s="10"/>
      <c r="K54" s="10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16"/>
    </row>
    <row r="55" s="2" customFormat="1" customHeight="1" spans="3:25">
      <c r="C55" s="7"/>
      <c r="D55" s="7"/>
      <c r="E55" s="7"/>
      <c r="F55" s="7"/>
      <c r="G55" s="7"/>
      <c r="H55" s="7"/>
      <c r="I55" s="10"/>
      <c r="J55" s="10"/>
      <c r="K55" s="10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16"/>
    </row>
    <row r="56" s="2" customFormat="1" customHeight="1" spans="3:25">
      <c r="C56" s="7">
        <v>201</v>
      </c>
      <c r="D56" s="7">
        <v>3</v>
      </c>
      <c r="E56" s="7">
        <v>1</v>
      </c>
      <c r="F56" s="7">
        <v>20</v>
      </c>
      <c r="G56" s="7" t="s">
        <v>219</v>
      </c>
      <c r="H56" s="7" t="s">
        <v>220</v>
      </c>
      <c r="I56" s="17" t="s">
        <v>136</v>
      </c>
      <c r="J56" s="17" t="s">
        <v>136</v>
      </c>
      <c r="K56" s="17" t="s">
        <v>221</v>
      </c>
      <c r="L56" s="18" t="s">
        <v>188</v>
      </c>
      <c r="M56" s="18" t="s">
        <v>175</v>
      </c>
      <c r="N56" s="17" t="s">
        <v>136</v>
      </c>
      <c r="O56" s="12">
        <v>50000</v>
      </c>
      <c r="P56" s="12">
        <v>50000</v>
      </c>
      <c r="Q56" s="12">
        <v>50000</v>
      </c>
      <c r="R56" s="12">
        <v>50000</v>
      </c>
      <c r="S56" s="2">
        <v>0</v>
      </c>
      <c r="T56" s="12">
        <v>300</v>
      </c>
      <c r="U56" s="2">
        <v>400</v>
      </c>
      <c r="V56" s="2">
        <v>99</v>
      </c>
      <c r="W56" s="2">
        <v>200</v>
      </c>
      <c r="X56" s="19" t="s">
        <v>222</v>
      </c>
      <c r="Y56" s="16"/>
    </row>
    <row r="57" s="2" customFormat="1" customHeight="1" spans="3:25">
      <c r="C57" s="7">
        <v>202</v>
      </c>
      <c r="D57" s="7">
        <v>3</v>
      </c>
      <c r="E57" s="7">
        <v>2</v>
      </c>
      <c r="F57" s="7">
        <v>21</v>
      </c>
      <c r="G57" s="7" t="s">
        <v>223</v>
      </c>
      <c r="H57" s="7" t="s">
        <v>220</v>
      </c>
      <c r="I57" s="17" t="s">
        <v>145</v>
      </c>
      <c r="J57" s="17" t="s">
        <v>145</v>
      </c>
      <c r="K57" s="17" t="s">
        <v>224</v>
      </c>
      <c r="L57" s="18" t="s">
        <v>194</v>
      </c>
      <c r="M57" s="18" t="s">
        <v>74</v>
      </c>
      <c r="N57" s="17" t="s">
        <v>145</v>
      </c>
      <c r="O57" s="12">
        <f t="shared" ref="O57:R57" si="25">O56+10000</f>
        <v>60000</v>
      </c>
      <c r="P57" s="12">
        <f t="shared" si="25"/>
        <v>60000</v>
      </c>
      <c r="Q57" s="12">
        <f t="shared" si="25"/>
        <v>60000</v>
      </c>
      <c r="R57" s="12">
        <f t="shared" si="25"/>
        <v>60000</v>
      </c>
      <c r="S57" s="2">
        <v>0</v>
      </c>
      <c r="T57" s="2">
        <f t="shared" ref="T57:T65" si="26">T56+30</f>
        <v>330</v>
      </c>
      <c r="U57" s="2">
        <f t="shared" ref="U57:U65" si="27">U56+30</f>
        <v>430</v>
      </c>
      <c r="V57" s="2">
        <v>99</v>
      </c>
      <c r="W57" s="2">
        <f t="shared" ref="W57:W65" si="28">W56+20</f>
        <v>220</v>
      </c>
      <c r="X57" s="19" t="s">
        <v>222</v>
      </c>
      <c r="Y57" s="16"/>
    </row>
    <row r="58" s="2" customFormat="1" customHeight="1" spans="3:25">
      <c r="C58" s="7">
        <v>203</v>
      </c>
      <c r="D58" s="7">
        <v>3</v>
      </c>
      <c r="E58" s="7">
        <v>3</v>
      </c>
      <c r="F58" s="7">
        <v>22</v>
      </c>
      <c r="G58" s="7" t="s">
        <v>225</v>
      </c>
      <c r="H58" s="7" t="s">
        <v>220</v>
      </c>
      <c r="I58" s="17" t="s">
        <v>154</v>
      </c>
      <c r="J58" s="17" t="s">
        <v>154</v>
      </c>
      <c r="K58" s="17" t="s">
        <v>226</v>
      </c>
      <c r="L58" s="18" t="s">
        <v>162</v>
      </c>
      <c r="M58" s="18" t="s">
        <v>188</v>
      </c>
      <c r="N58" s="17" t="s">
        <v>154</v>
      </c>
      <c r="O58" s="12">
        <f t="shared" ref="O58:R58" si="29">O57+10000</f>
        <v>70000</v>
      </c>
      <c r="P58" s="12">
        <f t="shared" si="29"/>
        <v>70000</v>
      </c>
      <c r="Q58" s="12">
        <f t="shared" si="29"/>
        <v>70000</v>
      </c>
      <c r="R58" s="12">
        <f t="shared" si="29"/>
        <v>70000</v>
      </c>
      <c r="S58" s="2">
        <v>0</v>
      </c>
      <c r="T58" s="2">
        <f t="shared" si="26"/>
        <v>360</v>
      </c>
      <c r="U58" s="2">
        <f t="shared" si="27"/>
        <v>460</v>
      </c>
      <c r="V58" s="2">
        <v>99</v>
      </c>
      <c r="W58" s="2">
        <f t="shared" si="28"/>
        <v>240</v>
      </c>
      <c r="X58" s="19" t="s">
        <v>222</v>
      </c>
      <c r="Y58" s="16"/>
    </row>
    <row r="59" s="2" customFormat="1" customHeight="1" spans="3:25">
      <c r="C59" s="7">
        <v>204</v>
      </c>
      <c r="D59" s="7">
        <v>3</v>
      </c>
      <c r="E59" s="7">
        <v>4</v>
      </c>
      <c r="F59" s="7">
        <v>23</v>
      </c>
      <c r="G59" s="7" t="s">
        <v>227</v>
      </c>
      <c r="H59" s="7" t="s">
        <v>220</v>
      </c>
      <c r="I59" s="17" t="s">
        <v>228</v>
      </c>
      <c r="J59" s="17" t="s">
        <v>228</v>
      </c>
      <c r="K59" s="17" t="s">
        <v>229</v>
      </c>
      <c r="L59" s="18" t="s">
        <v>205</v>
      </c>
      <c r="M59" s="18" t="s">
        <v>194</v>
      </c>
      <c r="N59" s="17" t="s">
        <v>228</v>
      </c>
      <c r="O59" s="12">
        <f t="shared" ref="O59:R59" si="30">O58+10000</f>
        <v>80000</v>
      </c>
      <c r="P59" s="12">
        <f t="shared" si="30"/>
        <v>80000</v>
      </c>
      <c r="Q59" s="12">
        <f t="shared" si="30"/>
        <v>80000</v>
      </c>
      <c r="R59" s="12">
        <f t="shared" si="30"/>
        <v>80000</v>
      </c>
      <c r="S59" s="2">
        <v>0</v>
      </c>
      <c r="T59" s="2">
        <f t="shared" si="26"/>
        <v>390</v>
      </c>
      <c r="U59" s="2">
        <f t="shared" si="27"/>
        <v>490</v>
      </c>
      <c r="V59" s="2">
        <v>99</v>
      </c>
      <c r="W59" s="2">
        <f t="shared" si="28"/>
        <v>260</v>
      </c>
      <c r="X59" s="19" t="s">
        <v>222</v>
      </c>
      <c r="Y59" s="16"/>
    </row>
    <row r="60" s="2" customFormat="1" customHeight="1" spans="3:25">
      <c r="C60" s="7">
        <v>205</v>
      </c>
      <c r="D60" s="7">
        <v>3</v>
      </c>
      <c r="E60" s="7">
        <v>5</v>
      </c>
      <c r="F60" s="7">
        <v>24</v>
      </c>
      <c r="G60" s="7" t="s">
        <v>230</v>
      </c>
      <c r="H60" s="7" t="s">
        <v>220</v>
      </c>
      <c r="I60" s="17" t="s">
        <v>231</v>
      </c>
      <c r="J60" s="17" t="s">
        <v>231</v>
      </c>
      <c r="K60" s="17" t="s">
        <v>232</v>
      </c>
      <c r="L60" s="18" t="s">
        <v>155</v>
      </c>
      <c r="M60" s="18" t="s">
        <v>162</v>
      </c>
      <c r="N60" s="17" t="s">
        <v>231</v>
      </c>
      <c r="O60" s="12">
        <f t="shared" ref="O60:R60" si="31">O59+10000</f>
        <v>90000</v>
      </c>
      <c r="P60" s="12">
        <f t="shared" si="31"/>
        <v>90000</v>
      </c>
      <c r="Q60" s="12">
        <f t="shared" si="31"/>
        <v>90000</v>
      </c>
      <c r="R60" s="12">
        <f t="shared" si="31"/>
        <v>90000</v>
      </c>
      <c r="S60" s="2">
        <v>0</v>
      </c>
      <c r="T60" s="2">
        <f t="shared" si="26"/>
        <v>420</v>
      </c>
      <c r="U60" s="2">
        <f t="shared" si="27"/>
        <v>520</v>
      </c>
      <c r="V60" s="2">
        <v>99</v>
      </c>
      <c r="W60" s="2">
        <f t="shared" si="28"/>
        <v>280</v>
      </c>
      <c r="X60" s="19" t="s">
        <v>222</v>
      </c>
      <c r="Y60" s="16"/>
    </row>
    <row r="61" s="2" customFormat="1" customHeight="1" spans="3:25">
      <c r="C61" s="7">
        <v>206</v>
      </c>
      <c r="D61" s="7">
        <v>3</v>
      </c>
      <c r="E61" s="7">
        <v>6</v>
      </c>
      <c r="F61" s="7">
        <v>25</v>
      </c>
      <c r="G61" s="7" t="s">
        <v>233</v>
      </c>
      <c r="H61" s="7" t="s">
        <v>220</v>
      </c>
      <c r="I61" s="17" t="s">
        <v>221</v>
      </c>
      <c r="J61" s="17" t="s">
        <v>221</v>
      </c>
      <c r="K61" s="17" t="s">
        <v>234</v>
      </c>
      <c r="L61" s="18" t="s">
        <v>217</v>
      </c>
      <c r="M61" s="18" t="s">
        <v>205</v>
      </c>
      <c r="N61" s="17" t="s">
        <v>221</v>
      </c>
      <c r="O61" s="12">
        <f t="shared" ref="O61:R61" si="32">O60+10000</f>
        <v>100000</v>
      </c>
      <c r="P61" s="12">
        <f t="shared" si="32"/>
        <v>100000</v>
      </c>
      <c r="Q61" s="12">
        <f t="shared" si="32"/>
        <v>100000</v>
      </c>
      <c r="R61" s="12">
        <f t="shared" si="32"/>
        <v>100000</v>
      </c>
      <c r="S61" s="2">
        <v>0</v>
      </c>
      <c r="T61" s="2">
        <f t="shared" si="26"/>
        <v>450</v>
      </c>
      <c r="U61" s="2">
        <f t="shared" si="27"/>
        <v>550</v>
      </c>
      <c r="V61" s="2">
        <v>99</v>
      </c>
      <c r="W61" s="2">
        <f t="shared" si="28"/>
        <v>300</v>
      </c>
      <c r="X61" s="19" t="s">
        <v>222</v>
      </c>
      <c r="Y61" s="16"/>
    </row>
    <row r="62" s="2" customFormat="1" customHeight="1" spans="3:25">
      <c r="C62" s="7">
        <v>207</v>
      </c>
      <c r="D62" s="7">
        <v>3</v>
      </c>
      <c r="E62" s="7">
        <v>7</v>
      </c>
      <c r="F62" s="7">
        <v>26</v>
      </c>
      <c r="G62" s="7" t="s">
        <v>235</v>
      </c>
      <c r="H62" s="7" t="s">
        <v>220</v>
      </c>
      <c r="I62" s="17" t="s">
        <v>224</v>
      </c>
      <c r="J62" s="17" t="s">
        <v>224</v>
      </c>
      <c r="K62" s="17" t="s">
        <v>236</v>
      </c>
      <c r="L62" s="18" t="s">
        <v>237</v>
      </c>
      <c r="M62" s="18" t="s">
        <v>155</v>
      </c>
      <c r="N62" s="17" t="s">
        <v>224</v>
      </c>
      <c r="O62" s="12">
        <f t="shared" ref="O62:R62" si="33">O61+10000</f>
        <v>110000</v>
      </c>
      <c r="P62" s="12">
        <f t="shared" si="33"/>
        <v>110000</v>
      </c>
      <c r="Q62" s="12">
        <f t="shared" si="33"/>
        <v>110000</v>
      </c>
      <c r="R62" s="12">
        <f t="shared" si="33"/>
        <v>110000</v>
      </c>
      <c r="S62" s="2">
        <v>0</v>
      </c>
      <c r="T62" s="2">
        <f t="shared" si="26"/>
        <v>480</v>
      </c>
      <c r="U62" s="2">
        <f t="shared" si="27"/>
        <v>580</v>
      </c>
      <c r="V62" s="2">
        <v>99</v>
      </c>
      <c r="W62" s="2">
        <f t="shared" si="28"/>
        <v>320</v>
      </c>
      <c r="X62" s="19" t="s">
        <v>222</v>
      </c>
      <c r="Y62" s="16"/>
    </row>
    <row r="63" s="2" customFormat="1" customHeight="1" spans="3:25">
      <c r="C63" s="7">
        <v>208</v>
      </c>
      <c r="D63" s="7">
        <v>3</v>
      </c>
      <c r="E63" s="7">
        <v>8</v>
      </c>
      <c r="F63" s="7">
        <v>27</v>
      </c>
      <c r="G63" s="7" t="s">
        <v>238</v>
      </c>
      <c r="H63" s="7" t="s">
        <v>220</v>
      </c>
      <c r="I63" s="17" t="s">
        <v>226</v>
      </c>
      <c r="J63" s="17" t="s">
        <v>226</v>
      </c>
      <c r="K63" s="17" t="s">
        <v>239</v>
      </c>
      <c r="L63" s="18" t="s">
        <v>240</v>
      </c>
      <c r="M63" s="18" t="s">
        <v>217</v>
      </c>
      <c r="N63" s="17" t="s">
        <v>226</v>
      </c>
      <c r="O63" s="12">
        <f t="shared" ref="O63:R63" si="34">O62+10000</f>
        <v>120000</v>
      </c>
      <c r="P63" s="12">
        <f t="shared" si="34"/>
        <v>120000</v>
      </c>
      <c r="Q63" s="12">
        <f t="shared" si="34"/>
        <v>120000</v>
      </c>
      <c r="R63" s="12">
        <f t="shared" si="34"/>
        <v>120000</v>
      </c>
      <c r="S63" s="2">
        <v>0</v>
      </c>
      <c r="T63" s="2">
        <f t="shared" si="26"/>
        <v>510</v>
      </c>
      <c r="U63" s="2">
        <f t="shared" si="27"/>
        <v>610</v>
      </c>
      <c r="V63" s="2">
        <v>99</v>
      </c>
      <c r="W63" s="2">
        <f t="shared" si="28"/>
        <v>340</v>
      </c>
      <c r="X63" s="19" t="s">
        <v>222</v>
      </c>
      <c r="Y63" s="16"/>
    </row>
    <row r="64" s="2" customFormat="1" customHeight="1" spans="3:25">
      <c r="C64" s="7">
        <v>209</v>
      </c>
      <c r="D64" s="7">
        <v>3</v>
      </c>
      <c r="E64" s="7">
        <v>9</v>
      </c>
      <c r="F64" s="7">
        <v>28</v>
      </c>
      <c r="G64" s="7" t="s">
        <v>241</v>
      </c>
      <c r="H64" s="7" t="s">
        <v>220</v>
      </c>
      <c r="I64" s="17" t="s">
        <v>229</v>
      </c>
      <c r="J64" s="17" t="s">
        <v>229</v>
      </c>
      <c r="K64" s="17" t="s">
        <v>242</v>
      </c>
      <c r="L64" s="18" t="s">
        <v>243</v>
      </c>
      <c r="M64" s="18" t="s">
        <v>237</v>
      </c>
      <c r="N64" s="17" t="s">
        <v>229</v>
      </c>
      <c r="O64" s="12">
        <f t="shared" ref="O64:R64" si="35">O63+10000</f>
        <v>130000</v>
      </c>
      <c r="P64" s="12">
        <f t="shared" si="35"/>
        <v>130000</v>
      </c>
      <c r="Q64" s="12">
        <f t="shared" si="35"/>
        <v>130000</v>
      </c>
      <c r="R64" s="12">
        <f t="shared" si="35"/>
        <v>130000</v>
      </c>
      <c r="S64" s="2">
        <v>0</v>
      </c>
      <c r="T64" s="2">
        <f t="shared" si="26"/>
        <v>540</v>
      </c>
      <c r="U64" s="2">
        <f t="shared" si="27"/>
        <v>640</v>
      </c>
      <c r="V64" s="2">
        <v>99</v>
      </c>
      <c r="W64" s="2">
        <f t="shared" si="28"/>
        <v>360</v>
      </c>
      <c r="X64" s="19" t="s">
        <v>222</v>
      </c>
      <c r="Y64" s="16"/>
    </row>
    <row r="65" s="2" customFormat="1" customHeight="1" spans="3:25">
      <c r="C65" s="7">
        <v>210</v>
      </c>
      <c r="D65" s="7">
        <v>3</v>
      </c>
      <c r="E65" s="7">
        <v>10</v>
      </c>
      <c r="F65" s="7">
        <v>29</v>
      </c>
      <c r="G65" s="7" t="s">
        <v>244</v>
      </c>
      <c r="H65" s="7" t="s">
        <v>220</v>
      </c>
      <c r="I65" s="17" t="s">
        <v>232</v>
      </c>
      <c r="J65" s="17" t="s">
        <v>232</v>
      </c>
      <c r="K65" s="17" t="s">
        <v>245</v>
      </c>
      <c r="L65" s="18" t="s">
        <v>246</v>
      </c>
      <c r="M65" s="18" t="s">
        <v>240</v>
      </c>
      <c r="N65" s="17" t="s">
        <v>232</v>
      </c>
      <c r="O65" s="12">
        <f t="shared" ref="O65:R65" si="36">O64+10000</f>
        <v>140000</v>
      </c>
      <c r="P65" s="12">
        <f t="shared" si="36"/>
        <v>140000</v>
      </c>
      <c r="Q65" s="12">
        <f t="shared" si="36"/>
        <v>140000</v>
      </c>
      <c r="R65" s="12">
        <f t="shared" si="36"/>
        <v>140000</v>
      </c>
      <c r="S65" s="2">
        <v>0</v>
      </c>
      <c r="T65" s="2">
        <f t="shared" si="26"/>
        <v>570</v>
      </c>
      <c r="U65" s="2">
        <f t="shared" si="27"/>
        <v>670</v>
      </c>
      <c r="V65" s="2">
        <v>99</v>
      </c>
      <c r="W65" s="2">
        <f t="shared" si="28"/>
        <v>380</v>
      </c>
      <c r="X65" s="19" t="s">
        <v>222</v>
      </c>
      <c r="Y65" s="16"/>
    </row>
    <row r="66" s="2" customFormat="1" customHeight="1" spans="3:25">
      <c r="C66" s="7"/>
      <c r="D66" s="7"/>
      <c r="E66" s="7"/>
      <c r="F66" s="7"/>
      <c r="G66" s="7"/>
      <c r="H66" s="7"/>
      <c r="I66" s="10"/>
      <c r="J66" s="10"/>
      <c r="K66" s="10"/>
      <c r="L66" s="2"/>
      <c r="M66" s="2"/>
      <c r="N66" s="11"/>
      <c r="O66" s="2"/>
      <c r="P66" s="2"/>
      <c r="Q66" s="2"/>
      <c r="R66" s="2"/>
      <c r="S66" s="2"/>
      <c r="T66" s="2"/>
      <c r="U66" s="2"/>
      <c r="V66" s="2"/>
      <c r="W66" s="2"/>
      <c r="X66" s="2"/>
      <c r="Y66" s="16"/>
    </row>
    <row r="67" s="2" customFormat="1" customHeight="1" spans="3:25">
      <c r="C67" s="7"/>
      <c r="D67" s="7"/>
      <c r="E67" s="7"/>
      <c r="F67" s="7"/>
      <c r="G67" s="7"/>
      <c r="H67" s="7"/>
      <c r="I67" s="10"/>
      <c r="J67" s="10"/>
      <c r="K67" s="10"/>
      <c r="L67" s="2"/>
      <c r="M67" s="2"/>
      <c r="N67" s="11"/>
      <c r="O67" s="2"/>
      <c r="P67" s="2"/>
      <c r="Q67" s="2"/>
      <c r="R67" s="2"/>
      <c r="S67" s="2"/>
      <c r="T67" s="2"/>
      <c r="U67" s="2"/>
      <c r="V67" s="2"/>
      <c r="W67" s="2"/>
      <c r="X67" s="2"/>
      <c r="Y67" s="16"/>
    </row>
    <row r="68" s="2" customFormat="1" customHeight="1" spans="3:25">
      <c r="C68" s="7"/>
      <c r="D68" s="7"/>
      <c r="E68" s="7"/>
      <c r="F68" s="7"/>
      <c r="G68" s="7"/>
      <c r="H68" s="7"/>
      <c r="I68" s="10"/>
      <c r="J68" s="10"/>
      <c r="K68" s="10"/>
      <c r="L68" s="2"/>
      <c r="M68" s="2"/>
      <c r="N68" s="11"/>
      <c r="O68" s="2"/>
      <c r="P68" s="2"/>
      <c r="Q68" s="2"/>
      <c r="R68" s="2"/>
      <c r="S68" s="2"/>
      <c r="T68" s="2"/>
      <c r="U68" s="2"/>
      <c r="V68" s="2"/>
      <c r="W68" s="2"/>
      <c r="X68" s="2"/>
      <c r="Y68" s="16"/>
    </row>
  </sheetData>
  <dataValidations count="1">
    <dataValidation type="custom" allowBlank="1" showErrorMessage="1" errorTitle="拒绝重复输入" error="当前输入的内容，与本区域的其他单元格内容重复。" sqref="C3:X5" errorStyle="warning">
      <formula1>COUNTIF($A:$A,C3)&lt;2</formula1>
    </dataValidation>
  </dataValidation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生成配置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我看见羊</cp:lastModifiedBy>
  <dcterms:created xsi:type="dcterms:W3CDTF">2015-06-05T18:19:00Z</dcterms:created>
  <dcterms:modified xsi:type="dcterms:W3CDTF">2025-10-11T02:55:46Z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2052-12.1.0.23125</vt:lpwstr>
  </property>
  <property fmtid="{D5CDD505-2E9C-101B-9397-08002B2CF9AE}" pid="3" name="ICV">
    <vt:lpwstr>66F39FE80FFA40759E47775459CB980C_13</vt:lpwstr>
  </property>
  <property fmtid="{D5CDD505-2E9C-101B-9397-08002B2CF9AE}" pid="4" name="KSOReadingLayout">
    <vt:bool>true</vt:bool>
  </property>
</Properties>
</file>
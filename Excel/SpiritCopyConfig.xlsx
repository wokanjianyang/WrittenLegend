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<sst xmlns="http://schemas.openxmlformats.org/spreadsheetml/2006/main" count="67" uniqueCount="37">
  <si>
    <t>#</t>
  </si>
  <si>
    <t>ID</t>
  </si>
  <si>
    <t>MapName</t>
  </si>
  <si>
    <t>MonsterName</t>
  </si>
  <si>
    <t>Require</t>
  </si>
  <si>
    <t>Attr</t>
  </si>
  <si>
    <t>Def</t>
  </si>
  <si>
    <t>HP</t>
  </si>
  <si>
    <t>Speed</t>
  </si>
  <si>
    <t>DamageIncrea</t>
  </si>
  <si>
    <t>DamageResist</t>
  </si>
  <si>
    <t>CritRateResist</t>
  </si>
  <si>
    <t>CritDamageResist</t>
  </si>
  <si>
    <t>Protect</t>
  </si>
  <si>
    <t>Id</t>
  </si>
  <si>
    <t>int</t>
  </si>
  <si>
    <t>string</t>
  </si>
  <si>
    <t>英灵一层</t>
  </si>
  <si>
    <t>波才</t>
  </si>
  <si>
    <t>50000</t>
  </si>
  <si>
    <t>英灵二层</t>
  </si>
  <si>
    <t>张曼成</t>
  </si>
  <si>
    <t>200000</t>
  </si>
  <si>
    <t>英灵三层</t>
  </si>
  <si>
    <t>程远志</t>
  </si>
  <si>
    <t>600000</t>
  </si>
  <si>
    <t>英灵四层</t>
  </si>
  <si>
    <t>马元义</t>
  </si>
  <si>
    <t>2000000</t>
  </si>
  <si>
    <t>英灵五层</t>
  </si>
  <si>
    <t>管亥</t>
  </si>
  <si>
    <t>英灵六层</t>
  </si>
  <si>
    <t>张梁</t>
  </si>
  <si>
    <t>英灵七层</t>
  </si>
  <si>
    <t>张宝</t>
  </si>
  <si>
    <t>英灵八层</t>
  </si>
  <si>
    <t>张角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</si>
</sst>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1" fillId="0" borderId="0" xfId="0" applyNumberFormat="1" applyFont="1"/>
    <xf numFmtId="176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1" fillId="2" borderId="0" xfId="0" applyFont="1" applyFill="1" applyAlignment="1">
      <alignment horizontal="center"/>
    </xf>
    <xf numFmtId="176" fontId="1" fillId="2" borderId="0" xfId="0" applyNumberFormat="1" applyFont="1" applyFill="1" applyAlignment="1">
      <alignment horizontal="center"/>
    </xf>
    <xf numFmtId="176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176" fontId="2" fillId="0" borderId="0" xfId="0" applyNumberFormat="1" applyFont="1" applyFill="1" applyAlignment="1">
      <alignment horizontal="left"/>
    </xf>
    <xf numFmtId="176" fontId="1" fillId="0" borderId="0" xfId="0" applyNumberFormat="1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ike.baidu.com/item/%E9%A9%AC%E5%85%83%E4%B9%89/2282194?fromModule=lemma_in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abSelected="1" workbookViewId="0">
      <pane ySplit="5" topLeftCell="A6" activePane="bottomLeft" state="frozen"/>
      <selection/>
      <selection pane="bottomLeft" activeCell="G20" sqref="G20"/>
    </sheetView>
  </sheetViews>
  <sheetFormatPr defaultColWidth="9" defaultRowHeight="16" customHeight="1"/>
  <cols>
    <col min="1" max="1" width="6.875" style="2" customWidth="1"/>
    <col min="2" max="2" width="8" style="2" customWidth="1"/>
    <col min="3" max="3" width="9.875" style="1" customWidth="1"/>
    <col min="4" max="4" width="10.0833333333333" style="1" customWidth="1"/>
    <col min="5" max="6" width="12.3333333333333" style="1" customWidth="1"/>
    <col min="7" max="7" width="11.625" style="3" customWidth="1"/>
    <col min="8" max="8" width="17" style="3" customWidth="1"/>
    <col min="9" max="9" width="19.25" style="3" customWidth="1"/>
    <col min="10" max="10" width="13.1666666666667" style="3" customWidth="1"/>
    <col min="11" max="11" width="9.83333333333333" style="2" customWidth="1"/>
    <col min="12" max="12" width="9.33333333333333" style="2" customWidth="1"/>
    <col min="13" max="13" width="8" style="2" customWidth="1"/>
    <col min="14" max="14" width="7.08333333333333" style="2" customWidth="1"/>
    <col min="15" max="15" width="7.5" style="2" customWidth="1"/>
    <col min="16" max="16384" width="9" style="2"/>
  </cols>
  <sheetData>
    <row r="1" s="1" customFormat="1" customHeight="1" spans="1:19">
      <c r="A1" s="2"/>
      <c r="B1" s="2"/>
      <c r="G1" s="4"/>
      <c r="H1" s="4"/>
      <c r="I1" s="4"/>
      <c r="J1" s="4"/>
      <c r="K1" s="2"/>
      <c r="L1" s="2"/>
      <c r="M1" s="2"/>
      <c r="N1" s="2"/>
      <c r="O1" s="2"/>
      <c r="R1" s="1" t="s">
        <v>0</v>
      </c>
      <c r="S1" s="1" t="s">
        <v>0</v>
      </c>
    </row>
    <row r="2" s="1" customFormat="1" customHeight="1" spans="1:19">
      <c r="A2" s="2"/>
      <c r="B2" s="2"/>
      <c r="G2" s="4"/>
      <c r="H2" s="4"/>
      <c r="I2" s="4"/>
      <c r="J2" s="4"/>
      <c r="K2" s="2"/>
      <c r="L2" s="2"/>
      <c r="M2" s="2"/>
      <c r="N2" s="2"/>
      <c r="O2" s="2"/>
      <c r="R2" s="1" t="s">
        <v>0</v>
      </c>
      <c r="S2" s="1" t="s">
        <v>0</v>
      </c>
    </row>
    <row r="3" s="1" customFormat="1" customHeight="1" spans="1:19">
      <c r="A3" s="2"/>
      <c r="B3" s="2"/>
      <c r="C3" s="5" t="s">
        <v>1</v>
      </c>
      <c r="D3" s="5" t="s">
        <v>2</v>
      </c>
      <c r="E3" s="5" t="s">
        <v>3</v>
      </c>
      <c r="F3" s="5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</row>
    <row r="4" s="1" customFormat="1" customHeight="1" spans="1:19">
      <c r="A4" s="2"/>
      <c r="B4" s="2"/>
      <c r="C4" s="5" t="s">
        <v>14</v>
      </c>
      <c r="D4" s="5" t="s">
        <v>2</v>
      </c>
      <c r="E4" s="5" t="s">
        <v>3</v>
      </c>
      <c r="F4" s="5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</row>
    <row r="5" s="1" customFormat="1" customHeight="1" spans="1:19">
      <c r="A5" s="2"/>
      <c r="B5" s="2"/>
      <c r="C5" s="5" t="s">
        <v>15</v>
      </c>
      <c r="D5" s="5" t="s">
        <v>16</v>
      </c>
      <c r="E5" s="5" t="s">
        <v>16</v>
      </c>
      <c r="F5" s="5" t="s">
        <v>15</v>
      </c>
      <c r="G5" s="6" t="s">
        <v>16</v>
      </c>
      <c r="H5" s="6" t="s">
        <v>16</v>
      </c>
      <c r="I5" s="6" t="s">
        <v>16</v>
      </c>
      <c r="J5" s="6" t="s">
        <v>15</v>
      </c>
      <c r="K5" s="5" t="s">
        <v>15</v>
      </c>
      <c r="L5" s="5" t="s">
        <v>15</v>
      </c>
      <c r="M5" s="5" t="s">
        <v>15</v>
      </c>
      <c r="N5" s="5" t="s">
        <v>15</v>
      </c>
      <c r="O5" s="5" t="s">
        <v>15</v>
      </c>
    </row>
    <row r="6" customHeight="1" spans="1:19">
      <c r="C6" s="1">
        <v>1</v>
      </c>
      <c r="D6" s="1" t="s">
        <v>17</v>
      </c>
      <c r="E6" s="1" t="s">
        <v>18</v>
      </c>
      <c r="F6" s="1">
        <v>0</v>
      </c>
      <c r="G6" s="10" t="s">
        <v>19</v>
      </c>
      <c r="H6" s="10" t="s">
        <v>19</v>
      </c>
      <c r="I6" s="7">
        <f t="shared" ref="I6:I13" si="0">H6*R6*1000</f>
        <v>50000000</v>
      </c>
      <c r="J6" s="7">
        <v>40</v>
      </c>
      <c r="K6" s="8">
        <v>100</v>
      </c>
      <c r="L6" s="8">
        <v>1800</v>
      </c>
      <c r="M6" s="8">
        <v>1800</v>
      </c>
      <c r="N6" s="8">
        <v>1800</v>
      </c>
      <c r="O6" s="8">
        <v>99</v>
      </c>
      <c r="R6" s="8">
        <v>1</v>
      </c>
      <c r="S6" s="2">
        <v>1000</v>
      </c>
    </row>
    <row r="7" customHeight="1" spans="1:19">
      <c r="C7" s="1">
        <v>2</v>
      </c>
      <c r="D7" s="1" t="s">
        <v>20</v>
      </c>
      <c r="E7" s="1" t="s">
        <v>21</v>
      </c>
      <c r="F7" s="1">
        <v>100</v>
      </c>
      <c r="G7" s="10" t="s">
        <v>22</v>
      </c>
      <c r="H7" s="10" t="s">
        <v>22</v>
      </c>
      <c r="I7" s="7">
        <f t="shared" si="0"/>
        <v>400000000</v>
      </c>
      <c r="J7" s="7">
        <f t="shared" ref="J7:J13" si="1">J6+40</f>
        <v>80</v>
      </c>
      <c r="K7" s="8">
        <v>100</v>
      </c>
      <c r="L7" s="8">
        <v>1800</v>
      </c>
      <c r="M7" s="8">
        <v>1800</v>
      </c>
      <c r="N7" s="8">
        <v>1800</v>
      </c>
      <c r="O7" s="8">
        <v>99</v>
      </c>
      <c r="R7" s="8">
        <v>2</v>
      </c>
      <c r="S7" s="2">
        <v>2000</v>
      </c>
    </row>
    <row r="8" customHeight="1" spans="1:19">
      <c r="C8" s="1">
        <v>3</v>
      </c>
      <c r="D8" s="1" t="s">
        <v>23</v>
      </c>
      <c r="E8" s="1" t="s">
        <v>24</v>
      </c>
      <c r="F8" s="1">
        <v>200</v>
      </c>
      <c r="G8" s="10" t="s">
        <v>25</v>
      </c>
      <c r="H8" s="10" t="s">
        <v>25</v>
      </c>
      <c r="I8" s="7">
        <f t="shared" si="0"/>
        <v>1800000000</v>
      </c>
      <c r="J8" s="7">
        <f t="shared" si="1"/>
        <v>120</v>
      </c>
      <c r="K8" s="8">
        <v>100</v>
      </c>
      <c r="L8" s="8">
        <v>1800</v>
      </c>
      <c r="M8" s="8">
        <v>1800</v>
      </c>
      <c r="N8" s="8">
        <v>1800</v>
      </c>
      <c r="O8" s="8">
        <v>99</v>
      </c>
      <c r="R8" s="8">
        <v>3</v>
      </c>
      <c r="S8" s="2">
        <v>4000</v>
      </c>
    </row>
    <row r="9" customHeight="1" spans="1:19">
      <c r="C9" s="1">
        <v>4</v>
      </c>
      <c r="D9" s="1" t="s">
        <v>26</v>
      </c>
      <c r="E9" s="1" t="s">
        <v>27</v>
      </c>
      <c r="F9" s="1">
        <v>400</v>
      </c>
      <c r="G9" s="10" t="s">
        <v>28</v>
      </c>
      <c r="H9" s="10" t="s">
        <v>28</v>
      </c>
      <c r="I9" s="7">
        <f t="shared" si="0"/>
        <v>8000000000</v>
      </c>
      <c r="J9" s="7">
        <f t="shared" si="1"/>
        <v>160</v>
      </c>
      <c r="K9" s="8">
        <v>100</v>
      </c>
      <c r="L9" s="8">
        <v>1800</v>
      </c>
      <c r="M9" s="8">
        <v>1800</v>
      </c>
      <c r="N9" s="8">
        <v>1800</v>
      </c>
      <c r="O9" s="8">
        <v>99</v>
      </c>
      <c r="R9" s="8">
        <v>4</v>
      </c>
      <c r="S9" s="2">
        <v>8000</v>
      </c>
    </row>
    <row r="10" customHeight="1" spans="1:19">
      <c r="C10" s="1">
        <v>5</v>
      </c>
      <c r="D10" s="1" t="s">
        <v>29</v>
      </c>
      <c r="E10" s="1" t="s">
        <v>30</v>
      </c>
      <c r="F10" s="1">
        <v>700</v>
      </c>
      <c r="G10" s="7">
        <v>4000000</v>
      </c>
      <c r="H10" s="7">
        <v>4000000</v>
      </c>
      <c r="I10" s="7">
        <f t="shared" si="0"/>
        <v>20000000000</v>
      </c>
      <c r="J10" s="7">
        <f t="shared" si="1"/>
        <v>200</v>
      </c>
      <c r="K10" s="8">
        <v>100</v>
      </c>
      <c r="L10" s="8">
        <v>1800</v>
      </c>
      <c r="M10" s="8">
        <v>1800</v>
      </c>
      <c r="N10" s="8">
        <v>1800</v>
      </c>
      <c r="O10" s="8">
        <v>99</v>
      </c>
      <c r="R10" s="8">
        <v>5</v>
      </c>
      <c r="S10" s="2">
        <v>16000</v>
      </c>
    </row>
    <row r="11" customHeight="1" spans="1:19">
      <c r="C11" s="1">
        <v>6</v>
      </c>
      <c r="D11" s="1" t="s">
        <v>31</v>
      </c>
      <c r="E11" s="1" t="s">
        <v>32</v>
      </c>
      <c r="F11" s="1">
        <v>1100</v>
      </c>
      <c r="G11" s="7">
        <v>8000000</v>
      </c>
      <c r="H11" s="7">
        <v>8000000</v>
      </c>
      <c r="I11" s="7">
        <f t="shared" si="0"/>
        <v>48000000000</v>
      </c>
      <c r="J11" s="7">
        <f t="shared" si="1"/>
        <v>240</v>
      </c>
      <c r="K11" s="8">
        <v>100</v>
      </c>
      <c r="L11" s="8">
        <v>1800</v>
      </c>
      <c r="M11" s="8">
        <v>1800</v>
      </c>
      <c r="N11" s="8">
        <v>1800</v>
      </c>
      <c r="O11" s="8">
        <v>99</v>
      </c>
      <c r="R11" s="8">
        <v>6</v>
      </c>
      <c r="S11" s="2">
        <v>30000</v>
      </c>
    </row>
    <row r="12" customHeight="1" spans="1:19">
      <c r="C12" s="1">
        <v>7</v>
      </c>
      <c r="D12" s="1" t="s">
        <v>33</v>
      </c>
      <c r="E12" s="1" t="s">
        <v>34</v>
      </c>
      <c r="F12" s="1">
        <v>1500</v>
      </c>
      <c r="G12" s="7">
        <v>15000000</v>
      </c>
      <c r="H12" s="7">
        <v>15000000</v>
      </c>
      <c r="I12" s="7">
        <f t="shared" si="0"/>
        <v>105000000000</v>
      </c>
      <c r="J12" s="7">
        <f t="shared" si="1"/>
        <v>280</v>
      </c>
      <c r="K12" s="8">
        <v>100</v>
      </c>
      <c r="L12" s="8">
        <v>1800</v>
      </c>
      <c r="M12" s="8">
        <v>1800</v>
      </c>
      <c r="N12" s="8">
        <v>1800</v>
      </c>
      <c r="O12" s="8">
        <v>99</v>
      </c>
      <c r="R12" s="8">
        <v>7</v>
      </c>
      <c r="S12" s="2">
        <v>50000</v>
      </c>
    </row>
    <row r="13" customHeight="1" spans="1:19">
      <c r="C13" s="1">
        <v>8</v>
      </c>
      <c r="D13" s="1" t="s">
        <v>35</v>
      </c>
      <c r="E13" s="1" t="s">
        <v>36</v>
      </c>
      <c r="F13" s="1">
        <v>2000</v>
      </c>
      <c r="G13" s="7">
        <v>20000000</v>
      </c>
      <c r="H13" s="7">
        <v>20000000</v>
      </c>
      <c r="I13" s="7">
        <f t="shared" si="0"/>
        <v>160000000000</v>
      </c>
      <c r="J13" s="7">
        <f t="shared" si="1"/>
        <v>320</v>
      </c>
      <c r="K13" s="8">
        <v>100</v>
      </c>
      <c r="L13" s="8">
        <v>1800</v>
      </c>
      <c r="M13" s="8">
        <v>1800</v>
      </c>
      <c r="N13" s="8">
        <v>1800</v>
      </c>
      <c r="O13" s="8">
        <v>99</v>
      </c>
      <c r="R13" s="8">
        <v>8</v>
      </c>
      <c r="S13" s="2">
        <v>80000</v>
      </c>
    </row>
    <row r="14" customHeight="1" spans="1:19">
      <c r="G14" s="9"/>
      <c r="H14" s="7"/>
      <c r="I14" s="7"/>
      <c r="J14" s="7"/>
      <c r="K14" s="8"/>
      <c r="L14" s="8"/>
      <c r="M14" s="8"/>
      <c r="N14" s="8"/>
      <c r="O14" s="8"/>
      <c r="R14" s="8"/>
    </row>
    <row r="15" customHeight="1" spans="1:19">
      <c r="G15" s="7"/>
      <c r="H15" s="7"/>
      <c r="I15" s="7"/>
      <c r="J15" s="7"/>
      <c r="K15" s="8"/>
      <c r="L15" s="8"/>
      <c r="M15" s="8"/>
      <c r="N15" s="8"/>
      <c r="O15" s="8"/>
      <c r="R15" s="8"/>
    </row>
    <row r="16" customHeight="1" spans="1:19">
      <c r="G16" s="7"/>
      <c r="H16" s="7"/>
      <c r="I16" s="7"/>
      <c r="J16" s="7"/>
      <c r="K16" s="8"/>
      <c r="L16" s="8"/>
      <c r="M16" s="8"/>
      <c r="N16" s="8"/>
      <c r="O16" s="8"/>
      <c r="R16" s="8"/>
    </row>
    <row r="17" customHeight="1" spans="7:19">
      <c r="G17" s="7"/>
      <c r="H17" s="7"/>
      <c r="I17" s="7"/>
      <c r="J17" s="7"/>
      <c r="K17" s="8"/>
      <c r="L17" s="8"/>
      <c r="M17" s="8"/>
      <c r="N17" s="8"/>
      <c r="O17" s="8"/>
      <c r="R17" s="8"/>
    </row>
    <row r="18" customHeight="1" spans="7:19">
      <c r="G18" s="7"/>
      <c r="H18" s="7"/>
      <c r="I18" s="7"/>
      <c r="J18" s="7"/>
      <c r="K18" s="8"/>
      <c r="L18" s="8"/>
      <c r="M18" s="8"/>
      <c r="N18" s="8"/>
      <c r="O18" s="8"/>
      <c r="R18" s="8"/>
    </row>
    <row r="19" customHeight="1" spans="7:19">
      <c r="G19" s="7"/>
      <c r="H19" s="7"/>
      <c r="I19" s="7"/>
      <c r="J19" s="7"/>
      <c r="K19" s="8"/>
      <c r="L19" s="8"/>
      <c r="M19" s="8"/>
      <c r="N19" s="8"/>
      <c r="O19" s="8"/>
      <c r="R19" s="8"/>
    </row>
    <row r="20" customHeight="1" spans="7:19">
      <c r="G20" s="7"/>
      <c r="H20" s="7"/>
      <c r="I20" s="7"/>
      <c r="J20" s="7"/>
      <c r="K20" s="8"/>
      <c r="L20" s="8"/>
      <c r="M20" s="8"/>
      <c r="N20" s="8"/>
      <c r="O20" s="8"/>
      <c r="R20" s="8"/>
    </row>
    <row r="21" customHeight="1" spans="7:19">
      <c r="G21" s="7"/>
      <c r="H21" s="7"/>
      <c r="I21" s="7"/>
      <c r="J21" s="7"/>
      <c r="K21" s="8"/>
      <c r="L21" s="8"/>
      <c r="M21" s="8"/>
      <c r="N21" s="8"/>
      <c r="O21" s="8"/>
      <c r="R21" s="8"/>
    </row>
    <row r="22" customHeight="1" spans="7:19">
      <c r="G22" s="7"/>
      <c r="H22" s="7"/>
      <c r="I22" s="7"/>
      <c r="J22" s="7"/>
      <c r="K22" s="8"/>
      <c r="L22" s="8"/>
      <c r="M22" s="8"/>
      <c r="N22" s="8"/>
      <c r="O22" s="8"/>
      <c r="R22" s="8"/>
      <c r="S22" s="8"/>
    </row>
    <row r="23" customHeight="1" spans="7:19">
      <c r="G23" s="7"/>
      <c r="I23" s="7"/>
      <c r="J23" s="7"/>
      <c r="K23" s="8"/>
      <c r="L23" s="8"/>
      <c r="M23" s="8"/>
      <c r="N23" s="8"/>
      <c r="O23" s="8"/>
      <c r="R23" s="8"/>
      <c r="S23" s="8"/>
    </row>
    <row r="24" customHeight="1" spans="7:19">
      <c r="G24" s="7"/>
      <c r="H24" s="7"/>
      <c r="I24" s="7"/>
      <c r="J24" s="7"/>
      <c r="K24" s="8"/>
      <c r="L24" s="8"/>
      <c r="M24" s="8"/>
      <c r="N24" s="8"/>
      <c r="O24" s="8"/>
      <c r="R24" s="8"/>
    </row>
    <row r="25" customHeight="1" spans="7:19">
      <c r="G25" s="7"/>
      <c r="H25" s="7"/>
      <c r="I25" s="7"/>
      <c r="J25" s="7"/>
      <c r="K25" s="8"/>
      <c r="L25" s="8"/>
      <c r="M25" s="8"/>
      <c r="N25" s="8"/>
      <c r="O25" s="8"/>
      <c r="R25" s="8"/>
    </row>
    <row r="26" customHeight="1" spans="7:19">
      <c r="G26" s="7"/>
    </row>
  </sheetData>
  <dataValidations count="1">
    <dataValidation type="custom" allowBlank="1" showErrorMessage="1" errorTitle="拒绝重复输入" error="当前输入的内容，与本区域的其他单元格内容重复。" sqref="C3:O5" errorStyle="warning">
      <formula1>COUNTIF($A:$A,C3)&lt;2</formula1>
    </dataValidation>
  </dataValidations>
  <hyperlinks>
    <hyperlink ref="E9" r:id="rId1" display="马元义" tooltip="https://baike.baidu.com/item/%E9%A9%AC%E5%85%83%E4%B9%89/2282194?fromModule=lemma_in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2025-12-24T05:20:15Z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
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<sst xmlns="http://schemas.openxmlformats.org/spreadsheetml/2006/main" count="66" uniqueCount="37">
  <si>
    <t>#</t>
  </si>
  <si>
    <t>ID</t>
  </si>
  <si>
    <t>MapName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</si>
  <si>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</si>
  <si>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</si>
  <si>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</si>
  <si>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</si>
  <si>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</si>
  <si>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</si>
  <si>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</si>
  <si>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</si>
  <si>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</si>
  <si>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</si>
  <si>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Id</t>
  </si>
  <si>
    <t>int</t>
  </si>
  <si>
    <t>string</t>
  </si>
  <si>
    <t>英灵一层</t>
  </si>
  <si>
    <t>波才</t>
  </si>
  <si>
    <t>10000</t>
  </si>
  <si>
    <t>英灵二层</t>
  </si>
  <si>
    <t>张曼成</t>
  </si>
  <si>
    <t>40000</t>
  </si>
  <si>
    <t>英灵三层</t>
  </si>
  <si>
    <t>程远志</t>
  </si>
  <si>
    <t>100000</t>
  </si>
  <si>
    <t>英灵四层</t>
  </si>
  <si>
    <t>马元义</t>
  </si>
  <si>
    <t>300000</t>
  </si>
  <si>
    <t>英灵五层</t>
  </si>
  <si>
    <t>管亥</t>
  </si>
  <si>
    <t>英灵六层</t>
  </si>
  <si>
    <t>张梁</t>
  </si>
  <si>
    <t>英灵七层</t>
  </si>
  <si>
    <t>张宝</t>
  </si>
  <si>
    <t>英灵八层</t>
  </si>
  <si>
    <t>张角</t>
  </si>
  <si>
    <t>10000000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</si>
</sst>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1">
    <font>
      <sz val="11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1" fillId="2" borderId="0" xfId="0" applyFont="1" applyFill="1" applyAlignment="1">
      <alignment horizontal="center"/>
    </xf>
    <xf numFmtId="176" fontId="1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aike.baidu.com/item/%E9%A9%AC%E5%85%83%E4%B9%89/2282194?fromModule=lemma_in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6"/>
  <sheetViews>
    <sheetView tabSelected="1" workbookViewId="0">
      <pane ySplit="5" topLeftCell="A6" activePane="bottomLeft" state="frozen"/>
      <selection/>
      <selection pane="bottomLeft" activeCell="I29" sqref="I29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5" width="17.125" style="1" customWidth="1"/>
    <col min="6" max="6" width="11.625" style="3" customWidth="1"/>
    <col min="7" max="7" width="17" style="3" customWidth="1"/>
    <col min="8" max="8" width="19.25" style="3" customWidth="1"/>
    <col min="9" max="9" width="13.1666666666667" style="3" customWidth="1"/>
    <col min="10" max="10" width="9.83333333333333" style="2" customWidth="1"/>
    <col min="11" max="11" width="9.33333333333333" style="2" customWidth="1"/>
    <col min="12" max="12" width="8" style="2" customWidth="1"/>
    <col min="13" max="13" width="7.08333333333333" style="2" customWidth="1"/>
    <col min="14" max="14" width="7.5" style="2" customWidth="1"/>
    <col min="15" max="16384" width="9" style="2"/>
  </cols>
  <sheetData>
    <row r="1" s="1" customFormat="1" customHeight="1" spans="1:18">
      <c r="A1" s="2"/>
      <c r="B1" s="2"/>
      <c r="F1" s="4"/>
      <c r="G1" s="4"/>
      <c r="H1" s="4"/>
      <c r="I1" s="4"/>
      <c r="J1" s="2"/>
      <c r="K1" s="2"/>
      <c r="L1" s="2"/>
      <c r="M1" s="2"/>
      <c r="N1" s="2"/>
      <c r="Q1" s="1" t="s">
        <v>0</v>
      </c>
      <c r="R1" s="1" t="s">
        <v>0</v>
      </c>
    </row>
    <row r="2" s="1" customFormat="1" customHeight="1" spans="1:18">
      <c r="A2" s="2"/>
      <c r="B2" s="2"/>
      <c r="F2" s="4"/>
      <c r="G2" s="4"/>
      <c r="H2" s="4"/>
      <c r="I2" s="4"/>
      <c r="J2" s="2"/>
      <c r="K2" s="2"/>
      <c r="L2" s="2"/>
      <c r="M2" s="2"/>
      <c r="N2" s="2"/>
      <c r="Q2" s="1" t="s">
        <v>0</v>
      </c>
      <c r="R2" s="1" t="s">
        <v>0</v>
      </c>
    </row>
    <row r="3" s="1" customFormat="1" customHeight="1" spans="1:18">
      <c r="A3" s="2"/>
      <c r="B3" s="2"/>
      <c r="C3" s="5" t="s">
        <v>1</v>
      </c>
      <c r="D3" s="5" t="s">
        <v>2</v>
      </c>
      <c r="E3" s="5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5" t="s">
        <v>8</v>
      </c>
      <c r="K3" s="5" t="s">
        <v>9</v>
      </c>
      <c r="L3" s="5" t="s">
        <v>10</v>
      </c>
      <c r="M3" s="5" t="s">
        <v>11</v>
      </c>
      <c r="N3" s="5" t="s">
        <v>12</v>
      </c>
    </row>
    <row r="4" s="1" customFormat="1" customHeight="1" spans="1:18">
      <c r="A4" s="2"/>
      <c r="B4" s="2"/>
      <c r="C4" s="5" t="s">
        <v>13</v>
      </c>
      <c r="D4" s="5" t="s">
        <v>2</v>
      </c>
      <c r="E4" s="5" t="s">
        <v>3</v>
      </c>
      <c r="F4" s="6" t="s">
        <v>4</v>
      </c>
      <c r="G4" s="6" t="s">
        <v>5</v>
      </c>
      <c r="H4" s="6" t="s">
        <v>6</v>
      </c>
      <c r="I4" s="6" t="s">
        <v>7</v>
      </c>
      <c r="J4" s="5" t="s">
        <v>8</v>
      </c>
      <c r="K4" s="5" t="s">
        <v>9</v>
      </c>
      <c r="L4" s="5" t="s">
        <v>10</v>
      </c>
      <c r="M4" s="5" t="s">
        <v>11</v>
      </c>
      <c r="N4" s="5" t="s">
        <v>12</v>
      </c>
    </row>
    <row r="5" s="1" customFormat="1" customHeight="1" spans="1:18">
      <c r="A5" s="2"/>
      <c r="B5" s="2"/>
      <c r="C5" s="5" t="s">
        <v>14</v>
      </c>
      <c r="D5" s="5" t="s">
        <v>15</v>
      </c>
      <c r="E5" s="5" t="s">
        <v>15</v>
      </c>
      <c r="F5" s="6" t="s">
        <v>15</v>
      </c>
      <c r="G5" s="6" t="s">
        <v>15</v>
      </c>
      <c r="H5" s="6" t="s">
        <v>15</v>
      </c>
      <c r="I5" s="6" t="s">
        <v>14</v>
      </c>
      <c r="J5" s="5" t="s">
        <v>14</v>
      </c>
      <c r="K5" s="5" t="s">
        <v>14</v>
      </c>
      <c r="L5" s="5" t="s">
        <v>14</v>
      </c>
      <c r="M5" s="5" t="s">
        <v>14</v>
      </c>
      <c r="N5" s="5" t="s">
        <v>14</v>
      </c>
    </row>
    <row r="6" customHeight="1" spans="1:18">
      <c r="C6" s="1">
        <v>1</v>
      </c>
      <c r="D6" s="1" t="s">
        <v>16</v>
      </c>
      <c r="E6" s="1" t="s">
        <v>17</v>
      </c>
      <c r="F6" s="9" t="s">
        <v>18</v>
      </c>
      <c r="G6" s="9" t="s">
        <v>18</v>
      </c>
      <c r="H6" s="7">
        <f t="shared" ref="H6:H13" si="0">G6*Q6*1000</f>
        <v>10000000</v>
      </c>
      <c r="I6" s="7">
        <v>40</v>
      </c>
      <c r="J6" s="8">
        <v>100</v>
      </c>
      <c r="K6" s="8">
        <v>1800</v>
      </c>
      <c r="L6" s="8">
        <v>1800</v>
      </c>
      <c r="M6" s="8">
        <v>1800</v>
      </c>
      <c r="N6" s="8">
        <v>99</v>
      </c>
      <c r="Q6" s="8">
        <v>1</v>
      </c>
      <c r="R6" s="2">
        <v>1000</v>
      </c>
    </row>
    <row r="7" customHeight="1" spans="1:18">
      <c r="C7" s="1">
        <v>2</v>
      </c>
      <c r="D7" s="1" t="s">
        <v>19</v>
      </c>
      <c r="E7" s="1" t="s">
        <v>20</v>
      </c>
      <c r="F7" s="9" t="s">
        <v>21</v>
      </c>
      <c r="G7" s="9" t="s">
        <v>21</v>
      </c>
      <c r="H7" s="7">
        <f t="shared" si="0"/>
        <v>80000000</v>
      </c>
      <c r="I7" s="7">
        <f t="shared" ref="I7:I13" si="1">I6+40</f>
        <v>80</v>
      </c>
      <c r="J7" s="8">
        <v>100</v>
      </c>
      <c r="K7" s="8">
        <v>1800</v>
      </c>
      <c r="L7" s="8">
        <v>1800</v>
      </c>
      <c r="M7" s="8">
        <v>1800</v>
      </c>
      <c r="N7" s="8">
        <v>99</v>
      </c>
      <c r="Q7" s="8">
        <v>2</v>
      </c>
      <c r="R7" s="2">
        <v>2000</v>
      </c>
    </row>
    <row r="8" customHeight="1" spans="1:18">
      <c r="C8" s="1">
        <v>3</v>
      </c>
      <c r="D8" s="1" t="s">
        <v>22</v>
      </c>
      <c r="E8" s="1" t="s">
        <v>23</v>
      </c>
      <c r="F8" s="9" t="s">
        <v>24</v>
      </c>
      <c r="G8" s="9" t="s">
        <v>24</v>
      </c>
      <c r="H8" s="7">
        <f t="shared" si="0"/>
        <v>300000000</v>
      </c>
      <c r="I8" s="7">
        <f t="shared" si="1"/>
        <v>120</v>
      </c>
      <c r="J8" s="8">
        <v>100</v>
      </c>
      <c r="K8" s="8">
        <v>1800</v>
      </c>
      <c r="L8" s="8">
        <v>1800</v>
      </c>
      <c r="M8" s="8">
        <v>1800</v>
      </c>
      <c r="N8" s="8">
        <v>99</v>
      </c>
      <c r="Q8" s="8">
        <v>3</v>
      </c>
      <c r="R8" s="2">
        <v>4000</v>
      </c>
    </row>
    <row r="9" customHeight="1" spans="1:18">
      <c r="C9" s="1">
        <v>4</v>
      </c>
      <c r="D9" s="1" t="s">
        <v>25</v>
      </c>
      <c r="E9" s="1" t="s">
        <v>26</v>
      </c>
      <c r="F9" s="9" t="s">
        <v>27</v>
      </c>
      <c r="G9" s="9" t="s">
        <v>27</v>
      </c>
      <c r="H9" s="7">
        <f t="shared" si="0"/>
        <v>1200000000</v>
      </c>
      <c r="I9" s="7">
        <f t="shared" si="1"/>
        <v>160</v>
      </c>
      <c r="J9" s="8">
        <v>100</v>
      </c>
      <c r="K9" s="8">
        <v>1800</v>
      </c>
      <c r="L9" s="8">
        <v>1800</v>
      </c>
      <c r="M9" s="8">
        <v>1800</v>
      </c>
      <c r="N9" s="8">
        <v>99</v>
      </c>
      <c r="Q9" s="8">
        <v>4</v>
      </c>
      <c r="R9" s="2">
        <v>8000</v>
      </c>
    </row>
    <row r="10" customHeight="1" spans="1:18">
      <c r="C10" s="1">
        <v>5</v>
      </c>
      <c r="D10" s="1" t="s">
        <v>28</v>
      </c>
      <c r="E10" s="1" t="s">
        <v>29</v>
      </c>
      <c r="F10" s="7">
        <v>800000</v>
      </c>
      <c r="G10" s="7">
        <v>800000</v>
      </c>
      <c r="H10" s="7">
        <f t="shared" si="0"/>
        <v>4000000000</v>
      </c>
      <c r="I10" s="7">
        <f t="shared" si="1"/>
        <v>200</v>
      </c>
      <c r="J10" s="8">
        <v>100</v>
      </c>
      <c r="K10" s="8">
        <v>1800</v>
      </c>
      <c r="L10" s="8">
        <v>1800</v>
      </c>
      <c r="M10" s="8">
        <v>1800</v>
      </c>
      <c r="N10" s="8">
        <v>99</v>
      </c>
      <c r="Q10" s="8">
        <v>5</v>
      </c>
      <c r="R10" s="2">
        <v>16000</v>
      </c>
    </row>
    <row r="11" customHeight="1" spans="1:18">
      <c r="C11" s="1">
        <v>6</v>
      </c>
      <c r="D11" s="1" t="s">
        <v>30</v>
      </c>
      <c r="E11" s="1" t="s">
        <v>31</v>
      </c>
      <c r="F11" s="7">
        <v>2000000</v>
      </c>
      <c r="G11" s="7">
        <v>2000000</v>
      </c>
      <c r="H11" s="7">
        <f t="shared" si="0"/>
        <v>12000000000</v>
      </c>
      <c r="I11" s="7">
        <f t="shared" si="1"/>
        <v>240</v>
      </c>
      <c r="J11" s="8">
        <v>100</v>
      </c>
      <c r="K11" s="8">
        <v>1800</v>
      </c>
      <c r="L11" s="8">
        <v>1800</v>
      </c>
      <c r="M11" s="8">
        <v>1800</v>
      </c>
      <c r="N11" s="8">
        <v>99</v>
      </c>
      <c r="Q11" s="8">
        <v>6</v>
      </c>
      <c r="R11" s="2">
        <v>32000</v>
      </c>
    </row>
    <row r="12" customHeight="1" spans="1:18">
      <c r="C12" s="1">
        <v>7</v>
      </c>
      <c r="D12" s="1" t="s">
        <v>32</v>
      </c>
      <c r="E12" s="1" t="s">
        <v>33</v>
      </c>
      <c r="F12" s="7">
        <v>5000000</v>
      </c>
      <c r="G12" s="7">
        <v>5000000</v>
      </c>
      <c r="H12" s="7">
        <f t="shared" si="0"/>
        <v>35000000000</v>
      </c>
      <c r="I12" s="7">
        <f t="shared" si="1"/>
        <v>280</v>
      </c>
      <c r="J12" s="8">
        <v>100</v>
      </c>
      <c r="K12" s="8">
        <v>1800</v>
      </c>
      <c r="L12" s="8">
        <v>1800</v>
      </c>
      <c r="M12" s="8">
        <v>1800</v>
      </c>
      <c r="N12" s="8">
        <v>99</v>
      </c>
      <c r="Q12" s="8">
        <v>7</v>
      </c>
      <c r="R12" s="2">
        <v>64000</v>
      </c>
    </row>
    <row r="13" customHeight="1" spans="1:18">
      <c r="C13" s="1">
        <v>8</v>
      </c>
      <c r="D13" s="1" t="s">
        <v>34</v>
      </c>
      <c r="E13" s="1" t="s">
        <v>35</v>
      </c>
      <c r="F13" s="9" t="s">
        <v>36</v>
      </c>
      <c r="G13" s="9" t="s">
        <v>36</v>
      </c>
      <c r="H13" s="7">
        <f t="shared" si="0"/>
        <v>80000000000</v>
      </c>
      <c r="I13" s="7">
        <f t="shared" si="1"/>
        <v>320</v>
      </c>
      <c r="J13" s="8">
        <v>100</v>
      </c>
      <c r="K13" s="8">
        <v>1800</v>
      </c>
      <c r="L13" s="8">
        <v>1800</v>
      </c>
      <c r="M13" s="8">
        <v>1800</v>
      </c>
      <c r="N13" s="8">
        <v>99</v>
      </c>
      <c r="Q13" s="8">
        <v>8</v>
      </c>
      <c r="R13" s="2">
        <v>100000</v>
      </c>
    </row>
    <row r="14" customHeight="1" spans="1:18">
      <c r="F14" s="7"/>
      <c r="G14" s="7"/>
      <c r="H14" s="7"/>
      <c r="I14" s="7"/>
      <c r="J14" s="8"/>
      <c r="K14" s="8"/>
      <c r="L14" s="8"/>
      <c r="M14" s="8"/>
      <c r="N14" s="8"/>
      <c r="Q14" s="8"/>
    </row>
    <row r="15" customHeight="1" spans="1:18">
      <c r="F15" s="7"/>
      <c r="G15" s="7"/>
      <c r="H15" s="7"/>
      <c r="I15" s="7"/>
      <c r="J15" s="8"/>
      <c r="K15" s="8"/>
      <c r="L15" s="8"/>
      <c r="M15" s="8"/>
      <c r="N15" s="8"/>
      <c r="Q15" s="8"/>
    </row>
    <row r="16" customHeight="1" spans="1:18">
      <c r="F16" s="7"/>
      <c r="G16" s="7"/>
      <c r="H16" s="7"/>
      <c r="I16" s="7"/>
      <c r="J16" s="8"/>
      <c r="K16" s="8"/>
      <c r="L16" s="8"/>
      <c r="M16" s="8"/>
      <c r="N16" s="8"/>
      <c r="Q16" s="8"/>
    </row>
    <row r="17" customHeight="1" spans="6:18">
      <c r="F17" s="7"/>
      <c r="G17" s="7"/>
      <c r="H17" s="7"/>
      <c r="I17" s="7"/>
      <c r="J17" s="8"/>
      <c r="K17" s="8"/>
      <c r="L17" s="8"/>
      <c r="M17" s="8"/>
      <c r="N17" s="8"/>
      <c r="Q17" s="8"/>
    </row>
    <row r="18" customHeight="1" spans="6:18">
      <c r="F18" s="7"/>
      <c r="G18" s="7"/>
      <c r="H18" s="7"/>
      <c r="I18" s="7"/>
      <c r="J18" s="8"/>
      <c r="K18" s="8"/>
      <c r="L18" s="8"/>
      <c r="M18" s="8"/>
      <c r="N18" s="8"/>
      <c r="Q18" s="8"/>
    </row>
    <row r="19" customHeight="1" spans="6:18">
      <c r="F19" s="7"/>
      <c r="G19" s="7"/>
      <c r="H19" s="7"/>
      <c r="I19" s="7"/>
      <c r="J19" s="8"/>
      <c r="K19" s="8"/>
      <c r="L19" s="8"/>
      <c r="M19" s="8"/>
      <c r="N19" s="8"/>
      <c r="Q19" s="8"/>
    </row>
    <row r="20" customHeight="1" spans="6:18">
      <c r="F20" s="7"/>
      <c r="G20" s="7"/>
      <c r="H20" s="7"/>
      <c r="I20" s="7"/>
      <c r="J20" s="8"/>
      <c r="K20" s="8"/>
      <c r="L20" s="8"/>
      <c r="M20" s="8"/>
      <c r="N20" s="8"/>
      <c r="Q20" s="8"/>
    </row>
    <row r="21" customHeight="1" spans="6:18">
      <c r="F21" s="7"/>
      <c r="G21" s="7"/>
      <c r="H21" s="7"/>
      <c r="I21" s="7"/>
      <c r="J21" s="8"/>
      <c r="K21" s="8"/>
      <c r="L21" s="8"/>
      <c r="M21" s="8"/>
      <c r="N21" s="8"/>
      <c r="Q21" s="8"/>
    </row>
    <row r="22" customHeight="1" spans="6:18">
      <c r="F22" s="7"/>
      <c r="G22" s="7"/>
      <c r="H22" s="7"/>
      <c r="I22" s="7"/>
      <c r="J22" s="8"/>
      <c r="K22" s="8"/>
      <c r="L22" s="8"/>
      <c r="M22" s="8"/>
      <c r="N22" s="8"/>
      <c r="Q22" s="8"/>
      <c r="R22" s="8"/>
    </row>
    <row r="23" customHeight="1" spans="6:18">
      <c r="F23" s="7"/>
      <c r="H23" s="7"/>
      <c r="I23" s="7"/>
      <c r="J23" s="8"/>
      <c r="K23" s="8"/>
      <c r="L23" s="8"/>
      <c r="M23" s="8"/>
      <c r="N23" s="8"/>
      <c r="Q23" s="8"/>
      <c r="R23" s="8"/>
    </row>
    <row r="24" customHeight="1" spans="6:18">
      <c r="F24" s="7"/>
      <c r="G24" s="7"/>
      <c r="H24" s="7"/>
      <c r="I24" s="7"/>
      <c r="J24" s="8"/>
      <c r="K24" s="8"/>
      <c r="L24" s="8"/>
      <c r="M24" s="8"/>
      <c r="N24" s="8"/>
      <c r="Q24" s="8"/>
    </row>
    <row r="25" customHeight="1" spans="6:18">
      <c r="F25" s="7"/>
      <c r="G25" s="7"/>
      <c r="H25" s="7"/>
      <c r="I25" s="7"/>
      <c r="J25" s="8"/>
      <c r="K25" s="8"/>
      <c r="L25" s="8"/>
      <c r="M25" s="8"/>
      <c r="N25" s="8"/>
      <c r="Q25" s="8"/>
    </row>
    <row r="26" customHeight="1" spans="6:18">
      <c r="F26" s="7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hyperlinks>
    <hyperlink ref="E9" r:id="rId1" display="马元义" tooltip="https://baike.baidu.com/item/%E9%A9%AC%E5%85%83%E4%B9%89/2282194?fromModule=lemma_inlink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2025-12-23T02:41:40Z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
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<sst xmlns="http://schemas.openxmlformats.org/spreadsheetml/2006/main" count="104" uniqueCount="62">
  <si>
    <t>#</t>
  </si>
  <si>
    <t>Id</t>
  </si>
  <si>
    <t>Cycle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</si>
  <si>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</si>
  <si>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</si>
  <si>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</si>
  <si>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</si>
  <si>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</si>
  <si>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</si>
  <si>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</si>
  <si>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</si>
  <si>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</si>
  <si>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</si>
  <si>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</si>
  <si>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</si>
  <si>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</si>
  <si>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</si>
  <si>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</si>
  <si>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</si>
  <si>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</si>
  <si>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</si>
  <si>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</si>
  <si>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</si>
  <si>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</si>
  <si>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</si>
  <si>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</si>
  <si>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</si>
  <si>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</si>
  <si>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</si>
  <si>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</si>
  <si>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</si>
  <si>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</si>
  <si>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</si>
  <si>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</si>
  <si>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</si>
  <si>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</si>
  <si>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</si>
  <si>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</si>
  <si>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</si>
  <si>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</si>
  <si>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</si>
  <si>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</si>
  <si>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</si>
  <si>
    <t>吴国·天级战场</t>
  </si>
  <si>
    <t>马谡</t>
  </si>
  <si>
    <t>240000</t>
  </si>
  <si>
    <t>吴国·地级战场</t>
  </si>
  <si>
    <t>张苞</t>
  </si>
  <si>
    <t>吴国·玄级战场</t>
  </si>
  <si>
    <t>徐庶</t>
  </si>
  <si>
    <t>1240000</t>
  </si>
  <si>
    <t>吴国·黄级战场</t>
  </si>
  <si>
    <t>姜维</t>
  </si>
  <si>
    <t>4000000</t>
  </si>
  <si>
    <t>吴国·宇级战场</t>
  </si>
  <si>
    <t>马云禄</t>
  </si>
  <si>
    <t>吴国·宙级战场</t>
  </si>
  <si>
    <t>魏延</t>
  </si>
  <si>
    <t>吴国·洪级战场</t>
  </si>
  <si>
    <t>张飞</t>
  </si>
  <si>
    <t>吴国·荒级战场</t>
  </si>
  <si>
    <t>刘备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</si>
</sst>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333333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0" borderId="0" xfId="0" applyFont="1"/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0"/>
  <sheetViews>
    <sheetView tabSelected="1" workbookViewId="0">
      <pane ySplit="5" topLeftCell="A6" activePane="bottomLeft" state="frozen"/>
      <selection/>
      <selection pane="bottomLeft" activeCell="I29" sqref="I29"/>
    </sheetView>
  </sheetViews>
  <sheetFormatPr defaultColWidth="9" defaultRowHeight="16" customHeight="1"/>
  <cols>
    <col min="1" max="1" width="6.875" style="2" customWidth="1"/>
    <col min="2" max="2" width="8" style="2" customWidth="1"/>
    <col min="3" max="4" width="9.875" style="1" customWidth="1"/>
    <col min="5" max="5" width="14.5" style="1" customWidth="1"/>
    <col min="6" max="7" width="12.3333333333333" style="1" customWidth="1"/>
    <col min="8" max="8" width="11.625" style="3" customWidth="1"/>
    <col min="9" max="9" width="17" style="3" customWidth="1"/>
    <col min="10" max="10" width="19.25" style="3" customWidth="1"/>
    <col min="11" max="11" width="13.1666666666667" style="3" customWidth="1"/>
    <col min="12" max="12" width="9.83333333333333" style="2" customWidth="1"/>
    <col min="13" max="13" width="9.33333333333333" style="2" customWidth="1"/>
    <col min="14" max="14" width="8" style="2" customWidth="1"/>
    <col min="15" max="15" width="7.08333333333333" style="2" customWidth="1"/>
    <col min="16" max="16" width="7.5" style="2" customWidth="1"/>
    <col min="17" max="20" width="9" style="2"/>
    <col min="21" max="21" width="10" style="2"/>
    <col min="22" max="16384" width="9" style="2"/>
  </cols>
  <sheetData>
    <row r="1" s="1" customFormat="1" customHeight="1" spans="1:21">
      <c r="A1" s="2"/>
      <c r="B1" s="2"/>
      <c r="H1" s="4"/>
      <c r="I1" s="4"/>
      <c r="J1" s="4"/>
      <c r="K1" s="4"/>
      <c r="L1" s="2"/>
      <c r="M1" s="2"/>
      <c r="N1" s="2"/>
      <c r="O1" s="2"/>
      <c r="P1" s="2"/>
      <c r="S1" s="1" t="s">
        <v>0</v>
      </c>
      <c r="T1" s="1" t="s">
        <v>0</v>
      </c>
      <c r="U1" s="1" t="s">
        <v>0</v>
      </c>
    </row>
    <row r="2" s="1" customFormat="1" customHeight="1" spans="1:21">
      <c r="A2" s="2"/>
      <c r="B2" s="2"/>
      <c r="H2" s="4"/>
      <c r="I2" s="4"/>
      <c r="J2" s="4"/>
      <c r="K2" s="4"/>
      <c r="L2" s="2"/>
      <c r="M2" s="2"/>
      <c r="N2" s="2"/>
      <c r="O2" s="2"/>
      <c r="P2" s="2"/>
      <c r="S2" s="1" t="s">
        <v>0</v>
      </c>
      <c r="T2" s="1" t="s">
        <v>0</v>
      </c>
      <c r="U2" s="1" t="s">
        <v>0</v>
      </c>
    </row>
    <row r="3" s="1" customFormat="1" customHeight="1" spans="1:21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</row>
    <row r="4" s="1" customFormat="1" customHeight="1" spans="1:21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="1" customFormat="1" customHeight="1" spans="1:21">
      <c r="A5" s="2"/>
      <c r="B5" s="2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6" t="s">
        <v>16</v>
      </c>
      <c r="I5" s="6" t="s">
        <v>16</v>
      </c>
      <c r="J5" s="6" t="s">
        <v>16</v>
      </c>
      <c r="K5" s="6" t="s">
        <v>15</v>
      </c>
      <c r="L5" s="5" t="s">
        <v>15</v>
      </c>
      <c r="M5" s="5" t="s">
        <v>15</v>
      </c>
      <c r="N5" s="5" t="s">
        <v>15</v>
      </c>
      <c r="O5" s="5" t="s">
        <v>15</v>
      </c>
      <c r="P5" s="5" t="s">
        <v>15</v>
      </c>
    </row>
    <row r="6" ht="18" customHeight="1" spans="1:21">
      <c r="C6" s="1">
        <v>1</v>
      </c>
      <c r="D6" s="1">
        <v>1</v>
      </c>
      <c r="E6" s="1" t="s">
        <v>17</v>
      </c>
      <c r="F6" s="1" t="s">
        <v>18</v>
      </c>
      <c r="G6" s="1">
        <v>0</v>
      </c>
      <c r="H6" s="11" t="s">
        <v>19</v>
      </c>
      <c r="I6" s="11" t="s">
        <v>20</v>
      </c>
      <c r="J6" s="7">
        <f t="shared" ref="J6:J14" si="0">I6*S6*1000</f>
        <v>40000000</v>
      </c>
      <c r="K6" s="7">
        <v>40</v>
      </c>
      <c r="L6" s="8">
        <v>100</v>
      </c>
      <c r="M6" s="8">
        <v>1800</v>
      </c>
      <c r="N6" s="8">
        <v>1800</v>
      </c>
      <c r="O6" s="8">
        <v>1800</v>
      </c>
      <c r="P6" s="8">
        <v>99</v>
      </c>
      <c r="S6" s="8">
        <v>1</v>
      </c>
      <c r="T6" s="2">
        <v>1000</v>
      </c>
      <c r="U6" s="11" t="s">
        <v>21</v>
      </c>
    </row>
    <row r="7" ht="18" customHeight="1" spans="1:21">
      <c r="C7" s="1">
        <v>2</v>
      </c>
      <c r="D7" s="1">
        <v>1</v>
      </c>
      <c r="E7" s="1" t="s">
        <v>22</v>
      </c>
      <c r="F7" s="1" t="s">
        <v>23</v>
      </c>
      <c r="G7" s="1">
        <v>50</v>
      </c>
      <c r="H7" s="11" t="s">
        <v>24</v>
      </c>
      <c r="I7" s="11" t="s">
        <v>25</v>
      </c>
      <c r="J7" s="7">
        <f t="shared" si="0"/>
        <v>320000000</v>
      </c>
      <c r="K7" s="7">
        <f t="shared" ref="K7:K13" si="1">K6+40</f>
        <v>80</v>
      </c>
      <c r="L7" s="8">
        <v>100</v>
      </c>
      <c r="M7" s="8">
        <v>1800</v>
      </c>
      <c r="N7" s="8">
        <v>1800</v>
      </c>
      <c r="O7" s="8">
        <v>1800</v>
      </c>
      <c r="P7" s="8">
        <v>99</v>
      </c>
      <c r="S7" s="8">
        <v>2</v>
      </c>
      <c r="T7" s="2">
        <v>2000</v>
      </c>
      <c r="U7" s="11" t="s">
        <v>26</v>
      </c>
    </row>
    <row r="8" ht="18" customHeight="1" spans="1:21">
      <c r="C8" s="1">
        <v>3</v>
      </c>
      <c r="D8" s="1">
        <v>1</v>
      </c>
      <c r="E8" s="1" t="s">
        <v>27</v>
      </c>
      <c r="F8" s="1" t="s">
        <v>28</v>
      </c>
      <c r="G8" s="1">
        <v>100</v>
      </c>
      <c r="H8" s="11" t="s">
        <v>29</v>
      </c>
      <c r="I8" s="11" t="s">
        <v>29</v>
      </c>
      <c r="J8" s="7">
        <f t="shared" si="0"/>
        <v>1440000000</v>
      </c>
      <c r="K8" s="7">
        <f t="shared" si="1"/>
        <v>120</v>
      </c>
      <c r="L8" s="8">
        <v>100</v>
      </c>
      <c r="M8" s="8">
        <v>1800</v>
      </c>
      <c r="N8" s="8">
        <v>1800</v>
      </c>
      <c r="O8" s="8">
        <v>1800</v>
      </c>
      <c r="P8" s="8">
        <v>99</v>
      </c>
      <c r="S8" s="8">
        <v>3</v>
      </c>
      <c r="T8" s="2">
        <v>4000</v>
      </c>
      <c r="U8" s="11" t="s">
        <v>30</v>
      </c>
    </row>
    <row r="9" ht="18" customHeight="1" spans="1:21">
      <c r="C9" s="1">
        <v>4</v>
      </c>
      <c r="D9" s="1">
        <v>1</v>
      </c>
      <c r="E9" s="1" t="s">
        <v>31</v>
      </c>
      <c r="F9" s="1" t="s">
        <v>32</v>
      </c>
      <c r="G9" s="1">
        <v>200</v>
      </c>
      <c r="H9" s="11" t="s">
        <v>33</v>
      </c>
      <c r="I9" s="11" t="s">
        <v>33</v>
      </c>
      <c r="J9" s="7">
        <f t="shared" si="0"/>
        <v>6400000000</v>
      </c>
      <c r="K9" s="7">
        <f t="shared" si="1"/>
        <v>160</v>
      </c>
      <c r="L9" s="8">
        <v>100</v>
      </c>
      <c r="M9" s="8">
        <v>1800</v>
      </c>
      <c r="N9" s="8">
        <v>1800</v>
      </c>
      <c r="O9" s="8">
        <v>1800</v>
      </c>
      <c r="P9" s="8">
        <v>99</v>
      </c>
      <c r="S9" s="8">
        <v>4</v>
      </c>
      <c r="T9" s="2">
        <v>8000</v>
      </c>
      <c r="U9" s="11" t="s">
        <v>34</v>
      </c>
    </row>
    <row r="10" ht="18" customHeight="1" spans="1:21">
      <c r="C10" s="1">
        <v>5</v>
      </c>
      <c r="D10" s="1">
        <v>1</v>
      </c>
      <c r="E10" s="1" t="s">
        <v>35</v>
      </c>
      <c r="F10" s="1" t="s">
        <v>36</v>
      </c>
      <c r="G10" s="1">
        <v>300</v>
      </c>
      <c r="H10" s="7">
        <v>3200000</v>
      </c>
      <c r="I10" s="7">
        <v>3200000</v>
      </c>
      <c r="J10" s="7">
        <f t="shared" si="0"/>
        <v>16000000000</v>
      </c>
      <c r="K10" s="7">
        <f t="shared" si="1"/>
        <v>200</v>
      </c>
      <c r="L10" s="8">
        <v>100</v>
      </c>
      <c r="M10" s="8">
        <v>1800</v>
      </c>
      <c r="N10" s="8">
        <v>1800</v>
      </c>
      <c r="O10" s="8">
        <v>1800</v>
      </c>
      <c r="P10" s="8">
        <v>99</v>
      </c>
      <c r="S10" s="8">
        <v>5</v>
      </c>
      <c r="T10" s="2">
        <v>16000</v>
      </c>
      <c r="U10" s="7">
        <v>4000000</v>
      </c>
    </row>
    <row r="11" ht="18" customHeight="1" spans="1:21">
      <c r="C11" s="1">
        <v>6</v>
      </c>
      <c r="D11" s="1">
        <v>1</v>
      </c>
      <c r="E11" s="1" t="s">
        <v>37</v>
      </c>
      <c r="F11" s="1" t="s">
        <v>38</v>
      </c>
      <c r="G11" s="1">
        <v>500</v>
      </c>
      <c r="H11" s="7">
        <v>6400000</v>
      </c>
      <c r="I11" s="7">
        <v>6400000</v>
      </c>
      <c r="J11" s="7">
        <f t="shared" si="0"/>
        <v>38400000000</v>
      </c>
      <c r="K11" s="7">
        <f t="shared" si="1"/>
        <v>240</v>
      </c>
      <c r="L11" s="8">
        <v>100</v>
      </c>
      <c r="M11" s="8">
        <v>1800</v>
      </c>
      <c r="N11" s="8">
        <v>1800</v>
      </c>
      <c r="O11" s="8">
        <v>1800</v>
      </c>
      <c r="P11" s="8">
        <v>99</v>
      </c>
      <c r="S11" s="8">
        <v>6</v>
      </c>
      <c r="T11" s="2">
        <v>30000</v>
      </c>
      <c r="U11" s="7">
        <v>8000000</v>
      </c>
    </row>
    <row r="12" ht="18" customHeight="1" spans="1:21">
      <c r="C12" s="1">
        <v>7</v>
      </c>
      <c r="D12" s="1">
        <v>1</v>
      </c>
      <c r="E12" s="1" t="s">
        <v>39</v>
      </c>
      <c r="F12" s="1" t="s">
        <v>40</v>
      </c>
      <c r="G12" s="1">
        <v>700</v>
      </c>
      <c r="H12" s="7">
        <v>12000000</v>
      </c>
      <c r="I12" s="7">
        <v>12000000</v>
      </c>
      <c r="J12" s="7">
        <f t="shared" si="0"/>
        <v>84000000000</v>
      </c>
      <c r="K12" s="7">
        <f t="shared" si="1"/>
        <v>280</v>
      </c>
      <c r="L12" s="8">
        <v>100</v>
      </c>
      <c r="M12" s="8">
        <v>1800</v>
      </c>
      <c r="N12" s="8">
        <v>1800</v>
      </c>
      <c r="O12" s="8">
        <v>1800</v>
      </c>
      <c r="P12" s="8">
        <v>99</v>
      </c>
      <c r="S12" s="8">
        <v>7</v>
      </c>
      <c r="T12" s="2">
        <v>50000</v>
      </c>
      <c r="U12" s="7">
        <v>15000000</v>
      </c>
    </row>
    <row r="13" ht="18" customHeight="1" spans="1:21">
      <c r="C13" s="1">
        <v>8</v>
      </c>
      <c r="D13" s="1">
        <v>1</v>
      </c>
      <c r="E13" s="1" t="s">
        <v>41</v>
      </c>
      <c r="F13" s="1" t="s">
        <v>42</v>
      </c>
      <c r="G13" s="1">
        <v>900</v>
      </c>
      <c r="H13" s="7">
        <v>16000000</v>
      </c>
      <c r="I13" s="7">
        <v>16000000</v>
      </c>
      <c r="J13" s="7">
        <f t="shared" si="0"/>
        <v>128000000000</v>
      </c>
      <c r="K13" s="7">
        <f t="shared" si="1"/>
        <v>320</v>
      </c>
      <c r="L13" s="8">
        <v>100</v>
      </c>
      <c r="M13" s="8">
        <v>1800</v>
      </c>
      <c r="N13" s="8">
        <v>1800</v>
      </c>
      <c r="O13" s="8">
        <v>1800</v>
      </c>
      <c r="P13" s="8">
        <v>99</v>
      </c>
      <c r="S13" s="8">
        <v>8</v>
      </c>
      <c r="T13" s="2">
        <v>80000</v>
      </c>
      <c r="U13" s="7">
        <v>20000000</v>
      </c>
    </row>
    <row r="14" ht="18" customHeight="1" spans="1:21">
      <c r="H14" s="7"/>
      <c r="I14" s="7"/>
      <c r="J14" s="7"/>
      <c r="K14" s="7"/>
      <c r="L14" s="8"/>
      <c r="M14" s="8"/>
      <c r="N14" s="8"/>
      <c r="O14" s="8"/>
      <c r="P14" s="8"/>
      <c r="S14" s="8"/>
    </row>
    <row r="15" ht="18" customHeight="1" spans="1:21">
      <c r="C15" s="1">
        <v>9</v>
      </c>
      <c r="D15" s="1">
        <v>2</v>
      </c>
      <c r="E15" s="1" t="s">
        <v>43</v>
      </c>
      <c r="F15" s="9" t="s">
        <v>44</v>
      </c>
      <c r="G15" s="1">
        <v>300</v>
      </c>
      <c r="H15" s="11" t="s">
        <v>45</v>
      </c>
      <c r="I15" s="11" t="s">
        <v>45</v>
      </c>
      <c r="J15" s="7">
        <f t="shared" ref="J15:J22" si="2">I15*S15*1000</f>
        <v>360000000</v>
      </c>
      <c r="K15" s="7">
        <v>80</v>
      </c>
      <c r="L15" s="8">
        <v>100</v>
      </c>
      <c r="M15" s="8">
        <v>1800</v>
      </c>
      <c r="N15" s="8">
        <v>1800</v>
      </c>
      <c r="O15" s="8">
        <v>1800</v>
      </c>
      <c r="P15" s="8">
        <v>99</v>
      </c>
      <c r="S15" s="8">
        <v>1.5</v>
      </c>
      <c r="T15" s="2">
        <v>1000</v>
      </c>
      <c r="U15" s="11" t="s">
        <v>21</v>
      </c>
    </row>
    <row r="16" ht="18" customHeight="1" spans="1:21">
      <c r="C16" s="1">
        <v>10</v>
      </c>
      <c r="D16" s="1">
        <v>2</v>
      </c>
      <c r="E16" s="1" t="s">
        <v>46</v>
      </c>
      <c r="F16" s="1" t="s">
        <v>47</v>
      </c>
      <c r="G16" s="1">
        <v>500</v>
      </c>
      <c r="H16" s="11" t="s">
        <v>29</v>
      </c>
      <c r="I16" s="11" t="s">
        <v>29</v>
      </c>
      <c r="J16" s="7">
        <f t="shared" si="2"/>
        <v>1440000000</v>
      </c>
      <c r="K16" s="7">
        <v>120</v>
      </c>
      <c r="L16" s="8">
        <v>100</v>
      </c>
      <c r="M16" s="8">
        <v>1800</v>
      </c>
      <c r="N16" s="8">
        <v>1800</v>
      </c>
      <c r="O16" s="8">
        <v>1800</v>
      </c>
      <c r="P16" s="8">
        <v>99</v>
      </c>
      <c r="S16" s="8">
        <v>3</v>
      </c>
      <c r="T16" s="2">
        <v>2000</v>
      </c>
      <c r="U16" s="11" t="s">
        <v>26</v>
      </c>
    </row>
    <row r="17" ht="18" customHeight="1" spans="3:21">
      <c r="C17" s="1">
        <v>11</v>
      </c>
      <c r="D17" s="1">
        <v>2</v>
      </c>
      <c r="E17" s="1" t="s">
        <v>48</v>
      </c>
      <c r="F17" s="9" t="s">
        <v>49</v>
      </c>
      <c r="G17" s="1">
        <v>700</v>
      </c>
      <c r="H17" s="11" t="s">
        <v>50</v>
      </c>
      <c r="I17" s="11" t="s">
        <v>50</v>
      </c>
      <c r="J17" s="7">
        <f t="shared" si="2"/>
        <v>5580000000</v>
      </c>
      <c r="K17" s="7">
        <v>160</v>
      </c>
      <c r="L17" s="8">
        <v>100</v>
      </c>
      <c r="M17" s="8">
        <v>1800</v>
      </c>
      <c r="N17" s="8">
        <v>1800</v>
      </c>
      <c r="O17" s="8">
        <v>1800</v>
      </c>
      <c r="P17" s="8">
        <v>99</v>
      </c>
      <c r="S17" s="8">
        <v>4.5</v>
      </c>
      <c r="T17" s="2">
        <v>4000</v>
      </c>
      <c r="U17" s="11" t="s">
        <v>30</v>
      </c>
    </row>
    <row r="18" ht="18" customHeight="1" spans="3:21">
      <c r="C18" s="1">
        <v>12</v>
      </c>
      <c r="D18" s="1">
        <v>2</v>
      </c>
      <c r="E18" s="1" t="s">
        <v>51</v>
      </c>
      <c r="F18" s="9" t="s">
        <v>52</v>
      </c>
      <c r="G18" s="1">
        <v>900</v>
      </c>
      <c r="H18" s="11" t="s">
        <v>53</v>
      </c>
      <c r="I18" s="11" t="s">
        <v>53</v>
      </c>
      <c r="J18" s="7">
        <f t="shared" si="2"/>
        <v>24000000000</v>
      </c>
      <c r="K18" s="7">
        <v>200</v>
      </c>
      <c r="L18" s="8">
        <v>100</v>
      </c>
      <c r="M18" s="8">
        <v>1800</v>
      </c>
      <c r="N18" s="8">
        <v>1800</v>
      </c>
      <c r="O18" s="8">
        <v>1800</v>
      </c>
      <c r="P18" s="8">
        <v>99</v>
      </c>
      <c r="S18" s="8">
        <v>6</v>
      </c>
      <c r="T18" s="2">
        <v>8000</v>
      </c>
      <c r="U18" s="11" t="s">
        <v>34</v>
      </c>
    </row>
    <row r="19" ht="18" customHeight="1" spans="3:21">
      <c r="C19" s="1">
        <v>13</v>
      </c>
      <c r="D19" s="1">
        <v>2</v>
      </c>
      <c r="E19" s="1" t="s">
        <v>54</v>
      </c>
      <c r="F19" s="9" t="s">
        <v>55</v>
      </c>
      <c r="G19" s="1">
        <v>1200</v>
      </c>
      <c r="H19" s="7">
        <v>10000000</v>
      </c>
      <c r="I19" s="7">
        <v>10000000</v>
      </c>
      <c r="J19" s="7">
        <f t="shared" si="2"/>
        <v>80000000000</v>
      </c>
      <c r="K19" s="7">
        <v>240</v>
      </c>
      <c r="L19" s="8">
        <v>100</v>
      </c>
      <c r="M19" s="8">
        <v>1800</v>
      </c>
      <c r="N19" s="8">
        <v>1800</v>
      </c>
      <c r="O19" s="8">
        <v>1800</v>
      </c>
      <c r="P19" s="8">
        <v>99</v>
      </c>
      <c r="S19" s="8">
        <v>8</v>
      </c>
      <c r="T19" s="2">
        <v>16000</v>
      </c>
      <c r="U19" s="7">
        <v>4000000</v>
      </c>
    </row>
    <row r="20" ht="18" customHeight="1" spans="3:21">
      <c r="C20" s="1">
        <v>14</v>
      </c>
      <c r="D20" s="1">
        <v>2</v>
      </c>
      <c r="E20" s="1" t="s">
        <v>56</v>
      </c>
      <c r="F20" s="10" t="s">
        <v>57</v>
      </c>
      <c r="G20" s="1">
        <v>1600</v>
      </c>
      <c r="H20" s="7">
        <v>20000000</v>
      </c>
      <c r="I20" s="7">
        <v>20000000</v>
      </c>
      <c r="J20" s="7">
        <f t="shared" si="2"/>
        <v>200000000000</v>
      </c>
      <c r="K20" s="7">
        <v>280</v>
      </c>
      <c r="L20" s="8">
        <v>100</v>
      </c>
      <c r="M20" s="8">
        <v>1800</v>
      </c>
      <c r="N20" s="8">
        <v>1800</v>
      </c>
      <c r="O20" s="8">
        <v>1800</v>
      </c>
      <c r="P20" s="8">
        <v>99</v>
      </c>
      <c r="S20" s="8">
        <v>10</v>
      </c>
      <c r="T20" s="2">
        <v>30000</v>
      </c>
      <c r="U20" s="7">
        <v>8000000</v>
      </c>
    </row>
    <row r="21" ht="18" customHeight="1" spans="3:21">
      <c r="C21" s="1">
        <v>15</v>
      </c>
      <c r="D21" s="1">
        <v>2</v>
      </c>
      <c r="E21" s="1" t="s">
        <v>58</v>
      </c>
      <c r="F21" s="10" t="s">
        <v>59</v>
      </c>
      <c r="G21" s="1">
        <v>2000</v>
      </c>
      <c r="H21" s="7">
        <v>32000000</v>
      </c>
      <c r="I21" s="7">
        <v>40000000</v>
      </c>
      <c r="J21" s="7">
        <f t="shared" si="2"/>
        <v>480000000000</v>
      </c>
      <c r="K21" s="7">
        <v>320</v>
      </c>
      <c r="L21" s="8">
        <v>100</v>
      </c>
      <c r="M21" s="8">
        <v>1800</v>
      </c>
      <c r="N21" s="8">
        <v>1800</v>
      </c>
      <c r="O21" s="8">
        <v>1800</v>
      </c>
      <c r="P21" s="8">
        <v>99</v>
      </c>
      <c r="S21" s="8">
        <v>12</v>
      </c>
      <c r="T21" s="2">
        <v>50000</v>
      </c>
      <c r="U21" s="7">
        <v>15000000</v>
      </c>
    </row>
    <row r="22" ht="18" customHeight="1" spans="3:21">
      <c r="C22" s="1">
        <v>16</v>
      </c>
      <c r="D22" s="1">
        <v>2</v>
      </c>
      <c r="E22" s="1" t="s">
        <v>60</v>
      </c>
      <c r="F22" s="1" t="s">
        <v>61</v>
      </c>
      <c r="G22" s="1">
        <v>2400</v>
      </c>
      <c r="H22" s="7">
        <v>50000000</v>
      </c>
      <c r="I22" s="7">
        <v>80000000</v>
      </c>
      <c r="J22" s="7">
        <f t="shared" si="2"/>
        <v>1200000000000</v>
      </c>
      <c r="K22" s="7">
        <v>360</v>
      </c>
      <c r="L22" s="8">
        <v>100</v>
      </c>
      <c r="M22" s="8">
        <v>1800</v>
      </c>
      <c r="N22" s="8">
        <v>1800</v>
      </c>
      <c r="O22" s="8">
        <v>1800</v>
      </c>
      <c r="P22" s="8">
        <v>99</v>
      </c>
      <c r="S22" s="8">
        <v>15</v>
      </c>
      <c r="T22" s="2">
        <v>80000</v>
      </c>
      <c r="U22" s="7">
        <v>20000000</v>
      </c>
    </row>
    <row r="23" customHeight="1" spans="3:21">
      <c r="H23" s="7"/>
      <c r="I23" s="7"/>
      <c r="J23" s="7"/>
      <c r="K23" s="7"/>
      <c r="L23" s="8"/>
      <c r="M23" s="8"/>
      <c r="N23" s="8"/>
      <c r="O23" s="8"/>
      <c r="P23" s="8"/>
      <c r="S23" s="8"/>
      <c r="U23" s="7"/>
    </row>
    <row r="24" customHeight="1" spans="3:21">
      <c r="H24" s="7"/>
      <c r="I24" s="7"/>
      <c r="J24" s="7"/>
      <c r="K24" s="7"/>
      <c r="L24" s="8"/>
      <c r="M24" s="8"/>
      <c r="N24" s="8"/>
      <c r="O24" s="8"/>
      <c r="P24" s="8"/>
      <c r="S24" s="8"/>
      <c r="U24" s="7"/>
    </row>
    <row r="25" customHeight="1" spans="3:21">
      <c r="H25" s="7"/>
      <c r="I25" s="7"/>
      <c r="J25" s="7"/>
      <c r="K25" s="7"/>
      <c r="L25" s="8"/>
      <c r="M25" s="8"/>
      <c r="N25" s="8"/>
      <c r="O25" s="8"/>
      <c r="P25" s="8"/>
      <c r="S25" s="8"/>
      <c r="U25" s="7"/>
    </row>
    <row r="26" customHeight="1" spans="3:21">
      <c r="H26" s="7"/>
      <c r="I26" s="7"/>
      <c r="J26" s="7"/>
      <c r="K26" s="7"/>
      <c r="L26" s="8"/>
      <c r="M26" s="8"/>
      <c r="N26" s="8"/>
      <c r="O26" s="8"/>
      <c r="P26" s="8"/>
      <c r="S26" s="8"/>
      <c r="U26" s="7"/>
    </row>
    <row r="27" customHeight="1" spans="3:21">
      <c r="H27" s="7"/>
      <c r="I27" s="7"/>
      <c r="J27" s="7"/>
      <c r="K27" s="7"/>
      <c r="L27" s="8"/>
      <c r="M27" s="8"/>
      <c r="N27" s="8"/>
      <c r="O27" s="8"/>
      <c r="P27" s="8"/>
      <c r="S27" s="8"/>
      <c r="U27" s="7"/>
    </row>
    <row r="28" customHeight="1" spans="3:21">
      <c r="H28" s="7"/>
      <c r="I28" s="7"/>
      <c r="J28" s="7"/>
      <c r="K28" s="7"/>
      <c r="L28" s="8"/>
      <c r="M28" s="8"/>
      <c r="N28" s="8"/>
      <c r="O28" s="8"/>
      <c r="P28" s="8"/>
      <c r="S28" s="8"/>
      <c r="U28" s="7"/>
    </row>
    <row r="29" customHeight="1" spans="3:21">
      <c r="H29" s="7"/>
      <c r="I29" s="7"/>
      <c r="J29" s="7"/>
      <c r="K29" s="7"/>
      <c r="L29" s="8"/>
      <c r="M29" s="8"/>
      <c r="N29" s="8"/>
      <c r="O29" s="8"/>
      <c r="P29" s="8"/>
      <c r="S29" s="8"/>
      <c r="U29" s="7"/>
    </row>
    <row r="30" customHeight="1" spans="3:21">
      <c r="H30" s="7"/>
      <c r="I30" s="7"/>
      <c r="J30" s="7"/>
      <c r="K30" s="7"/>
      <c r="L30" s="8"/>
      <c r="M30" s="8"/>
      <c r="N30" s="8"/>
      <c r="O30" s="8"/>
      <c r="P30" s="8"/>
      <c r="S30" s="8"/>
      <c r="U30" s="7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hyperlinks>
    <hyperlink ref="F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2026-02-09T08:18:36Z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